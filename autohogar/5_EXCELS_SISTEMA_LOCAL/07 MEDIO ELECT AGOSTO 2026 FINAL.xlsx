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OMPAQ\Documents\AGOSTO\"/>
    </mc:Choice>
  </mc:AlternateContent>
  <xr:revisionPtr revIDLastSave="0" documentId="8_{1D82AF76-B4AE-48B4-9C95-07A71CAA0E81}" xr6:coauthVersionLast="47" xr6:coauthVersionMax="47" xr10:uidLastSave="{00000000-0000-0000-0000-000000000000}"/>
  <bookViews>
    <workbookView xWindow="-120" yWindow="-120" windowWidth="20730" windowHeight="11160" tabRatio="906" xr2:uid="{00000000-000D-0000-FFFF-FFFF00000000}"/>
  </bookViews>
  <sheets>
    <sheet name="AUTOHOGAR" sheetId="5" r:id="rId1"/>
    <sheet name="PENDIENTES AGOSTO" sheetId="20" r:id="rId2"/>
    <sheet name="COBRANZA SIN CUPONES" sheetId="8" r:id="rId3"/>
    <sheet name="PAGARA" sheetId="19" r:id="rId4"/>
    <sheet name="PAGARA DETALLADO" sheetId="18" r:id="rId5"/>
    <sheet name="COB" sheetId="13" r:id="rId6"/>
  </sheets>
  <externalReferences>
    <externalReference r:id="rId7"/>
  </externalReferences>
  <definedNames>
    <definedName name="_xlnm._FilterDatabase" localSheetId="0" hidden="1">AUTOHOGAR!$A$3:$IV$3</definedName>
    <definedName name="_xlnm._FilterDatabase" localSheetId="2" hidden="1">'COBRANZA SIN CUPONES'!$A$5:$N$17</definedName>
    <definedName name="_GoBack" localSheetId="0">AUTOHOGAR!#REF!</definedName>
    <definedName name="_xlnm.Print_Area" localSheetId="0">AUTOHOGAR!$A$1:$X$182</definedName>
    <definedName name="entrega">'[1]Sugerencia Rendiciones '!$BP$2:$BP$11</definedName>
    <definedName name="tipo">'[1]Sugerencia Rendiciones '!$D$3:$D$11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U27" i="20" l="1"/>
  <c r="T27" i="20"/>
  <c r="P27" i="20"/>
  <c r="O27" i="20"/>
  <c r="M27" i="20"/>
  <c r="L27" i="20"/>
  <c r="K27" i="20"/>
  <c r="J27" i="20"/>
  <c r="I27" i="20"/>
  <c r="H27" i="20"/>
  <c r="G27" i="20"/>
  <c r="E27" i="20"/>
  <c r="A27" i="20"/>
  <c r="J17" i="20"/>
  <c r="I17" i="20"/>
  <c r="G17" i="20"/>
  <c r="O17" i="20" s="1"/>
  <c r="P16" i="20"/>
  <c r="O16" i="20"/>
  <c r="N16" i="20"/>
  <c r="P15" i="20"/>
  <c r="O15" i="20"/>
  <c r="N15" i="20"/>
  <c r="P14" i="20"/>
  <c r="O14" i="20"/>
  <c r="N14" i="20"/>
  <c r="P13" i="20"/>
  <c r="O13" i="20"/>
  <c r="N13" i="20"/>
  <c r="P12" i="20"/>
  <c r="O12" i="20"/>
  <c r="N12" i="20"/>
  <c r="P11" i="20"/>
  <c r="O11" i="20"/>
  <c r="N11" i="20"/>
  <c r="P10" i="20"/>
  <c r="O10" i="20"/>
  <c r="N10" i="20"/>
  <c r="P9" i="20"/>
  <c r="O9" i="20"/>
  <c r="N9" i="20"/>
  <c r="P8" i="20"/>
  <c r="O8" i="20"/>
  <c r="N8" i="20"/>
  <c r="P7" i="20"/>
  <c r="O7" i="20"/>
  <c r="N7" i="20"/>
  <c r="P6" i="20"/>
  <c r="O6" i="20"/>
  <c r="N6" i="20"/>
  <c r="P5" i="20"/>
  <c r="O5" i="20"/>
  <c r="N5" i="20"/>
  <c r="P4" i="20"/>
  <c r="O4" i="20"/>
  <c r="N4" i="20"/>
  <c r="N27" i="20"/>
  <c r="B1" i="20"/>
  <c r="P140" i="5"/>
  <c r="O140" i="5"/>
  <c r="N140" i="5"/>
  <c r="P139" i="5"/>
  <c r="O139" i="5"/>
  <c r="N139" i="5"/>
  <c r="Z139" i="5" s="1"/>
  <c r="P138" i="5"/>
  <c r="O138" i="5"/>
  <c r="AJ138" i="5" s="1"/>
  <c r="N138" i="5"/>
  <c r="P137" i="5"/>
  <c r="O137" i="5"/>
  <c r="AU137" i="5" s="1"/>
  <c r="N137" i="5"/>
  <c r="Z137" i="5" s="1"/>
  <c r="P136" i="5"/>
  <c r="O136" i="5"/>
  <c r="AU136" i="5" s="1"/>
  <c r="N136" i="5"/>
  <c r="Z136" i="5" s="1"/>
  <c r="P135" i="5"/>
  <c r="O135" i="5"/>
  <c r="AJ135" i="5" s="1"/>
  <c r="N135" i="5"/>
  <c r="P134" i="5"/>
  <c r="O134" i="5"/>
  <c r="AU134" i="5" s="1"/>
  <c r="N134" i="5"/>
  <c r="P133" i="5"/>
  <c r="O133" i="5"/>
  <c r="AU133" i="5" s="1"/>
  <c r="N133" i="5"/>
  <c r="Z133" i="5" s="1"/>
  <c r="P132" i="5"/>
  <c r="O132" i="5"/>
  <c r="AJ132" i="5" s="1"/>
  <c r="N132" i="5"/>
  <c r="Z132" i="5" s="1"/>
  <c r="P131" i="5"/>
  <c r="O131" i="5"/>
  <c r="N131" i="5"/>
  <c r="Z131" i="5" s="1"/>
  <c r="P130" i="5"/>
  <c r="O130" i="5"/>
  <c r="AJ130" i="5" s="1"/>
  <c r="N130" i="5"/>
  <c r="Z130" i="5" s="1"/>
  <c r="P129" i="5"/>
  <c r="O129" i="5"/>
  <c r="AU129" i="5" s="1"/>
  <c r="N129" i="5"/>
  <c r="Z129" i="5" s="1"/>
  <c r="P128" i="5"/>
  <c r="O128" i="5"/>
  <c r="AJ128" i="5" s="1"/>
  <c r="N128" i="5"/>
  <c r="P127" i="5"/>
  <c r="O127" i="5"/>
  <c r="AJ127" i="5" s="1"/>
  <c r="N127" i="5"/>
  <c r="P126" i="5"/>
  <c r="O126" i="5"/>
  <c r="AJ126" i="5" s="1"/>
  <c r="N126" i="5"/>
  <c r="P125" i="5"/>
  <c r="O125" i="5"/>
  <c r="AJ125" i="5" s="1"/>
  <c r="N125" i="5"/>
  <c r="Z125" i="5" s="1"/>
  <c r="P124" i="5"/>
  <c r="O124" i="5"/>
  <c r="N124" i="5"/>
  <c r="Z124" i="5" s="1"/>
  <c r="P123" i="5"/>
  <c r="O123" i="5"/>
  <c r="N123" i="5"/>
  <c r="Z123" i="5" s="1"/>
  <c r="P122" i="5"/>
  <c r="O122" i="5"/>
  <c r="AU122" i="5" s="1"/>
  <c r="N122" i="5"/>
  <c r="Z122" i="5" s="1"/>
  <c r="P121" i="5"/>
  <c r="O121" i="5"/>
  <c r="AU121" i="5" s="1"/>
  <c r="N121" i="5"/>
  <c r="Z121" i="5" s="1"/>
  <c r="P120" i="5"/>
  <c r="O120" i="5"/>
  <c r="AU120" i="5" s="1"/>
  <c r="N120" i="5"/>
  <c r="Z120" i="5" s="1"/>
  <c r="P119" i="5"/>
  <c r="O119" i="5"/>
  <c r="AJ119" i="5" s="1"/>
  <c r="N119" i="5"/>
  <c r="P118" i="5"/>
  <c r="O118" i="5"/>
  <c r="AJ118" i="5" s="1"/>
  <c r="N118" i="5"/>
  <c r="P117" i="5"/>
  <c r="O117" i="5"/>
  <c r="AU117" i="5" s="1"/>
  <c r="N117" i="5"/>
  <c r="Z117" i="5" s="1"/>
  <c r="P116" i="5"/>
  <c r="O116" i="5"/>
  <c r="N116" i="5"/>
  <c r="Z116" i="5" s="1"/>
  <c r="P115" i="5"/>
  <c r="O115" i="5"/>
  <c r="N115" i="5"/>
  <c r="Z115" i="5" s="1"/>
  <c r="P114" i="5"/>
  <c r="O114" i="5"/>
  <c r="AU114" i="5" s="1"/>
  <c r="N114" i="5"/>
  <c r="Z114" i="5" s="1"/>
  <c r="P113" i="5"/>
  <c r="O113" i="5"/>
  <c r="AU113" i="5" s="1"/>
  <c r="N113" i="5"/>
  <c r="Z113" i="5" s="1"/>
  <c r="P112" i="5"/>
  <c r="O112" i="5"/>
  <c r="AJ112" i="5" s="1"/>
  <c r="N112" i="5"/>
  <c r="P111" i="5"/>
  <c r="O111" i="5"/>
  <c r="AU111" i="5" s="1"/>
  <c r="N111" i="5"/>
  <c r="P110" i="5"/>
  <c r="O110" i="5"/>
  <c r="AU110" i="5" s="1"/>
  <c r="N110" i="5"/>
  <c r="Z110" i="5" s="1"/>
  <c r="P109" i="5"/>
  <c r="O109" i="5"/>
  <c r="AU109" i="5" s="1"/>
  <c r="N109" i="5"/>
  <c r="Z109" i="5" s="1"/>
  <c r="P108" i="5"/>
  <c r="O108" i="5"/>
  <c r="N108" i="5"/>
  <c r="Z108" i="5" s="1"/>
  <c r="P107" i="5"/>
  <c r="O107" i="5"/>
  <c r="N107" i="5"/>
  <c r="Z107" i="5" s="1"/>
  <c r="P106" i="5"/>
  <c r="O106" i="5"/>
  <c r="AU106" i="5" s="1"/>
  <c r="N106" i="5"/>
  <c r="Z106" i="5" s="1"/>
  <c r="P105" i="5"/>
  <c r="O105" i="5"/>
  <c r="AU105" i="5" s="1"/>
  <c r="N105" i="5"/>
  <c r="Z105" i="5" s="1"/>
  <c r="P104" i="5"/>
  <c r="O104" i="5"/>
  <c r="AU104" i="5" s="1"/>
  <c r="N104" i="5"/>
  <c r="P103" i="5"/>
  <c r="O103" i="5"/>
  <c r="AJ103" i="5" s="1"/>
  <c r="N103" i="5"/>
  <c r="P102" i="5"/>
  <c r="O102" i="5"/>
  <c r="AJ102" i="5" s="1"/>
  <c r="N102" i="5"/>
  <c r="P101" i="5"/>
  <c r="O101" i="5"/>
  <c r="AJ101" i="5" s="1"/>
  <c r="N101" i="5"/>
  <c r="Z101" i="5" s="1"/>
  <c r="P100" i="5"/>
  <c r="O100" i="5"/>
  <c r="N100" i="5"/>
  <c r="Z100" i="5" s="1"/>
  <c r="P99" i="5"/>
  <c r="O99" i="5"/>
  <c r="N99" i="5"/>
  <c r="P98" i="5"/>
  <c r="O98" i="5"/>
  <c r="AU98" i="5" s="1"/>
  <c r="N98" i="5"/>
  <c r="Z98" i="5" s="1"/>
  <c r="P97" i="5"/>
  <c r="O97" i="5"/>
  <c r="AU97" i="5" s="1"/>
  <c r="N97" i="5"/>
  <c r="P96" i="5"/>
  <c r="O96" i="5"/>
  <c r="AU96" i="5" s="1"/>
  <c r="N96" i="5"/>
  <c r="Z96" i="5" s="1"/>
  <c r="P95" i="5"/>
  <c r="O95" i="5"/>
  <c r="AU95" i="5" s="1"/>
  <c r="N95" i="5"/>
  <c r="P94" i="5"/>
  <c r="O94" i="5"/>
  <c r="AU94" i="5" s="1"/>
  <c r="N94" i="5"/>
  <c r="P93" i="5"/>
  <c r="O93" i="5"/>
  <c r="AJ93" i="5" s="1"/>
  <c r="N93" i="5"/>
  <c r="Z93" i="5" s="1"/>
  <c r="P92" i="5"/>
  <c r="O92" i="5"/>
  <c r="N92" i="5"/>
  <c r="Z92" i="5" s="1"/>
  <c r="P91" i="5"/>
  <c r="O91" i="5"/>
  <c r="N91" i="5"/>
  <c r="Z91" i="5" s="1"/>
  <c r="P90" i="5"/>
  <c r="O90" i="5"/>
  <c r="AJ90" i="5" s="1"/>
  <c r="N90" i="5"/>
  <c r="Z90" i="5" s="1"/>
  <c r="P89" i="5"/>
  <c r="O89" i="5"/>
  <c r="AJ89" i="5" s="1"/>
  <c r="N89" i="5"/>
  <c r="Z89" i="5" s="1"/>
  <c r="P88" i="5"/>
  <c r="O88" i="5"/>
  <c r="AU88" i="5" s="1"/>
  <c r="N88" i="5"/>
  <c r="Z88" i="5" s="1"/>
  <c r="P87" i="5"/>
  <c r="O87" i="5"/>
  <c r="AU87" i="5" s="1"/>
  <c r="N87" i="5"/>
  <c r="P86" i="5"/>
  <c r="O86" i="5"/>
  <c r="AJ86" i="5" s="1"/>
  <c r="N86" i="5"/>
  <c r="P85" i="5"/>
  <c r="O85" i="5"/>
  <c r="AU85" i="5" s="1"/>
  <c r="N85" i="5"/>
  <c r="Z85" i="5" s="1"/>
  <c r="P84" i="5"/>
  <c r="O84" i="5"/>
  <c r="N84" i="5"/>
  <c r="Z84" i="5" s="1"/>
  <c r="P83" i="5"/>
  <c r="O83" i="5"/>
  <c r="N83" i="5"/>
  <c r="Z83" i="5" s="1"/>
  <c r="P82" i="5"/>
  <c r="O82" i="5"/>
  <c r="AU82" i="5" s="1"/>
  <c r="N82" i="5"/>
  <c r="Z82" i="5" s="1"/>
  <c r="P81" i="5"/>
  <c r="O81" i="5"/>
  <c r="AU81" i="5" s="1"/>
  <c r="N81" i="5"/>
  <c r="Z81" i="5" s="1"/>
  <c r="P80" i="5"/>
  <c r="O80" i="5"/>
  <c r="AU80" i="5" s="1"/>
  <c r="N80" i="5"/>
  <c r="P79" i="5"/>
  <c r="O79" i="5"/>
  <c r="AU79" i="5" s="1"/>
  <c r="N79" i="5"/>
  <c r="P78" i="5"/>
  <c r="O78" i="5"/>
  <c r="AJ78" i="5" s="1"/>
  <c r="N78" i="5"/>
  <c r="P77" i="5"/>
  <c r="O77" i="5"/>
  <c r="AU77" i="5" s="1"/>
  <c r="N77" i="5"/>
  <c r="Z77" i="5" s="1"/>
  <c r="P76" i="5"/>
  <c r="O76" i="5"/>
  <c r="N76" i="5"/>
  <c r="Z76" i="5" s="1"/>
  <c r="P75" i="5"/>
  <c r="O75" i="5"/>
  <c r="N75" i="5"/>
  <c r="P74" i="5"/>
  <c r="O74" i="5"/>
  <c r="AJ74" i="5" s="1"/>
  <c r="N74" i="5"/>
  <c r="Z74" i="5" s="1"/>
  <c r="P73" i="5"/>
  <c r="O73" i="5"/>
  <c r="AU73" i="5" s="1"/>
  <c r="N73" i="5"/>
  <c r="Z73" i="5" s="1"/>
  <c r="P72" i="5"/>
  <c r="O72" i="5"/>
  <c r="AU72" i="5" s="1"/>
  <c r="N72" i="5"/>
  <c r="Z72" i="5" s="1"/>
  <c r="P71" i="5"/>
  <c r="O71" i="5"/>
  <c r="AU71" i="5" s="1"/>
  <c r="N71" i="5"/>
  <c r="P70" i="5"/>
  <c r="O70" i="5"/>
  <c r="AJ70" i="5" s="1"/>
  <c r="N70" i="5"/>
  <c r="P69" i="5"/>
  <c r="O69" i="5"/>
  <c r="AU69" i="5" s="1"/>
  <c r="N69" i="5"/>
  <c r="Z69" i="5" s="1"/>
  <c r="P68" i="5"/>
  <c r="O68" i="5"/>
  <c r="N68" i="5"/>
  <c r="Z68" i="5" s="1"/>
  <c r="P67" i="5"/>
  <c r="O67" i="5"/>
  <c r="N67" i="5"/>
  <c r="Z67" i="5" s="1"/>
  <c r="P66" i="5"/>
  <c r="O66" i="5"/>
  <c r="AJ66" i="5" s="1"/>
  <c r="N66" i="5"/>
  <c r="P65" i="5"/>
  <c r="O65" i="5"/>
  <c r="AU65" i="5" s="1"/>
  <c r="N65" i="5"/>
  <c r="Z65" i="5" s="1"/>
  <c r="P64" i="5"/>
  <c r="O64" i="5"/>
  <c r="AU64" i="5" s="1"/>
  <c r="N64" i="5"/>
  <c r="P63" i="5"/>
  <c r="O63" i="5"/>
  <c r="AJ63" i="5" s="1"/>
  <c r="N63" i="5"/>
  <c r="P62" i="5"/>
  <c r="O62" i="5"/>
  <c r="AJ62" i="5" s="1"/>
  <c r="N62" i="5"/>
  <c r="P61" i="5"/>
  <c r="O61" i="5"/>
  <c r="AU61" i="5" s="1"/>
  <c r="N61" i="5"/>
  <c r="Z61" i="5" s="1"/>
  <c r="P60" i="5"/>
  <c r="O60" i="5"/>
  <c r="N60" i="5"/>
  <c r="P59" i="5"/>
  <c r="O59" i="5"/>
  <c r="N59" i="5"/>
  <c r="Z59" i="5" s="1"/>
  <c r="P58" i="5"/>
  <c r="O58" i="5"/>
  <c r="AU58" i="5" s="1"/>
  <c r="N58" i="5"/>
  <c r="Z58" i="5" s="1"/>
  <c r="P57" i="5"/>
  <c r="O57" i="5"/>
  <c r="AU57" i="5" s="1"/>
  <c r="N57" i="5"/>
  <c r="Z57" i="5" s="1"/>
  <c r="P56" i="5"/>
  <c r="O56" i="5"/>
  <c r="AU56" i="5" s="1"/>
  <c r="N56" i="5"/>
  <c r="Z56" i="5" s="1"/>
  <c r="P55" i="5"/>
  <c r="O55" i="5"/>
  <c r="AU55" i="5" s="1"/>
  <c r="N55" i="5"/>
  <c r="P54" i="5"/>
  <c r="O54" i="5"/>
  <c r="AU54" i="5" s="1"/>
  <c r="N54" i="5"/>
  <c r="P53" i="5"/>
  <c r="O53" i="5"/>
  <c r="AU53" i="5" s="1"/>
  <c r="N53" i="5"/>
  <c r="Z53" i="5" s="1"/>
  <c r="P52" i="5"/>
  <c r="O52" i="5"/>
  <c r="N52" i="5"/>
  <c r="Z52" i="5" s="1"/>
  <c r="P51" i="5"/>
  <c r="O51" i="5"/>
  <c r="N51" i="5"/>
  <c r="Z51" i="5" s="1"/>
  <c r="P50" i="5"/>
  <c r="O50" i="5"/>
  <c r="AU50" i="5" s="1"/>
  <c r="N50" i="5"/>
  <c r="Z50" i="5" s="1"/>
  <c r="P49" i="5"/>
  <c r="O49" i="5"/>
  <c r="AJ49" i="5" s="1"/>
  <c r="N49" i="5"/>
  <c r="Z49" i="5" s="1"/>
  <c r="P48" i="5"/>
  <c r="O48" i="5"/>
  <c r="AU48" i="5" s="1"/>
  <c r="N48" i="5"/>
  <c r="Z48" i="5" s="1"/>
  <c r="P47" i="5"/>
  <c r="O47" i="5"/>
  <c r="AJ47" i="5" s="1"/>
  <c r="N47" i="5"/>
  <c r="P46" i="5"/>
  <c r="O46" i="5"/>
  <c r="AU46" i="5" s="1"/>
  <c r="N46" i="5"/>
  <c r="P45" i="5"/>
  <c r="O45" i="5"/>
  <c r="AU45" i="5" s="1"/>
  <c r="N45" i="5"/>
  <c r="Z45" i="5" s="1"/>
  <c r="P44" i="5"/>
  <c r="O44" i="5"/>
  <c r="N44" i="5"/>
  <c r="P43" i="5"/>
  <c r="O43" i="5"/>
  <c r="N43" i="5"/>
  <c r="Z43" i="5" s="1"/>
  <c r="P42" i="5"/>
  <c r="O42" i="5"/>
  <c r="AJ42" i="5" s="1"/>
  <c r="N42" i="5"/>
  <c r="Z42" i="5" s="1"/>
  <c r="P41" i="5"/>
  <c r="O41" i="5"/>
  <c r="AJ41" i="5" s="1"/>
  <c r="N41" i="5"/>
  <c r="Z41" i="5" s="1"/>
  <c r="P40" i="5"/>
  <c r="O40" i="5"/>
  <c r="AJ40" i="5" s="1"/>
  <c r="N40" i="5"/>
  <c r="P39" i="5"/>
  <c r="O39" i="5"/>
  <c r="AJ39" i="5" s="1"/>
  <c r="N39" i="5"/>
  <c r="P38" i="5"/>
  <c r="O38" i="5"/>
  <c r="AU38" i="5" s="1"/>
  <c r="N38" i="5"/>
  <c r="P37" i="5"/>
  <c r="O37" i="5"/>
  <c r="AJ37" i="5" s="1"/>
  <c r="N37" i="5"/>
  <c r="Z37" i="5" s="1"/>
  <c r="P36" i="5"/>
  <c r="O36" i="5"/>
  <c r="N36" i="5"/>
  <c r="Z36" i="5" s="1"/>
  <c r="P35" i="5"/>
  <c r="O35" i="5"/>
  <c r="N35" i="5"/>
  <c r="P34" i="5"/>
  <c r="O34" i="5"/>
  <c r="AU34" i="5" s="1"/>
  <c r="N34" i="5"/>
  <c r="Z34" i="5" s="1"/>
  <c r="P33" i="5"/>
  <c r="O33" i="5"/>
  <c r="AJ33" i="5" s="1"/>
  <c r="N33" i="5"/>
  <c r="Z33" i="5" s="1"/>
  <c r="P32" i="5"/>
  <c r="O32" i="5"/>
  <c r="AJ32" i="5" s="1"/>
  <c r="N32" i="5"/>
  <c r="Z32" i="5" s="1"/>
  <c r="P31" i="5"/>
  <c r="O31" i="5"/>
  <c r="AU31" i="5" s="1"/>
  <c r="N31" i="5"/>
  <c r="P30" i="5"/>
  <c r="O30" i="5"/>
  <c r="AU30" i="5" s="1"/>
  <c r="N30" i="5"/>
  <c r="P29" i="5"/>
  <c r="O29" i="5"/>
  <c r="AU29" i="5" s="1"/>
  <c r="N29" i="5"/>
  <c r="Z29" i="5" s="1"/>
  <c r="P28" i="5"/>
  <c r="O28" i="5"/>
  <c r="N28" i="5"/>
  <c r="Z28" i="5" s="1"/>
  <c r="P27" i="5"/>
  <c r="O27" i="5"/>
  <c r="N27" i="5"/>
  <c r="Z27" i="5" s="1"/>
  <c r="P26" i="5"/>
  <c r="O26" i="5"/>
  <c r="AJ26" i="5" s="1"/>
  <c r="N26" i="5"/>
  <c r="P25" i="5"/>
  <c r="O25" i="5"/>
  <c r="AJ25" i="5" s="1"/>
  <c r="N25" i="5"/>
  <c r="Z25" i="5" s="1"/>
  <c r="P24" i="5"/>
  <c r="O24" i="5"/>
  <c r="AU24" i="5" s="1"/>
  <c r="N24" i="5"/>
  <c r="Z24" i="5" s="1"/>
  <c r="P23" i="5"/>
  <c r="O23" i="5"/>
  <c r="AU23" i="5" s="1"/>
  <c r="N23" i="5"/>
  <c r="P22" i="5"/>
  <c r="O22" i="5"/>
  <c r="AJ22" i="5" s="1"/>
  <c r="N22" i="5"/>
  <c r="Z22" i="5" s="1"/>
  <c r="P21" i="5"/>
  <c r="O21" i="5"/>
  <c r="AU21" i="5" s="1"/>
  <c r="N21" i="5"/>
  <c r="Z21" i="5" s="1"/>
  <c r="P20" i="5"/>
  <c r="O20" i="5"/>
  <c r="N20" i="5"/>
  <c r="Z20" i="5" s="1"/>
  <c r="P19" i="5"/>
  <c r="O19" i="5"/>
  <c r="N19" i="5"/>
  <c r="P18" i="5"/>
  <c r="O18" i="5"/>
  <c r="AU18" i="5" s="1"/>
  <c r="N18" i="5"/>
  <c r="Z18" i="5" s="1"/>
  <c r="P17" i="5"/>
  <c r="O17" i="5"/>
  <c r="AJ17" i="5" s="1"/>
  <c r="N17" i="5"/>
  <c r="Z17" i="5" s="1"/>
  <c r="P16" i="5"/>
  <c r="O16" i="5"/>
  <c r="AJ16" i="5" s="1"/>
  <c r="N16" i="5"/>
  <c r="Z16" i="5" s="1"/>
  <c r="P15" i="5"/>
  <c r="O15" i="5"/>
  <c r="AU15" i="5" s="1"/>
  <c r="N15" i="5"/>
  <c r="P14" i="5"/>
  <c r="O14" i="5"/>
  <c r="AJ14" i="5" s="1"/>
  <c r="N14" i="5"/>
  <c r="P13" i="5"/>
  <c r="O13" i="5"/>
  <c r="AU13" i="5" s="1"/>
  <c r="N13" i="5"/>
  <c r="Z13" i="5" s="1"/>
  <c r="P12" i="5"/>
  <c r="O12" i="5"/>
  <c r="N12" i="5"/>
  <c r="Z12" i="5" s="1"/>
  <c r="P11" i="5"/>
  <c r="O11" i="5"/>
  <c r="N11" i="5"/>
  <c r="Z11" i="5" s="1"/>
  <c r="P10" i="5"/>
  <c r="O10" i="5"/>
  <c r="AJ10" i="5" s="1"/>
  <c r="N10" i="5"/>
  <c r="Z10" i="5" s="1"/>
  <c r="P9" i="5"/>
  <c r="O9" i="5"/>
  <c r="AJ9" i="5" s="1"/>
  <c r="N9" i="5"/>
  <c r="Z9" i="5" s="1"/>
  <c r="P8" i="5"/>
  <c r="O8" i="5"/>
  <c r="AU8" i="5" s="1"/>
  <c r="N8" i="5"/>
  <c r="Z8" i="5" s="1"/>
  <c r="P7" i="5"/>
  <c r="O7" i="5"/>
  <c r="AJ7" i="5" s="1"/>
  <c r="N7" i="5"/>
  <c r="P6" i="5"/>
  <c r="O6" i="5"/>
  <c r="AJ6" i="5" s="1"/>
  <c r="N6" i="5"/>
  <c r="P5" i="5"/>
  <c r="O5" i="5"/>
  <c r="AU5" i="5" s="1"/>
  <c r="N5" i="5"/>
  <c r="Z5" i="5" s="1"/>
  <c r="P4" i="5"/>
  <c r="O4" i="5"/>
  <c r="N4" i="5"/>
  <c r="Z4" i="5" s="1"/>
  <c r="AU140" i="5"/>
  <c r="AS140" i="5"/>
  <c r="AT140" i="5" s="1"/>
  <c r="AJ140" i="5"/>
  <c r="AI140" i="5"/>
  <c r="AK140" i="5" s="1"/>
  <c r="Z140" i="5"/>
  <c r="AU139" i="5"/>
  <c r="AS139" i="5"/>
  <c r="AT139" i="5" s="1"/>
  <c r="AJ139" i="5"/>
  <c r="AI139" i="5"/>
  <c r="AK139" i="5" s="1"/>
  <c r="AS138" i="5"/>
  <c r="AT138" i="5" s="1"/>
  <c r="AI138" i="5"/>
  <c r="AO138" i="5" s="1"/>
  <c r="AQ138" i="5" s="1"/>
  <c r="Z138" i="5"/>
  <c r="AS137" i="5"/>
  <c r="AT137" i="5" s="1"/>
  <c r="AI137" i="5"/>
  <c r="AK137" i="5" s="1"/>
  <c r="AN137" i="5" s="1"/>
  <c r="AS136" i="5"/>
  <c r="AT136" i="5" s="1"/>
  <c r="AI136" i="5"/>
  <c r="AK136" i="5" s="1"/>
  <c r="AS135" i="5"/>
  <c r="AT135" i="5" s="1"/>
  <c r="AI135" i="5"/>
  <c r="AO135" i="5" s="1"/>
  <c r="Z135" i="5"/>
  <c r="AS134" i="5"/>
  <c r="AT134" i="5" s="1"/>
  <c r="AI134" i="5"/>
  <c r="Z134" i="5"/>
  <c r="AS133" i="5"/>
  <c r="AT133" i="5" s="1"/>
  <c r="AI133" i="5"/>
  <c r="AU132" i="5"/>
  <c r="AS132" i="5"/>
  <c r="AT132" i="5" s="1"/>
  <c r="AI132" i="5"/>
  <c r="AU131" i="5"/>
  <c r="AS131" i="5"/>
  <c r="AT131" i="5" s="1"/>
  <c r="AJ131" i="5"/>
  <c r="AI131" i="5"/>
  <c r="AK131" i="5" s="1"/>
  <c r="AL131" i="5" s="1"/>
  <c r="AS130" i="5"/>
  <c r="AT130" i="5" s="1"/>
  <c r="AI130" i="5"/>
  <c r="AO130" i="5" s="1"/>
  <c r="AQ130" i="5" s="1"/>
  <c r="AS129" i="5"/>
  <c r="AT129" i="5" s="1"/>
  <c r="AI129" i="5"/>
  <c r="AK129" i="5" s="1"/>
  <c r="AS128" i="5"/>
  <c r="AT128" i="5" s="1"/>
  <c r="AI128" i="5"/>
  <c r="AK128" i="5" s="1"/>
  <c r="Z128" i="5"/>
  <c r="AU127" i="5"/>
  <c r="AS127" i="5"/>
  <c r="AT127" i="5" s="1"/>
  <c r="AI127" i="5"/>
  <c r="AO127" i="5" s="1"/>
  <c r="Z127" i="5"/>
  <c r="AS126" i="5"/>
  <c r="AT126" i="5" s="1"/>
  <c r="AI126" i="5"/>
  <c r="AO126" i="5" s="1"/>
  <c r="Z126" i="5"/>
  <c r="AU125" i="5"/>
  <c r="AS125" i="5"/>
  <c r="AT125" i="5" s="1"/>
  <c r="AI125" i="5"/>
  <c r="AO125" i="5" s="1"/>
  <c r="AU124" i="5"/>
  <c r="AS124" i="5"/>
  <c r="AT124" i="5" s="1"/>
  <c r="AJ124" i="5"/>
  <c r="AI124" i="5"/>
  <c r="AU123" i="5"/>
  <c r="AS123" i="5"/>
  <c r="AT123" i="5" s="1"/>
  <c r="AJ123" i="5"/>
  <c r="AI123" i="5"/>
  <c r="AS122" i="5"/>
  <c r="AT122" i="5" s="1"/>
  <c r="AI122" i="5"/>
  <c r="AS121" i="5"/>
  <c r="AT121" i="5" s="1"/>
  <c r="AI121" i="5"/>
  <c r="AS120" i="5"/>
  <c r="AT120" i="5" s="1"/>
  <c r="AJ120" i="5"/>
  <c r="AI120" i="5"/>
  <c r="AK120" i="5" s="1"/>
  <c r="AS119" i="5"/>
  <c r="AT119" i="5" s="1"/>
  <c r="AI119" i="5"/>
  <c r="AK119" i="5" s="1"/>
  <c r="AL119" i="5" s="1"/>
  <c r="Z119" i="5"/>
  <c r="AS118" i="5"/>
  <c r="AT118" i="5" s="1"/>
  <c r="AI118" i="5"/>
  <c r="AO118" i="5" s="1"/>
  <c r="AR118" i="5" s="1"/>
  <c r="Z118" i="5"/>
  <c r="AS117" i="5"/>
  <c r="AT117" i="5" s="1"/>
  <c r="AI117" i="5"/>
  <c r="AK117" i="5" s="1"/>
  <c r="AN117" i="5" s="1"/>
  <c r="AU116" i="5"/>
  <c r="AS116" i="5"/>
  <c r="AT116" i="5" s="1"/>
  <c r="AJ116" i="5"/>
  <c r="AI116" i="5"/>
  <c r="AO116" i="5" s="1"/>
  <c r="AU115" i="5"/>
  <c r="AS115" i="5"/>
  <c r="AT115" i="5" s="1"/>
  <c r="AJ115" i="5"/>
  <c r="AI115" i="5"/>
  <c r="AO115" i="5" s="1"/>
  <c r="AS114" i="5"/>
  <c r="AT114" i="5" s="1"/>
  <c r="AI114" i="5"/>
  <c r="AS113" i="5"/>
  <c r="AT113" i="5" s="1"/>
  <c r="AI113" i="5"/>
  <c r="AU112" i="5"/>
  <c r="AS112" i="5"/>
  <c r="AT112" i="5" s="1"/>
  <c r="AI112" i="5"/>
  <c r="AK112" i="5" s="1"/>
  <c r="Z112" i="5"/>
  <c r="AS111" i="5"/>
  <c r="AT111" i="5" s="1"/>
  <c r="AI111" i="5"/>
  <c r="AO111" i="5" s="1"/>
  <c r="Z111" i="5"/>
  <c r="AS110" i="5"/>
  <c r="AT110" i="5" s="1"/>
  <c r="AI110" i="5"/>
  <c r="AK110" i="5" s="1"/>
  <c r="AS109" i="5"/>
  <c r="AT109" i="5" s="1"/>
  <c r="AJ109" i="5"/>
  <c r="AI109" i="5"/>
  <c r="AK109" i="5" s="1"/>
  <c r="AL109" i="5" s="1"/>
  <c r="AU108" i="5"/>
  <c r="AS108" i="5"/>
  <c r="AT108" i="5" s="1"/>
  <c r="AJ108" i="5"/>
  <c r="AI108" i="5"/>
  <c r="AO108" i="5" s="1"/>
  <c r="AP108" i="5" s="1"/>
  <c r="AU107" i="5"/>
  <c r="AS107" i="5"/>
  <c r="AT107" i="5" s="1"/>
  <c r="AJ107" i="5"/>
  <c r="AI107" i="5"/>
  <c r="AO107" i="5" s="1"/>
  <c r="AS106" i="5"/>
  <c r="AT106" i="5" s="1"/>
  <c r="AI106" i="5"/>
  <c r="AO106" i="5" s="1"/>
  <c r="AS105" i="5"/>
  <c r="AT105" i="5" s="1"/>
  <c r="AI105" i="5"/>
  <c r="AS104" i="5"/>
  <c r="AT104" i="5" s="1"/>
  <c r="AI104" i="5"/>
  <c r="Z104" i="5"/>
  <c r="AS103" i="5"/>
  <c r="AT103" i="5" s="1"/>
  <c r="AI103" i="5"/>
  <c r="AO103" i="5" s="1"/>
  <c r="Z103" i="5"/>
  <c r="AS102" i="5"/>
  <c r="AT102" i="5" s="1"/>
  <c r="AI102" i="5"/>
  <c r="AO102" i="5" s="1"/>
  <c r="AQ102" i="5" s="1"/>
  <c r="Z102" i="5"/>
  <c r="AU101" i="5"/>
  <c r="AS101" i="5"/>
  <c r="AT101" i="5" s="1"/>
  <c r="AI101" i="5"/>
  <c r="AK101" i="5" s="1"/>
  <c r="AN101" i="5" s="1"/>
  <c r="AU100" i="5"/>
  <c r="AS100" i="5"/>
  <c r="AT100" i="5" s="1"/>
  <c r="AJ100" i="5"/>
  <c r="AI100" i="5"/>
  <c r="AK100" i="5" s="1"/>
  <c r="AU99" i="5"/>
  <c r="AS99" i="5"/>
  <c r="AT99" i="5" s="1"/>
  <c r="AJ99" i="5"/>
  <c r="AI99" i="5"/>
  <c r="AK99" i="5" s="1"/>
  <c r="Z99" i="5"/>
  <c r="AS98" i="5"/>
  <c r="AT98" i="5" s="1"/>
  <c r="AI98" i="5"/>
  <c r="AK98" i="5" s="1"/>
  <c r="AS97" i="5"/>
  <c r="AT97" i="5" s="1"/>
  <c r="AJ97" i="5"/>
  <c r="AI97" i="5"/>
  <c r="AO97" i="5" s="1"/>
  <c r="Z97" i="5"/>
  <c r="AS96" i="5"/>
  <c r="AT96" i="5" s="1"/>
  <c r="AI96" i="5"/>
  <c r="AS95" i="5"/>
  <c r="AT95" i="5" s="1"/>
  <c r="AI95" i="5"/>
  <c r="Z95" i="5"/>
  <c r="AS94" i="5"/>
  <c r="AT94" i="5" s="1"/>
  <c r="AI94" i="5"/>
  <c r="AO94" i="5" s="1"/>
  <c r="Z94" i="5"/>
  <c r="AS93" i="5"/>
  <c r="AT93" i="5" s="1"/>
  <c r="AI93" i="5"/>
  <c r="AK93" i="5" s="1"/>
  <c r="AL93" i="5" s="1"/>
  <c r="AU92" i="5"/>
  <c r="AS92" i="5"/>
  <c r="AT92" i="5" s="1"/>
  <c r="AJ92" i="5"/>
  <c r="AI92" i="5"/>
  <c r="AK92" i="5" s="1"/>
  <c r="AM92" i="5" s="1"/>
  <c r="AU91" i="5"/>
  <c r="AS91" i="5"/>
  <c r="AT91" i="5" s="1"/>
  <c r="AJ91" i="5"/>
  <c r="AI91" i="5"/>
  <c r="AK91" i="5" s="1"/>
  <c r="AS90" i="5"/>
  <c r="AT90" i="5" s="1"/>
  <c r="AI90" i="5"/>
  <c r="AK90" i="5" s="1"/>
  <c r="AS89" i="5"/>
  <c r="AT89" i="5" s="1"/>
  <c r="AI89" i="5"/>
  <c r="AO89" i="5" s="1"/>
  <c r="AP89" i="5" s="1"/>
  <c r="AS88" i="5"/>
  <c r="AT88" i="5" s="1"/>
  <c r="AI88" i="5"/>
  <c r="AS87" i="5"/>
  <c r="AT87" i="5" s="1"/>
  <c r="AI87" i="5"/>
  <c r="Z87" i="5"/>
  <c r="AS86" i="5"/>
  <c r="AT86" i="5" s="1"/>
  <c r="AI86" i="5"/>
  <c r="AO86" i="5" s="1"/>
  <c r="Z86" i="5"/>
  <c r="AS85" i="5"/>
  <c r="AT85" i="5" s="1"/>
  <c r="AI85" i="5"/>
  <c r="AK85" i="5" s="1"/>
  <c r="AU84" i="5"/>
  <c r="AS84" i="5"/>
  <c r="AT84" i="5" s="1"/>
  <c r="AJ84" i="5"/>
  <c r="AI84" i="5"/>
  <c r="AK84" i="5" s="1"/>
  <c r="AM84" i="5" s="1"/>
  <c r="AU83" i="5"/>
  <c r="AS83" i="5"/>
  <c r="AT83" i="5" s="1"/>
  <c r="AJ83" i="5"/>
  <c r="AI83" i="5"/>
  <c r="AK83" i="5" s="1"/>
  <c r="AS82" i="5"/>
  <c r="AT82" i="5" s="1"/>
  <c r="AI82" i="5"/>
  <c r="AK82" i="5" s="1"/>
  <c r="AN82" i="5" s="1"/>
  <c r="AS81" i="5"/>
  <c r="AT81" i="5" s="1"/>
  <c r="AI81" i="5"/>
  <c r="AS80" i="5"/>
  <c r="AT80" i="5" s="1"/>
  <c r="AJ80" i="5"/>
  <c r="AI80" i="5"/>
  <c r="Z80" i="5"/>
  <c r="AS79" i="5"/>
  <c r="AT79" i="5" s="1"/>
  <c r="AI79" i="5"/>
  <c r="Z79" i="5"/>
  <c r="AS78" i="5"/>
  <c r="AT78" i="5" s="1"/>
  <c r="AI78" i="5"/>
  <c r="AO78" i="5" s="1"/>
  <c r="AQ78" i="5" s="1"/>
  <c r="Z78" i="5"/>
  <c r="AS77" i="5"/>
  <c r="AT77" i="5" s="1"/>
  <c r="AJ77" i="5"/>
  <c r="AI77" i="5"/>
  <c r="AK77" i="5" s="1"/>
  <c r="AU76" i="5"/>
  <c r="AS76" i="5"/>
  <c r="AT76" i="5" s="1"/>
  <c r="AJ76" i="5"/>
  <c r="AI76" i="5"/>
  <c r="AK76" i="5" s="1"/>
  <c r="AN76" i="5" s="1"/>
  <c r="AU75" i="5"/>
  <c r="AS75" i="5"/>
  <c r="AT75" i="5" s="1"/>
  <c r="AJ75" i="5"/>
  <c r="AI75" i="5"/>
  <c r="AO75" i="5" s="1"/>
  <c r="Z75" i="5"/>
  <c r="AS74" i="5"/>
  <c r="AT74" i="5" s="1"/>
  <c r="AI74" i="5"/>
  <c r="AK74" i="5" s="1"/>
  <c r="AS73" i="5"/>
  <c r="AT73" i="5" s="1"/>
  <c r="AI73" i="5"/>
  <c r="AS72" i="5"/>
  <c r="AT72" i="5" s="1"/>
  <c r="AJ72" i="5"/>
  <c r="AI72" i="5"/>
  <c r="AS71" i="5"/>
  <c r="AT71" i="5" s="1"/>
  <c r="AI71" i="5"/>
  <c r="Z71" i="5"/>
  <c r="AS70" i="5"/>
  <c r="AT70" i="5" s="1"/>
  <c r="AI70" i="5"/>
  <c r="AK70" i="5" s="1"/>
  <c r="AL70" i="5" s="1"/>
  <c r="Z70" i="5"/>
  <c r="AS69" i="5"/>
  <c r="AT69" i="5" s="1"/>
  <c r="AI69" i="5"/>
  <c r="AK69" i="5" s="1"/>
  <c r="AU68" i="5"/>
  <c r="AS68" i="5"/>
  <c r="AT68" i="5" s="1"/>
  <c r="AJ68" i="5"/>
  <c r="AI68" i="5"/>
  <c r="AK68" i="5" s="1"/>
  <c r="AU67" i="5"/>
  <c r="AS67" i="5"/>
  <c r="AT67" i="5" s="1"/>
  <c r="AJ67" i="5"/>
  <c r="AI67" i="5"/>
  <c r="AK67" i="5" s="1"/>
  <c r="AS66" i="5"/>
  <c r="AT66" i="5" s="1"/>
  <c r="AI66" i="5"/>
  <c r="AK66" i="5" s="1"/>
  <c r="Z66" i="5"/>
  <c r="AS65" i="5"/>
  <c r="AT65" i="5" s="1"/>
  <c r="AJ65" i="5"/>
  <c r="AI65" i="5"/>
  <c r="AS64" i="5"/>
  <c r="AT64" i="5" s="1"/>
  <c r="AJ64" i="5"/>
  <c r="AI64" i="5"/>
  <c r="Z64" i="5"/>
  <c r="AS63" i="5"/>
  <c r="AT63" i="5" s="1"/>
  <c r="AI63" i="5"/>
  <c r="Z63" i="5"/>
  <c r="AS62" i="5"/>
  <c r="AT62" i="5" s="1"/>
  <c r="AI62" i="5"/>
  <c r="AK62" i="5" s="1"/>
  <c r="AL62" i="5" s="1"/>
  <c r="Z62" i="5"/>
  <c r="AS61" i="5"/>
  <c r="AT61" i="5" s="1"/>
  <c r="AJ61" i="5"/>
  <c r="AI61" i="5"/>
  <c r="AK61" i="5" s="1"/>
  <c r="AU60" i="5"/>
  <c r="AS60" i="5"/>
  <c r="AT60" i="5" s="1"/>
  <c r="AJ60" i="5"/>
  <c r="AI60" i="5"/>
  <c r="AK60" i="5" s="1"/>
  <c r="AN60" i="5" s="1"/>
  <c r="Z60" i="5"/>
  <c r="AU59" i="5"/>
  <c r="AS59" i="5"/>
  <c r="AT59" i="5" s="1"/>
  <c r="AJ59" i="5"/>
  <c r="AI59" i="5"/>
  <c r="AO59" i="5" s="1"/>
  <c r="AS58" i="5"/>
  <c r="AT58" i="5" s="1"/>
  <c r="AI58" i="5"/>
  <c r="AK58" i="5" s="1"/>
  <c r="AM58" i="5" s="1"/>
  <c r="AS57" i="5"/>
  <c r="AT57" i="5" s="1"/>
  <c r="AI57" i="5"/>
  <c r="AS56" i="5"/>
  <c r="AT56" i="5" s="1"/>
  <c r="AI56" i="5"/>
  <c r="AS55" i="5"/>
  <c r="AT55" i="5" s="1"/>
  <c r="AJ55" i="5"/>
  <c r="AI55" i="5"/>
  <c r="AO55" i="5" s="1"/>
  <c r="AR55" i="5" s="1"/>
  <c r="Z55" i="5"/>
  <c r="AS54" i="5"/>
  <c r="AT54" i="5" s="1"/>
  <c r="AI54" i="5"/>
  <c r="AK54" i="5" s="1"/>
  <c r="Z54" i="5"/>
  <c r="AS53" i="5"/>
  <c r="AT53" i="5" s="1"/>
  <c r="AI53" i="5"/>
  <c r="AU52" i="5"/>
  <c r="AS52" i="5"/>
  <c r="AT52" i="5" s="1"/>
  <c r="AJ52" i="5"/>
  <c r="AI52" i="5"/>
  <c r="AO52" i="5" s="1"/>
  <c r="AP52" i="5" s="1"/>
  <c r="AU51" i="5"/>
  <c r="AS51" i="5"/>
  <c r="AT51" i="5" s="1"/>
  <c r="AJ51" i="5"/>
  <c r="AI51" i="5"/>
  <c r="AK51" i="5" s="1"/>
  <c r="AL51" i="5" s="1"/>
  <c r="AS50" i="5"/>
  <c r="AT50" i="5" s="1"/>
  <c r="AI50" i="5"/>
  <c r="AK50" i="5" s="1"/>
  <c r="AL50" i="5" s="1"/>
  <c r="AS49" i="5"/>
  <c r="AT49" i="5" s="1"/>
  <c r="AI49" i="5"/>
  <c r="AK49" i="5" s="1"/>
  <c r="AL49" i="5" s="1"/>
  <c r="AS48" i="5"/>
  <c r="AT48" i="5" s="1"/>
  <c r="AJ48" i="5"/>
  <c r="AI48" i="5"/>
  <c r="AO48" i="5" s="1"/>
  <c r="AS47" i="5"/>
  <c r="AT47" i="5" s="1"/>
  <c r="AI47" i="5"/>
  <c r="AK47" i="5" s="1"/>
  <c r="AM47" i="5" s="1"/>
  <c r="Z47" i="5"/>
  <c r="AS46" i="5"/>
  <c r="AT46" i="5" s="1"/>
  <c r="AI46" i="5"/>
  <c r="Z46" i="5"/>
  <c r="AS45" i="5"/>
  <c r="AT45" i="5" s="1"/>
  <c r="AI45" i="5"/>
  <c r="AU44" i="5"/>
  <c r="AS44" i="5"/>
  <c r="AT44" i="5" s="1"/>
  <c r="AJ44" i="5"/>
  <c r="AI44" i="5"/>
  <c r="AO44" i="5" s="1"/>
  <c r="AP44" i="5" s="1"/>
  <c r="Z44" i="5"/>
  <c r="AU43" i="5"/>
  <c r="AS43" i="5"/>
  <c r="AT43" i="5" s="1"/>
  <c r="AJ43" i="5"/>
  <c r="AI43" i="5"/>
  <c r="AK43" i="5" s="1"/>
  <c r="AS42" i="5"/>
  <c r="AT42" i="5" s="1"/>
  <c r="AI42" i="5"/>
  <c r="AK42" i="5" s="1"/>
  <c r="AS41" i="5"/>
  <c r="AT41" i="5" s="1"/>
  <c r="AI41" i="5"/>
  <c r="AO41" i="5" s="1"/>
  <c r="AU40" i="5"/>
  <c r="AS40" i="5"/>
  <c r="AT40" i="5" s="1"/>
  <c r="AI40" i="5"/>
  <c r="AO40" i="5" s="1"/>
  <c r="Z40" i="5"/>
  <c r="AS39" i="5"/>
  <c r="AT39" i="5" s="1"/>
  <c r="AI39" i="5"/>
  <c r="AK39" i="5" s="1"/>
  <c r="AM39" i="5" s="1"/>
  <c r="Z39" i="5"/>
  <c r="AS38" i="5"/>
  <c r="AT38" i="5" s="1"/>
  <c r="AI38" i="5"/>
  <c r="AO38" i="5" s="1"/>
  <c r="AP38" i="5" s="1"/>
  <c r="Z38" i="5"/>
  <c r="AU37" i="5"/>
  <c r="AS37" i="5"/>
  <c r="AT37" i="5" s="1"/>
  <c r="AI37" i="5"/>
  <c r="AU36" i="5"/>
  <c r="AS36" i="5"/>
  <c r="AT36" i="5" s="1"/>
  <c r="AJ36" i="5"/>
  <c r="AI36" i="5"/>
  <c r="AU35" i="5"/>
  <c r="AS35" i="5"/>
  <c r="AT35" i="5" s="1"/>
  <c r="AJ35" i="5"/>
  <c r="AI35" i="5"/>
  <c r="AK35" i="5" s="1"/>
  <c r="Z35" i="5"/>
  <c r="AS34" i="5"/>
  <c r="AT34" i="5" s="1"/>
  <c r="AI34" i="5"/>
  <c r="AU33" i="5"/>
  <c r="AS33" i="5"/>
  <c r="AT33" i="5" s="1"/>
  <c r="AI33" i="5"/>
  <c r="AO33" i="5" s="1"/>
  <c r="AS32" i="5"/>
  <c r="AT32" i="5" s="1"/>
  <c r="AI32" i="5"/>
  <c r="AO32" i="5" s="1"/>
  <c r="AS31" i="5"/>
  <c r="AT31" i="5" s="1"/>
  <c r="AI31" i="5"/>
  <c r="AK31" i="5" s="1"/>
  <c r="AM31" i="5" s="1"/>
  <c r="Z31" i="5"/>
  <c r="AS30" i="5"/>
  <c r="AT30" i="5" s="1"/>
  <c r="AI30" i="5"/>
  <c r="Z30" i="5"/>
  <c r="AS29" i="5"/>
  <c r="AT29" i="5" s="1"/>
  <c r="AI29" i="5"/>
  <c r="AU28" i="5"/>
  <c r="AS28" i="5"/>
  <c r="AT28" i="5" s="1"/>
  <c r="AJ28" i="5"/>
  <c r="AI28" i="5"/>
  <c r="AO28" i="5" s="1"/>
  <c r="AU27" i="5"/>
  <c r="AS27" i="5"/>
  <c r="AT27" i="5" s="1"/>
  <c r="AJ27" i="5"/>
  <c r="AI27" i="5"/>
  <c r="AK27" i="5" s="1"/>
  <c r="AS26" i="5"/>
  <c r="AT26" i="5" s="1"/>
  <c r="AI26" i="5"/>
  <c r="Z26" i="5"/>
  <c r="AU25" i="5"/>
  <c r="AS25" i="5"/>
  <c r="AT25" i="5" s="1"/>
  <c r="AI25" i="5"/>
  <c r="AK25" i="5" s="1"/>
  <c r="AS24" i="5"/>
  <c r="AT24" i="5" s="1"/>
  <c r="AI24" i="5"/>
  <c r="AO24" i="5" s="1"/>
  <c r="AS23" i="5"/>
  <c r="AT23" i="5" s="1"/>
  <c r="AI23" i="5"/>
  <c r="AK23" i="5" s="1"/>
  <c r="Z23" i="5"/>
  <c r="AS22" i="5"/>
  <c r="AT22" i="5" s="1"/>
  <c r="AI22" i="5"/>
  <c r="AO22" i="5" s="1"/>
  <c r="AR22" i="5" s="1"/>
  <c r="AS21" i="5"/>
  <c r="AT21" i="5" s="1"/>
  <c r="AJ21" i="5"/>
  <c r="AI21" i="5"/>
  <c r="AU20" i="5"/>
  <c r="AS20" i="5"/>
  <c r="AT20" i="5" s="1"/>
  <c r="AJ20" i="5"/>
  <c r="AI20" i="5"/>
  <c r="AK20" i="5" s="1"/>
  <c r="AU19" i="5"/>
  <c r="AS19" i="5"/>
  <c r="AT19" i="5" s="1"/>
  <c r="AJ19" i="5"/>
  <c r="AI19" i="5"/>
  <c r="AK19" i="5" s="1"/>
  <c r="AL19" i="5" s="1"/>
  <c r="Z19" i="5"/>
  <c r="AS18" i="5"/>
  <c r="AT18" i="5" s="1"/>
  <c r="AI18" i="5"/>
  <c r="AU17" i="5"/>
  <c r="AS17" i="5"/>
  <c r="AT17" i="5" s="1"/>
  <c r="AI17" i="5"/>
  <c r="AK17" i="5" s="1"/>
  <c r="AS16" i="5"/>
  <c r="AT16" i="5" s="1"/>
  <c r="AI16" i="5"/>
  <c r="AK16" i="5" s="1"/>
  <c r="AS15" i="5"/>
  <c r="AT15" i="5" s="1"/>
  <c r="AI15" i="5"/>
  <c r="AK15" i="5" s="1"/>
  <c r="AM15" i="5" s="1"/>
  <c r="Z15" i="5"/>
  <c r="AS14" i="5"/>
  <c r="AT14" i="5" s="1"/>
  <c r="AI14" i="5"/>
  <c r="Z14" i="5"/>
  <c r="AS13" i="5"/>
  <c r="AT13" i="5" s="1"/>
  <c r="AI13" i="5"/>
  <c r="AU12" i="5"/>
  <c r="AS12" i="5"/>
  <c r="AT12" i="5" s="1"/>
  <c r="AJ12" i="5"/>
  <c r="AI12" i="5"/>
  <c r="AK12" i="5" s="1"/>
  <c r="AU11" i="5"/>
  <c r="AS11" i="5"/>
  <c r="AT11" i="5" s="1"/>
  <c r="AJ11" i="5"/>
  <c r="AI11" i="5"/>
  <c r="AK11" i="5" s="1"/>
  <c r="AM11" i="5" s="1"/>
  <c r="AS10" i="5"/>
  <c r="AT10" i="5" s="1"/>
  <c r="AI10" i="5"/>
  <c r="AK10" i="5" s="1"/>
  <c r="AS9" i="5"/>
  <c r="AT9" i="5" s="1"/>
  <c r="AI9" i="5"/>
  <c r="AO9" i="5" s="1"/>
  <c r="AS8" i="5"/>
  <c r="AT8" i="5" s="1"/>
  <c r="AI8" i="5"/>
  <c r="AK8" i="5" s="1"/>
  <c r="AS7" i="5"/>
  <c r="AT7" i="5" s="1"/>
  <c r="AI7" i="5"/>
  <c r="AK7" i="5" s="1"/>
  <c r="AM7" i="5" s="1"/>
  <c r="Z7" i="5"/>
  <c r="AS6" i="5"/>
  <c r="AT6" i="5" s="1"/>
  <c r="AI6" i="5"/>
  <c r="AO6" i="5" s="1"/>
  <c r="Z6" i="5"/>
  <c r="AS5" i="5"/>
  <c r="AT5" i="5" s="1"/>
  <c r="AI5" i="5"/>
  <c r="AU4" i="5"/>
  <c r="AS4" i="5"/>
  <c r="AT4" i="5" s="1"/>
  <c r="AJ4" i="5"/>
  <c r="AI4" i="5"/>
  <c r="Q27" i="20" l="1"/>
  <c r="AJ15" i="5"/>
  <c r="AJ5" i="5"/>
  <c r="AU10" i="5"/>
  <c r="AJ45" i="5"/>
  <c r="AJ85" i="5"/>
  <c r="AJ117" i="5"/>
  <c r="AJ122" i="5"/>
  <c r="AJ133" i="5"/>
  <c r="AJ13" i="5"/>
  <c r="AJ29" i="5"/>
  <c r="AJ53" i="5"/>
  <c r="AJ69" i="5"/>
  <c r="AU74" i="5"/>
  <c r="AU93" i="5"/>
  <c r="AK130" i="5"/>
  <c r="AO17" i="5"/>
  <c r="AQ17" i="5" s="1"/>
  <c r="AU90" i="5"/>
  <c r="AO15" i="5"/>
  <c r="AV15" i="5" s="1"/>
  <c r="AJ82" i="5"/>
  <c r="AL84" i="5"/>
  <c r="AU26" i="5"/>
  <c r="AU42" i="5"/>
  <c r="AJ114" i="5"/>
  <c r="AJ18" i="5"/>
  <c r="AO67" i="5"/>
  <c r="AJ98" i="5"/>
  <c r="AO31" i="5"/>
  <c r="AP31" i="5" s="1"/>
  <c r="AO100" i="5"/>
  <c r="AR100" i="5" s="1"/>
  <c r="AJ34" i="5"/>
  <c r="AU130" i="5"/>
  <c r="AV130" i="5" s="1"/>
  <c r="AL7" i="5"/>
  <c r="AK9" i="5"/>
  <c r="AN31" i="5"/>
  <c r="AU41" i="5"/>
  <c r="AM49" i="5"/>
  <c r="AJ57" i="5"/>
  <c r="AU89" i="5"/>
  <c r="AO16" i="5"/>
  <c r="AR16" i="5" s="1"/>
  <c r="AU49" i="5"/>
  <c r="AJ73" i="5"/>
  <c r="AK78" i="5"/>
  <c r="AO128" i="5"/>
  <c r="AK138" i="5"/>
  <c r="AL138" i="5" s="1"/>
  <c r="AO90" i="5"/>
  <c r="AP90" i="5" s="1"/>
  <c r="AO99" i="5"/>
  <c r="AR99" i="5" s="1"/>
  <c r="AO110" i="5"/>
  <c r="AR110" i="5" s="1"/>
  <c r="AO8" i="5"/>
  <c r="AP8" i="5" s="1"/>
  <c r="AJ105" i="5"/>
  <c r="AJ121" i="5"/>
  <c r="AL15" i="5"/>
  <c r="AJ81" i="5"/>
  <c r="AM109" i="5"/>
  <c r="AJ113" i="5"/>
  <c r="AK127" i="5"/>
  <c r="AL127" i="5" s="1"/>
  <c r="AJ129" i="5"/>
  <c r="AJ137" i="5"/>
  <c r="AU9" i="5"/>
  <c r="AO98" i="5"/>
  <c r="AV98" i="5" s="1"/>
  <c r="AW98" i="5" s="1"/>
  <c r="AK103" i="5"/>
  <c r="AN103" i="5" s="1"/>
  <c r="AN109" i="5"/>
  <c r="AO51" i="5"/>
  <c r="AQ51" i="5" s="1"/>
  <c r="AL8" i="5"/>
  <c r="AN8" i="5"/>
  <c r="AM8" i="5"/>
  <c r="AL83" i="5"/>
  <c r="AM83" i="5"/>
  <c r="AN83" i="5"/>
  <c r="AR6" i="5"/>
  <c r="AQ6" i="5"/>
  <c r="AP6" i="5"/>
  <c r="AN17" i="5"/>
  <c r="AM17" i="5"/>
  <c r="AL17" i="5"/>
  <c r="AQ86" i="5"/>
  <c r="AP86" i="5"/>
  <c r="AR86" i="5"/>
  <c r="AQ41" i="5"/>
  <c r="AR41" i="5"/>
  <c r="AM68" i="5"/>
  <c r="AL68" i="5"/>
  <c r="AN68" i="5"/>
  <c r="AQ103" i="5"/>
  <c r="AR103" i="5"/>
  <c r="AP103" i="5"/>
  <c r="AL16" i="5"/>
  <c r="AM16" i="5"/>
  <c r="AQ33" i="5"/>
  <c r="AR33" i="5"/>
  <c r="AQ111" i="5"/>
  <c r="AR111" i="5"/>
  <c r="AP111" i="5"/>
  <c r="AL99" i="5"/>
  <c r="AN99" i="5"/>
  <c r="AM99" i="5"/>
  <c r="AM10" i="5"/>
  <c r="AL10" i="5"/>
  <c r="AL67" i="5"/>
  <c r="AM67" i="5"/>
  <c r="AN67" i="5"/>
  <c r="AL91" i="5"/>
  <c r="AN91" i="5"/>
  <c r="AM91" i="5"/>
  <c r="AQ94" i="5"/>
  <c r="AP94" i="5"/>
  <c r="AR94" i="5"/>
  <c r="AL100" i="5"/>
  <c r="AN100" i="5"/>
  <c r="AQ52" i="5"/>
  <c r="AO25" i="5"/>
  <c r="AP25" i="5" s="1"/>
  <c r="AK28" i="5"/>
  <c r="AV28" i="5" s="1"/>
  <c r="AN49" i="5"/>
  <c r="AR52" i="5"/>
  <c r="AK59" i="5"/>
  <c r="AL59" i="5" s="1"/>
  <c r="AL60" i="5"/>
  <c r="AU62" i="5"/>
  <c r="AP78" i="5"/>
  <c r="AO83" i="5"/>
  <c r="AV83" i="5" s="1"/>
  <c r="AN84" i="5"/>
  <c r="AO91" i="5"/>
  <c r="AR91" i="5" s="1"/>
  <c r="AV99" i="5"/>
  <c r="AW99" i="5" s="1"/>
  <c r="AK102" i="5"/>
  <c r="AN102" i="5" s="1"/>
  <c r="AO109" i="5"/>
  <c r="AQ109" i="5" s="1"/>
  <c r="AK118" i="5"/>
  <c r="AN118" i="5" s="1"/>
  <c r="AR130" i="5"/>
  <c r="AR138" i="5"/>
  <c r="AO66" i="5"/>
  <c r="AP66" i="5" s="1"/>
  <c r="AK24" i="5"/>
  <c r="AK33" i="5"/>
  <c r="AK40" i="5"/>
  <c r="AV40" i="5" s="1"/>
  <c r="AW40" i="5" s="1"/>
  <c r="AK41" i="5"/>
  <c r="AL47" i="5"/>
  <c r="AK48" i="5"/>
  <c r="AN48" i="5" s="1"/>
  <c r="AO49" i="5"/>
  <c r="AM60" i="5"/>
  <c r="AR78" i="5"/>
  <c r="AO82" i="5"/>
  <c r="AR82" i="5" s="1"/>
  <c r="AM117" i="5"/>
  <c r="AO119" i="5"/>
  <c r="AN7" i="5"/>
  <c r="AU14" i="5"/>
  <c r="AJ30" i="5"/>
  <c r="AN47" i="5"/>
  <c r="AL58" i="5"/>
  <c r="AK75" i="5"/>
  <c r="AJ94" i="5"/>
  <c r="AK111" i="5"/>
  <c r="AM111" i="5" s="1"/>
  <c r="AO117" i="5"/>
  <c r="AR117" i="5" s="1"/>
  <c r="AO47" i="5"/>
  <c r="AP47" i="5" s="1"/>
  <c r="AN58" i="5"/>
  <c r="AO74" i="5"/>
  <c r="AV74" i="5" s="1"/>
  <c r="AM76" i="5"/>
  <c r="AK86" i="5"/>
  <c r="AM86" i="5" s="1"/>
  <c r="AK94" i="5"/>
  <c r="AV94" i="5" s="1"/>
  <c r="AO23" i="5"/>
  <c r="AV23" i="5" s="1"/>
  <c r="AK32" i="5"/>
  <c r="AL32" i="5" s="1"/>
  <c r="AN39" i="5"/>
  <c r="AO58" i="5"/>
  <c r="AR58" i="5" s="1"/>
  <c r="AK106" i="5"/>
  <c r="AM106" i="5" s="1"/>
  <c r="AO20" i="5"/>
  <c r="AQ20" i="5" s="1"/>
  <c r="AO39" i="5"/>
  <c r="AP39" i="5" s="1"/>
  <c r="AJ134" i="5"/>
  <c r="AO136" i="5"/>
  <c r="AJ23" i="5"/>
  <c r="AJ31" i="5"/>
  <c r="AJ87" i="5"/>
  <c r="AU119" i="5"/>
  <c r="AU135" i="5"/>
  <c r="AU39" i="5"/>
  <c r="AJ50" i="5"/>
  <c r="AU63" i="5"/>
  <c r="AU66" i="5"/>
  <c r="AJ106" i="5"/>
  <c r="AU7" i="5"/>
  <c r="AJ58" i="5"/>
  <c r="AJ71" i="5"/>
  <c r="AU78" i="5"/>
  <c r="AV78" i="5" s="1"/>
  <c r="AU138" i="5"/>
  <c r="AU22" i="5"/>
  <c r="AU47" i="5"/>
  <c r="AJ79" i="5"/>
  <c r="AJ111" i="5"/>
  <c r="AJ54" i="5"/>
  <c r="AU103" i="5"/>
  <c r="AU118" i="5"/>
  <c r="AJ95" i="5"/>
  <c r="AU70" i="5"/>
  <c r="AJ110" i="5"/>
  <c r="AJ24" i="5"/>
  <c r="AJ38" i="5"/>
  <c r="AJ136" i="5"/>
  <c r="AJ8" i="5"/>
  <c r="AU16" i="5"/>
  <c r="AU86" i="5"/>
  <c r="AJ88" i="5"/>
  <c r="AU126" i="5"/>
  <c r="AU32" i="5"/>
  <c r="AV59" i="5"/>
  <c r="AW59" i="5" s="1"/>
  <c r="AY59" i="5" s="1"/>
  <c r="AU128" i="5"/>
  <c r="AJ96" i="5"/>
  <c r="AU6" i="5"/>
  <c r="AJ46" i="5"/>
  <c r="AJ56" i="5"/>
  <c r="AU102" i="5"/>
  <c r="AJ104" i="5"/>
  <c r="AO13" i="5"/>
  <c r="AK13" i="5"/>
  <c r="AO45" i="5"/>
  <c r="AK45" i="5"/>
  <c r="AN54" i="5"/>
  <c r="AM54" i="5"/>
  <c r="AL54" i="5"/>
  <c r="AN93" i="5"/>
  <c r="AM93" i="5"/>
  <c r="AN20" i="5"/>
  <c r="AM20" i="5"/>
  <c r="AL20" i="5"/>
  <c r="AN42" i="5"/>
  <c r="AR32" i="5"/>
  <c r="AQ32" i="5"/>
  <c r="AP32" i="5"/>
  <c r="AO36" i="5"/>
  <c r="AK36" i="5"/>
  <c r="AL42" i="5"/>
  <c r="AN61" i="5"/>
  <c r="AM61" i="5"/>
  <c r="AL61" i="5"/>
  <c r="AK4" i="5"/>
  <c r="AO4" i="5"/>
  <c r="AN19" i="5"/>
  <c r="AM19" i="5"/>
  <c r="AO71" i="5"/>
  <c r="AK71" i="5"/>
  <c r="AM23" i="5"/>
  <c r="AN23" i="5"/>
  <c r="AL23" i="5"/>
  <c r="AN25" i="5"/>
  <c r="AM25" i="5"/>
  <c r="AL25" i="5"/>
  <c r="AO26" i="5"/>
  <c r="AK26" i="5"/>
  <c r="AN27" i="5"/>
  <c r="AM27" i="5"/>
  <c r="AL27" i="5"/>
  <c r="AN28" i="5"/>
  <c r="AL28" i="5"/>
  <c r="AM42" i="5"/>
  <c r="AN50" i="5"/>
  <c r="AM50" i="5"/>
  <c r="AK14" i="5"/>
  <c r="AO14" i="5"/>
  <c r="AL48" i="5"/>
  <c r="AM48" i="5"/>
  <c r="AR39" i="5"/>
  <c r="AO18" i="5"/>
  <c r="AK18" i="5"/>
  <c r="AP28" i="5"/>
  <c r="AR28" i="5"/>
  <c r="AQ28" i="5"/>
  <c r="AR38" i="5"/>
  <c r="AQ38" i="5"/>
  <c r="AK5" i="5"/>
  <c r="AN10" i="5"/>
  <c r="AQ22" i="5"/>
  <c r="AR24" i="5"/>
  <c r="AQ24" i="5"/>
  <c r="AP24" i="5"/>
  <c r="AR44" i="5"/>
  <c r="AK46" i="5"/>
  <c r="AR66" i="5"/>
  <c r="AO79" i="5"/>
  <c r="AK79" i="5"/>
  <c r="AK81" i="5"/>
  <c r="AO81" i="5"/>
  <c r="AL102" i="5"/>
  <c r="AO10" i="5"/>
  <c r="AV10" i="5" s="1"/>
  <c r="BB10" i="5" s="1"/>
  <c r="AN15" i="5"/>
  <c r="AK22" i="5"/>
  <c r="AR40" i="5"/>
  <c r="AQ40" i="5"/>
  <c r="AP40" i="5"/>
  <c r="AO46" i="5"/>
  <c r="AO53" i="5"/>
  <c r="AK53" i="5"/>
  <c r="AO56" i="5"/>
  <c r="AK56" i="5"/>
  <c r="AK73" i="5"/>
  <c r="AO73" i="5"/>
  <c r="AM74" i="5"/>
  <c r="AL74" i="5"/>
  <c r="AY99" i="5"/>
  <c r="AX99" i="5"/>
  <c r="AO5" i="5"/>
  <c r="AR15" i="5"/>
  <c r="AO21" i="5"/>
  <c r="AK21" i="5"/>
  <c r="AK30" i="5"/>
  <c r="AO34" i="5"/>
  <c r="AN35" i="5"/>
  <c r="AM35" i="5"/>
  <c r="AK57" i="5"/>
  <c r="AO57" i="5"/>
  <c r="AO63" i="5"/>
  <c r="AK63" i="5"/>
  <c r="AP15" i="5"/>
  <c r="AN16" i="5"/>
  <c r="AO29" i="5"/>
  <c r="AK29" i="5"/>
  <c r="AL31" i="5"/>
  <c r="AL35" i="5"/>
  <c r="AK44" i="5"/>
  <c r="AR48" i="5"/>
  <c r="AQ48" i="5"/>
  <c r="AP48" i="5"/>
  <c r="AP55" i="5"/>
  <c r="AQ55" i="5"/>
  <c r="AK65" i="5"/>
  <c r="AO65" i="5"/>
  <c r="AM66" i="5"/>
  <c r="AL66" i="5"/>
  <c r="AN74" i="5"/>
  <c r="AR75" i="5"/>
  <c r="AQ75" i="5"/>
  <c r="AP75" i="5"/>
  <c r="AQ9" i="5"/>
  <c r="AP9" i="5"/>
  <c r="AK34" i="5"/>
  <c r="AK38" i="5"/>
  <c r="AO42" i="5"/>
  <c r="AN43" i="5"/>
  <c r="AM43" i="5"/>
  <c r="AQ74" i="5"/>
  <c r="AN77" i="5"/>
  <c r="AM77" i="5"/>
  <c r="AL77" i="5"/>
  <c r="AN140" i="5"/>
  <c r="AM140" i="5"/>
  <c r="AL140" i="5"/>
  <c r="AN11" i="5"/>
  <c r="AN12" i="5"/>
  <c r="AM12" i="5"/>
  <c r="AL12" i="5"/>
  <c r="AK6" i="5"/>
  <c r="AO7" i="5"/>
  <c r="AR9" i="5"/>
  <c r="AL11" i="5"/>
  <c r="AO12" i="5"/>
  <c r="AV12" i="5" s="1"/>
  <c r="AW12" i="5" s="1"/>
  <c r="AP22" i="5"/>
  <c r="AO30" i="5"/>
  <c r="AR31" i="5"/>
  <c r="AQ31" i="5"/>
  <c r="AO37" i="5"/>
  <c r="AK37" i="5"/>
  <c r="AL39" i="5"/>
  <c r="AL43" i="5"/>
  <c r="AQ44" i="5"/>
  <c r="AO50" i="5"/>
  <c r="AN51" i="5"/>
  <c r="AM51" i="5"/>
  <c r="AK52" i="5"/>
  <c r="AN66" i="5"/>
  <c r="AR67" i="5"/>
  <c r="AQ67" i="5"/>
  <c r="AP67" i="5"/>
  <c r="AV67" i="5"/>
  <c r="AW67" i="5" s="1"/>
  <c r="AP74" i="5"/>
  <c r="AN78" i="5"/>
  <c r="AM78" i="5"/>
  <c r="AL78" i="5"/>
  <c r="AR97" i="5"/>
  <c r="AQ97" i="5"/>
  <c r="AP97" i="5"/>
  <c r="AN69" i="5"/>
  <c r="AQ83" i="5"/>
  <c r="AN85" i="5"/>
  <c r="AM85" i="5"/>
  <c r="AM98" i="5"/>
  <c r="AL98" i="5"/>
  <c r="AO123" i="5"/>
  <c r="AK123" i="5"/>
  <c r="AK133" i="5"/>
  <c r="AO133" i="5"/>
  <c r="AN139" i="5"/>
  <c r="AM139" i="5"/>
  <c r="AL139" i="5"/>
  <c r="AP17" i="5"/>
  <c r="AP33" i="5"/>
  <c r="AP41" i="5"/>
  <c r="AP49" i="5"/>
  <c r="AO64" i="5"/>
  <c r="AK64" i="5"/>
  <c r="AL69" i="5"/>
  <c r="AO72" i="5"/>
  <c r="AK72" i="5"/>
  <c r="AL85" i="5"/>
  <c r="AR89" i="5"/>
  <c r="AQ89" i="5"/>
  <c r="AO95" i="5"/>
  <c r="AK95" i="5"/>
  <c r="AO11" i="5"/>
  <c r="AO19" i="5"/>
  <c r="AO27" i="5"/>
  <c r="AV27" i="5" s="1"/>
  <c r="BB27" i="5" s="1"/>
  <c r="AO35" i="5"/>
  <c r="AV35" i="5" s="1"/>
  <c r="AO43" i="5"/>
  <c r="AV43" i="5" s="1"/>
  <c r="BB43" i="5" s="1"/>
  <c r="AK55" i="5"/>
  <c r="AR59" i="5"/>
  <c r="AQ59" i="5"/>
  <c r="AP59" i="5"/>
  <c r="AM69" i="5"/>
  <c r="AL76" i="5"/>
  <c r="AO80" i="5"/>
  <c r="AK80" i="5"/>
  <c r="AM90" i="5"/>
  <c r="AL90" i="5"/>
  <c r="AN92" i="5"/>
  <c r="AO96" i="5"/>
  <c r="AK96" i="5"/>
  <c r="AN98" i="5"/>
  <c r="AR106" i="5"/>
  <c r="AQ106" i="5"/>
  <c r="AP106" i="5"/>
  <c r="AN110" i="5"/>
  <c r="AM110" i="5"/>
  <c r="AL110" i="5"/>
  <c r="AV111" i="5"/>
  <c r="AL111" i="5"/>
  <c r="AN119" i="5"/>
  <c r="AM119" i="5"/>
  <c r="AO87" i="5"/>
  <c r="AK87" i="5"/>
  <c r="AR107" i="5"/>
  <c r="AQ107" i="5"/>
  <c r="AP107" i="5"/>
  <c r="AO61" i="5"/>
  <c r="AN62" i="5"/>
  <c r="AM62" i="5"/>
  <c r="AN70" i="5"/>
  <c r="AM70" i="5"/>
  <c r="AM82" i="5"/>
  <c r="AL82" i="5"/>
  <c r="AO88" i="5"/>
  <c r="AK88" i="5"/>
  <c r="AN90" i="5"/>
  <c r="AL92" i="5"/>
  <c r="AP100" i="5"/>
  <c r="AN112" i="5"/>
  <c r="AM112" i="5"/>
  <c r="AL112" i="5"/>
  <c r="AR125" i="5"/>
  <c r="AQ125" i="5"/>
  <c r="AP125" i="5"/>
  <c r="AN128" i="5"/>
  <c r="AM128" i="5"/>
  <c r="AL128" i="5"/>
  <c r="AR90" i="5"/>
  <c r="AQ90" i="5"/>
  <c r="AO124" i="5"/>
  <c r="AK124" i="5"/>
  <c r="AK114" i="5"/>
  <c r="AR115" i="5"/>
  <c r="AQ115" i="5"/>
  <c r="AR116" i="5"/>
  <c r="AQ116" i="5"/>
  <c r="AP116" i="5"/>
  <c r="AO122" i="5"/>
  <c r="AK122" i="5"/>
  <c r="AO60" i="5"/>
  <c r="AO68" i="5"/>
  <c r="AO76" i="5"/>
  <c r="AO84" i="5"/>
  <c r="AV84" i="5" s="1"/>
  <c r="AP91" i="5"/>
  <c r="AO92" i="5"/>
  <c r="AV92" i="5" s="1"/>
  <c r="AP99" i="5"/>
  <c r="AR108" i="5"/>
  <c r="AQ108" i="5"/>
  <c r="AP115" i="5"/>
  <c r="AO69" i="5"/>
  <c r="AV69" i="5" s="1"/>
  <c r="BB69" i="5" s="1"/>
  <c r="AO77" i="5"/>
  <c r="AV77" i="5" s="1"/>
  <c r="AO85" i="5"/>
  <c r="AK89" i="5"/>
  <c r="AQ91" i="5"/>
  <c r="AO93" i="5"/>
  <c r="AK97" i="5"/>
  <c r="AQ99" i="5"/>
  <c r="AL101" i="5"/>
  <c r="AO114" i="5"/>
  <c r="AO120" i="5"/>
  <c r="AN129" i="5"/>
  <c r="AM129" i="5"/>
  <c r="AL129" i="5"/>
  <c r="AN130" i="5"/>
  <c r="AM130" i="5"/>
  <c r="AO54" i="5"/>
  <c r="AV54" i="5" s="1"/>
  <c r="AO62" i="5"/>
  <c r="AO70" i="5"/>
  <c r="AM101" i="5"/>
  <c r="AR102" i="5"/>
  <c r="AP102" i="5"/>
  <c r="AL103" i="5"/>
  <c r="AO104" i="5"/>
  <c r="AO105" i="5"/>
  <c r="AO113" i="5"/>
  <c r="AL117" i="5"/>
  <c r="AR126" i="5"/>
  <c r="AQ126" i="5"/>
  <c r="AP126" i="5"/>
  <c r="AL130" i="5"/>
  <c r="AK107" i="5"/>
  <c r="AN120" i="5"/>
  <c r="AM120" i="5"/>
  <c r="AL120" i="5"/>
  <c r="AN136" i="5"/>
  <c r="AM136" i="5"/>
  <c r="AL136" i="5"/>
  <c r="AV136" i="5"/>
  <c r="AO139" i="5"/>
  <c r="AV139" i="5" s="1"/>
  <c r="AW139" i="5" s="1"/>
  <c r="AM100" i="5"/>
  <c r="AV100" i="5"/>
  <c r="AW100" i="5" s="1"/>
  <c r="AO101" i="5"/>
  <c r="AV101" i="5" s="1"/>
  <c r="BB101" i="5" s="1"/>
  <c r="AK104" i="5"/>
  <c r="AK105" i="5"/>
  <c r="AO112" i="5"/>
  <c r="AK113" i="5"/>
  <c r="AO121" i="5"/>
  <c r="AK121" i="5"/>
  <c r="AN131" i="5"/>
  <c r="AM131" i="5"/>
  <c r="AK134" i="5"/>
  <c r="AO134" i="5"/>
  <c r="AR127" i="5"/>
  <c r="AQ127" i="5"/>
  <c r="AO132" i="5"/>
  <c r="AK115" i="5"/>
  <c r="AP118" i="5"/>
  <c r="AP127" i="5"/>
  <c r="AQ128" i="5"/>
  <c r="AP128" i="5"/>
  <c r="AL137" i="5"/>
  <c r="AK108" i="5"/>
  <c r="AK116" i="5"/>
  <c r="AQ118" i="5"/>
  <c r="AO131" i="5"/>
  <c r="AV131" i="5" s="1"/>
  <c r="BB131" i="5" s="1"/>
  <c r="AK132" i="5"/>
  <c r="AR135" i="5"/>
  <c r="AQ135" i="5"/>
  <c r="AM137" i="5"/>
  <c r="AO140" i="5"/>
  <c r="AK125" i="5"/>
  <c r="AK126" i="5"/>
  <c r="AP135" i="5"/>
  <c r="AR136" i="5"/>
  <c r="AQ136" i="5"/>
  <c r="AP136" i="5"/>
  <c r="AO129" i="5"/>
  <c r="AV129" i="5" s="1"/>
  <c r="BB129" i="5" s="1"/>
  <c r="AO137" i="5"/>
  <c r="AP130" i="5"/>
  <c r="AK135" i="5"/>
  <c r="AP138" i="5"/>
  <c r="AV128" i="5" l="1"/>
  <c r="AV9" i="5"/>
  <c r="AW9" i="5" s="1"/>
  <c r="BB15" i="5"/>
  <c r="BC15" i="5" s="1"/>
  <c r="AW15" i="5"/>
  <c r="AX15" i="5" s="1"/>
  <c r="AM59" i="5"/>
  <c r="AM102" i="5"/>
  <c r="AV103" i="5"/>
  <c r="BB103" i="5" s="1"/>
  <c r="BD103" i="5" s="1"/>
  <c r="AR128" i="5"/>
  <c r="AP117" i="5"/>
  <c r="AN59" i="5"/>
  <c r="AV102" i="5"/>
  <c r="AV119" i="5"/>
  <c r="AV138" i="5"/>
  <c r="AV93" i="5"/>
  <c r="BB93" i="5" s="1"/>
  <c r="BC93" i="5" s="1"/>
  <c r="AQ100" i="5"/>
  <c r="AL94" i="5"/>
  <c r="AQ15" i="5"/>
  <c r="AN138" i="5"/>
  <c r="AV90" i="5"/>
  <c r="BB90" i="5" s="1"/>
  <c r="AV66" i="5"/>
  <c r="AV17" i="5"/>
  <c r="AM138" i="5"/>
  <c r="BB99" i="5"/>
  <c r="AM32" i="5"/>
  <c r="AM103" i="5"/>
  <c r="AV8" i="5"/>
  <c r="BB8" i="5" s="1"/>
  <c r="AV20" i="5"/>
  <c r="BB20" i="5" s="1"/>
  <c r="AL106" i="5"/>
  <c r="AV51" i="5"/>
  <c r="AR74" i="5"/>
  <c r="AQ8" i="5"/>
  <c r="AP20" i="5"/>
  <c r="AV16" i="5"/>
  <c r="AR17" i="5"/>
  <c r="AR8" i="5"/>
  <c r="AN106" i="5"/>
  <c r="AP16" i="5"/>
  <c r="AY15" i="5"/>
  <c r="BA15" i="5" s="1"/>
  <c r="AZ15" i="5" s="1"/>
  <c r="AM127" i="5"/>
  <c r="AR51" i="5"/>
  <c r="AV106" i="5"/>
  <c r="BB106" i="5" s="1"/>
  <c r="AQ16" i="5"/>
  <c r="AV42" i="5"/>
  <c r="BB42" i="5" s="1"/>
  <c r="AV127" i="5"/>
  <c r="AR20" i="5"/>
  <c r="AN32" i="5"/>
  <c r="AV31" i="5"/>
  <c r="AN127" i="5"/>
  <c r="BB28" i="5"/>
  <c r="AW28" i="5"/>
  <c r="AR23" i="5"/>
  <c r="AQ39" i="5"/>
  <c r="AV62" i="5"/>
  <c r="BB62" i="5" s="1"/>
  <c r="AP98" i="5"/>
  <c r="AL9" i="5"/>
  <c r="AN9" i="5"/>
  <c r="AM9" i="5"/>
  <c r="AP110" i="5"/>
  <c r="AQ98" i="5"/>
  <c r="AL86" i="5"/>
  <c r="AP83" i="5"/>
  <c r="AQ66" i="5"/>
  <c r="AV48" i="5"/>
  <c r="AW48" i="5" s="1"/>
  <c r="AY48" i="5" s="1"/>
  <c r="AR98" i="5"/>
  <c r="AP109" i="5"/>
  <c r="AR83" i="5"/>
  <c r="AM28" i="5"/>
  <c r="BB9" i="5"/>
  <c r="AV58" i="5"/>
  <c r="BB58" i="5" s="1"/>
  <c r="AP51" i="5"/>
  <c r="AV110" i="5"/>
  <c r="AW110" i="5" s="1"/>
  <c r="AY110" i="5" s="1"/>
  <c r="AQ110" i="5"/>
  <c r="AV39" i="5"/>
  <c r="AV91" i="5"/>
  <c r="AW83" i="5"/>
  <c r="BB83" i="5"/>
  <c r="BC83" i="5" s="1"/>
  <c r="AN33" i="5"/>
  <c r="AM33" i="5"/>
  <c r="AV33" i="5"/>
  <c r="AL33" i="5"/>
  <c r="BB98" i="5"/>
  <c r="BC98" i="5" s="1"/>
  <c r="AV117" i="5"/>
  <c r="AL75" i="5"/>
  <c r="AN75" i="5"/>
  <c r="AM75" i="5"/>
  <c r="AR109" i="5"/>
  <c r="AN111" i="5"/>
  <c r="AN86" i="5"/>
  <c r="AQ23" i="5"/>
  <c r="AR47" i="5"/>
  <c r="AL40" i="5"/>
  <c r="AN40" i="5"/>
  <c r="AM40" i="5"/>
  <c r="AQ25" i="5"/>
  <c r="AR25" i="5"/>
  <c r="AM94" i="5"/>
  <c r="AL24" i="5"/>
  <c r="AM24" i="5"/>
  <c r="AN94" i="5"/>
  <c r="AN24" i="5"/>
  <c r="AP82" i="5"/>
  <c r="AV25" i="5"/>
  <c r="BB25" i="5" s="1"/>
  <c r="AV47" i="5"/>
  <c r="BB47" i="5" s="1"/>
  <c r="BC47" i="5" s="1"/>
  <c r="AV109" i="5"/>
  <c r="AM118" i="5"/>
  <c r="AL118" i="5"/>
  <c r="BD15" i="5"/>
  <c r="AP58" i="5"/>
  <c r="AQ58" i="5"/>
  <c r="AP23" i="5"/>
  <c r="AW20" i="5"/>
  <c r="AQ82" i="5"/>
  <c r="AV118" i="5"/>
  <c r="AQ49" i="5"/>
  <c r="AR49" i="5"/>
  <c r="AV49" i="5"/>
  <c r="AQ117" i="5"/>
  <c r="AV82" i="5"/>
  <c r="BB82" i="5" s="1"/>
  <c r="AV24" i="5"/>
  <c r="AW24" i="5" s="1"/>
  <c r="AX24" i="5" s="1"/>
  <c r="AV75" i="5"/>
  <c r="AW75" i="5" s="1"/>
  <c r="AQ47" i="5"/>
  <c r="AV32" i="5"/>
  <c r="AW32" i="5" s="1"/>
  <c r="AV86" i="5"/>
  <c r="AW86" i="5" s="1"/>
  <c r="AQ119" i="5"/>
  <c r="AR119" i="5"/>
  <c r="AP119" i="5"/>
  <c r="AN41" i="5"/>
  <c r="AM41" i="5"/>
  <c r="AL41" i="5"/>
  <c r="AV41" i="5"/>
  <c r="AW90" i="5"/>
  <c r="AY90" i="5" s="1"/>
  <c r="BB75" i="5"/>
  <c r="BC75" i="5" s="1"/>
  <c r="AW106" i="5"/>
  <c r="AX106" i="5" s="1"/>
  <c r="AX59" i="5"/>
  <c r="BB59" i="5"/>
  <c r="BC103" i="5"/>
  <c r="BD83" i="5"/>
  <c r="BB67" i="5"/>
  <c r="BC67" i="5" s="1"/>
  <c r="BB92" i="5"/>
  <c r="AW92" i="5"/>
  <c r="BB35" i="5"/>
  <c r="AW35" i="5"/>
  <c r="AX139" i="5"/>
  <c r="AY139" i="5"/>
  <c r="AX12" i="5"/>
  <c r="AY12" i="5"/>
  <c r="BB54" i="5"/>
  <c r="AW54" i="5"/>
  <c r="BB77" i="5"/>
  <c r="AW77" i="5"/>
  <c r="BB84" i="5"/>
  <c r="AW84" i="5"/>
  <c r="AP112" i="5"/>
  <c r="AR112" i="5"/>
  <c r="AQ112" i="5"/>
  <c r="AV72" i="5"/>
  <c r="AN72" i="5"/>
  <c r="AM72" i="5"/>
  <c r="AL72" i="5"/>
  <c r="BD28" i="5"/>
  <c r="BC28" i="5"/>
  <c r="BB74" i="5"/>
  <c r="AW74" i="5"/>
  <c r="AR18" i="5"/>
  <c r="AP18" i="5"/>
  <c r="AQ18" i="5"/>
  <c r="AW138" i="5"/>
  <c r="BB138" i="5"/>
  <c r="AV89" i="5"/>
  <c r="AN89" i="5"/>
  <c r="AM89" i="5"/>
  <c r="AL89" i="5"/>
  <c r="BE103" i="5"/>
  <c r="BF103" i="5" s="1"/>
  <c r="BD43" i="5"/>
  <c r="BC43" i="5"/>
  <c r="AW27" i="5"/>
  <c r="AV26" i="5"/>
  <c r="AN26" i="5"/>
  <c r="AM26" i="5"/>
  <c r="AL26" i="5"/>
  <c r="AL135" i="5"/>
  <c r="AN135" i="5"/>
  <c r="AM135" i="5"/>
  <c r="AV135" i="5"/>
  <c r="AR129" i="5"/>
  <c r="AQ129" i="5"/>
  <c r="AP129" i="5"/>
  <c r="AR140" i="5"/>
  <c r="AQ140" i="5"/>
  <c r="AP140" i="5"/>
  <c r="AV113" i="5"/>
  <c r="AN113" i="5"/>
  <c r="AM113" i="5"/>
  <c r="AL113" i="5"/>
  <c r="AY100" i="5"/>
  <c r="AX100" i="5"/>
  <c r="AR114" i="5"/>
  <c r="AQ114" i="5"/>
  <c r="AP114" i="5"/>
  <c r="AR93" i="5"/>
  <c r="AQ93" i="5"/>
  <c r="AP93" i="5"/>
  <c r="AW118" i="5"/>
  <c r="BB118" i="5"/>
  <c r="AQ122" i="5"/>
  <c r="AP122" i="5"/>
  <c r="AR122" i="5"/>
  <c r="AR88" i="5"/>
  <c r="AP88" i="5"/>
  <c r="AQ88" i="5"/>
  <c r="AP87" i="5"/>
  <c r="AQ87" i="5"/>
  <c r="AR87" i="5"/>
  <c r="AR96" i="5"/>
  <c r="AQ96" i="5"/>
  <c r="AP96" i="5"/>
  <c r="AQ43" i="5"/>
  <c r="AP43" i="5"/>
  <c r="AR43" i="5"/>
  <c r="AQ64" i="5"/>
  <c r="AR64" i="5"/>
  <c r="AP64" i="5"/>
  <c r="AW94" i="5"/>
  <c r="BB94" i="5"/>
  <c r="AY67" i="5"/>
  <c r="AX67" i="5"/>
  <c r="AX28" i="5"/>
  <c r="AY28" i="5"/>
  <c r="AV38" i="5"/>
  <c r="AN38" i="5"/>
  <c r="AL38" i="5"/>
  <c r="AM38" i="5"/>
  <c r="AV65" i="5"/>
  <c r="AN65" i="5"/>
  <c r="AM65" i="5"/>
  <c r="AL65" i="5"/>
  <c r="AP63" i="5"/>
  <c r="AR63" i="5"/>
  <c r="AQ63" i="5"/>
  <c r="AW43" i="5"/>
  <c r="BB12" i="5"/>
  <c r="AR46" i="5"/>
  <c r="AQ46" i="5"/>
  <c r="AP46" i="5"/>
  <c r="AR81" i="5"/>
  <c r="AP81" i="5"/>
  <c r="AQ81" i="5"/>
  <c r="AV5" i="5"/>
  <c r="AN5" i="5"/>
  <c r="AM5" i="5"/>
  <c r="AL5" i="5"/>
  <c r="AW39" i="5"/>
  <c r="BB39" i="5"/>
  <c r="AV71" i="5"/>
  <c r="AN71" i="5"/>
  <c r="AM71" i="5"/>
  <c r="AL71" i="5"/>
  <c r="AQ4" i="5"/>
  <c r="AR4" i="5"/>
  <c r="AP4" i="5"/>
  <c r="AM45" i="5"/>
  <c r="AL45" i="5"/>
  <c r="AN45" i="5"/>
  <c r="AV45" i="5"/>
  <c r="AR13" i="5"/>
  <c r="AQ13" i="5"/>
  <c r="AP13" i="5"/>
  <c r="BD131" i="5"/>
  <c r="BC131" i="5"/>
  <c r="AR84" i="5"/>
  <c r="AQ84" i="5"/>
  <c r="AP84" i="5"/>
  <c r="AV124" i="5"/>
  <c r="AN124" i="5"/>
  <c r="AM124" i="5"/>
  <c r="AL124" i="5"/>
  <c r="BD69" i="5"/>
  <c r="BC69" i="5"/>
  <c r="AW8" i="5"/>
  <c r="AP29" i="5"/>
  <c r="AQ29" i="5"/>
  <c r="AR29" i="5"/>
  <c r="AV80" i="5"/>
  <c r="AN80" i="5"/>
  <c r="AM80" i="5"/>
  <c r="AL80" i="5"/>
  <c r="AR50" i="5"/>
  <c r="AP50" i="5"/>
  <c r="AQ50" i="5"/>
  <c r="BB23" i="5"/>
  <c r="AW23" i="5"/>
  <c r="AP71" i="5"/>
  <c r="AR71" i="5"/>
  <c r="AQ71" i="5"/>
  <c r="AP36" i="5"/>
  <c r="AR36" i="5"/>
  <c r="AQ36" i="5"/>
  <c r="AY9" i="5"/>
  <c r="AX9" i="5"/>
  <c r="AL108" i="5"/>
  <c r="AV108" i="5"/>
  <c r="AN108" i="5"/>
  <c r="AM108" i="5"/>
  <c r="AV121" i="5"/>
  <c r="AN121" i="5"/>
  <c r="AM121" i="5"/>
  <c r="AL121" i="5"/>
  <c r="BB139" i="5"/>
  <c r="BD106" i="5"/>
  <c r="BC106" i="5"/>
  <c r="AR105" i="5"/>
  <c r="AQ105" i="5"/>
  <c r="AP105" i="5"/>
  <c r="AR85" i="5"/>
  <c r="AQ85" i="5"/>
  <c r="AP85" i="5"/>
  <c r="AR76" i="5"/>
  <c r="AQ76" i="5"/>
  <c r="AP76" i="5"/>
  <c r="AR124" i="5"/>
  <c r="AQ124" i="5"/>
  <c r="AP124" i="5"/>
  <c r="AR61" i="5"/>
  <c r="AP61" i="5"/>
  <c r="AQ61" i="5"/>
  <c r="AW62" i="5"/>
  <c r="AQ19" i="5"/>
  <c r="AR19" i="5"/>
  <c r="AP19" i="5"/>
  <c r="AP95" i="5"/>
  <c r="AR95" i="5"/>
  <c r="AQ95" i="5"/>
  <c r="AQ72" i="5"/>
  <c r="AR72" i="5"/>
  <c r="AP72" i="5"/>
  <c r="AV85" i="5"/>
  <c r="AL6" i="5"/>
  <c r="AV6" i="5"/>
  <c r="AM6" i="5"/>
  <c r="AN6" i="5"/>
  <c r="AV140" i="5"/>
  <c r="AR42" i="5"/>
  <c r="AP42" i="5"/>
  <c r="AQ42" i="5"/>
  <c r="AV44" i="5"/>
  <c r="AN44" i="5"/>
  <c r="AM44" i="5"/>
  <c r="AL44" i="5"/>
  <c r="AP21" i="5"/>
  <c r="AQ21" i="5"/>
  <c r="AR21" i="5"/>
  <c r="AM53" i="5"/>
  <c r="AL53" i="5"/>
  <c r="AN53" i="5"/>
  <c r="AV53" i="5"/>
  <c r="AV79" i="5"/>
  <c r="AN79" i="5"/>
  <c r="AM79" i="5"/>
  <c r="AL79" i="5"/>
  <c r="AV46" i="5"/>
  <c r="AN46" i="5"/>
  <c r="AL46" i="5"/>
  <c r="AM46" i="5"/>
  <c r="AV14" i="5"/>
  <c r="AN14" i="5"/>
  <c r="AL14" i="5"/>
  <c r="AM14" i="5"/>
  <c r="BC9" i="5"/>
  <c r="BD9" i="5"/>
  <c r="AQ35" i="5"/>
  <c r="AR35" i="5"/>
  <c r="AP35" i="5"/>
  <c r="AP123" i="5"/>
  <c r="AQ123" i="5"/>
  <c r="AR123" i="5"/>
  <c r="AQ56" i="5"/>
  <c r="AP56" i="5"/>
  <c r="AR56" i="5"/>
  <c r="AM126" i="5"/>
  <c r="AL126" i="5"/>
  <c r="AV126" i="5"/>
  <c r="AN126" i="5"/>
  <c r="BD101" i="5"/>
  <c r="BC101" i="5"/>
  <c r="AW119" i="5"/>
  <c r="BB119" i="5"/>
  <c r="AQ27" i="5"/>
  <c r="AR27" i="5"/>
  <c r="AP27" i="5"/>
  <c r="AR7" i="5"/>
  <c r="AV7" i="5"/>
  <c r="AP7" i="5"/>
  <c r="AQ7" i="5"/>
  <c r="AV34" i="5"/>
  <c r="AN34" i="5"/>
  <c r="AL34" i="5"/>
  <c r="AM34" i="5"/>
  <c r="AR14" i="5"/>
  <c r="AQ14" i="5"/>
  <c r="AP14" i="5"/>
  <c r="AL4" i="5"/>
  <c r="AV4" i="5"/>
  <c r="AN4" i="5"/>
  <c r="AM4" i="5"/>
  <c r="AR45" i="5"/>
  <c r="AQ45" i="5"/>
  <c r="AP45" i="5"/>
  <c r="AV125" i="5"/>
  <c r="AN125" i="5"/>
  <c r="AM125" i="5"/>
  <c r="AL125" i="5"/>
  <c r="AM115" i="5"/>
  <c r="AL115" i="5"/>
  <c r="AV115" i="5"/>
  <c r="AN115" i="5"/>
  <c r="AR134" i="5"/>
  <c r="AQ134" i="5"/>
  <c r="AP134" i="5"/>
  <c r="AP139" i="5"/>
  <c r="AR139" i="5"/>
  <c r="AQ139" i="5"/>
  <c r="AQ70" i="5"/>
  <c r="AP70" i="5"/>
  <c r="AR70" i="5"/>
  <c r="AP120" i="5"/>
  <c r="AQ120" i="5"/>
  <c r="AR120" i="5"/>
  <c r="AR77" i="5"/>
  <c r="AQ77" i="5"/>
  <c r="AP77" i="5"/>
  <c r="AR68" i="5"/>
  <c r="AQ68" i="5"/>
  <c r="AP68" i="5"/>
  <c r="AV68" i="5"/>
  <c r="AQ80" i="5"/>
  <c r="AP80" i="5"/>
  <c r="AR80" i="5"/>
  <c r="AQ11" i="5"/>
  <c r="AR11" i="5"/>
  <c r="AP11" i="5"/>
  <c r="AR133" i="5"/>
  <c r="AQ133" i="5"/>
  <c r="AP133" i="5"/>
  <c r="AW42" i="5"/>
  <c r="BB66" i="5"/>
  <c r="AW66" i="5"/>
  <c r="AR34" i="5"/>
  <c r="AP34" i="5"/>
  <c r="AQ34" i="5"/>
  <c r="BA99" i="5"/>
  <c r="AZ99" i="5" s="1"/>
  <c r="AR73" i="5"/>
  <c r="AQ73" i="5"/>
  <c r="AP73" i="5"/>
  <c r="AQ53" i="5"/>
  <c r="AP53" i="5"/>
  <c r="AR53" i="5"/>
  <c r="AR10" i="5"/>
  <c r="AP10" i="5"/>
  <c r="AQ10" i="5"/>
  <c r="AY98" i="5"/>
  <c r="AX98" i="5"/>
  <c r="AR26" i="5"/>
  <c r="AP26" i="5"/>
  <c r="AQ26" i="5"/>
  <c r="AR113" i="5"/>
  <c r="AP113" i="5"/>
  <c r="AQ113" i="5"/>
  <c r="AR37" i="5"/>
  <c r="AQ37" i="5"/>
  <c r="AP37" i="5"/>
  <c r="AV22" i="5"/>
  <c r="AN22" i="5"/>
  <c r="AL22" i="5"/>
  <c r="AM22" i="5"/>
  <c r="BD42" i="5"/>
  <c r="BC42" i="5"/>
  <c r="BD129" i="5"/>
  <c r="BC129" i="5"/>
  <c r="BC99" i="5"/>
  <c r="BD99" i="5"/>
  <c r="AV132" i="5"/>
  <c r="AN132" i="5"/>
  <c r="AM132" i="5"/>
  <c r="AL132" i="5"/>
  <c r="AM134" i="5"/>
  <c r="AL134" i="5"/>
  <c r="AN134" i="5"/>
  <c r="AV134" i="5"/>
  <c r="AR121" i="5"/>
  <c r="AQ121" i="5"/>
  <c r="AP121" i="5"/>
  <c r="AV105" i="5"/>
  <c r="AN105" i="5"/>
  <c r="AM105" i="5"/>
  <c r="AL105" i="5"/>
  <c r="AP104" i="5"/>
  <c r="AR104" i="5"/>
  <c r="AQ104" i="5"/>
  <c r="AQ62" i="5"/>
  <c r="AP62" i="5"/>
  <c r="AR62" i="5"/>
  <c r="BB100" i="5"/>
  <c r="AR69" i="5"/>
  <c r="AQ69" i="5"/>
  <c r="AP69" i="5"/>
  <c r="AQ60" i="5"/>
  <c r="AP60" i="5"/>
  <c r="AR60" i="5"/>
  <c r="AV60" i="5"/>
  <c r="AW129" i="5"/>
  <c r="BB128" i="5"/>
  <c r="AW128" i="5"/>
  <c r="AV133" i="5"/>
  <c r="AN133" i="5"/>
  <c r="AM133" i="5"/>
  <c r="AL133" i="5"/>
  <c r="AW78" i="5"/>
  <c r="BB78" i="5"/>
  <c r="AX20" i="5"/>
  <c r="AY20" i="5"/>
  <c r="AY40" i="5"/>
  <c r="AX40" i="5"/>
  <c r="BD10" i="5"/>
  <c r="BC10" i="5"/>
  <c r="AR57" i="5"/>
  <c r="AQ57" i="5"/>
  <c r="AP57" i="5"/>
  <c r="AV73" i="5"/>
  <c r="AN73" i="5"/>
  <c r="AM73" i="5"/>
  <c r="AL73" i="5"/>
  <c r="AW10" i="5"/>
  <c r="BB102" i="5"/>
  <c r="AW102" i="5"/>
  <c r="AP79" i="5"/>
  <c r="AQ79" i="5"/>
  <c r="AR79" i="5"/>
  <c r="AW69" i="5"/>
  <c r="AL116" i="5"/>
  <c r="AV116" i="5"/>
  <c r="AM116" i="5"/>
  <c r="AN116" i="5"/>
  <c r="BB86" i="5"/>
  <c r="BD62" i="5"/>
  <c r="BC62" i="5"/>
  <c r="AP131" i="5"/>
  <c r="AR131" i="5"/>
  <c r="AQ131" i="5"/>
  <c r="AP132" i="5"/>
  <c r="AR132" i="5"/>
  <c r="AQ132" i="5"/>
  <c r="AV104" i="5"/>
  <c r="AN104" i="5"/>
  <c r="AM104" i="5"/>
  <c r="AL104" i="5"/>
  <c r="AW101" i="5"/>
  <c r="AQ54" i="5"/>
  <c r="AR54" i="5"/>
  <c r="AP54" i="5"/>
  <c r="AR92" i="5"/>
  <c r="AQ92" i="5"/>
  <c r="AP92" i="5"/>
  <c r="AV122" i="5"/>
  <c r="AN122" i="5"/>
  <c r="AM122" i="5"/>
  <c r="AL122" i="5"/>
  <c r="AV112" i="5"/>
  <c r="AV88" i="5"/>
  <c r="AN88" i="5"/>
  <c r="AM88" i="5"/>
  <c r="AL88" i="5"/>
  <c r="AV87" i="5"/>
  <c r="AN87" i="5"/>
  <c r="AM87" i="5"/>
  <c r="AL87" i="5"/>
  <c r="AW111" i="5"/>
  <c r="BB111" i="5"/>
  <c r="AV96" i="5"/>
  <c r="AN96" i="5"/>
  <c r="AM96" i="5"/>
  <c r="AL96" i="5"/>
  <c r="AV64" i="5"/>
  <c r="AN64" i="5"/>
  <c r="AM64" i="5"/>
  <c r="AL64" i="5"/>
  <c r="AV52" i="5"/>
  <c r="AN52" i="5"/>
  <c r="AM52" i="5"/>
  <c r="AL52" i="5"/>
  <c r="AP12" i="5"/>
  <c r="AQ12" i="5"/>
  <c r="AR12" i="5"/>
  <c r="BD20" i="5"/>
  <c r="BC20" i="5"/>
  <c r="BC90" i="5"/>
  <c r="BD90" i="5"/>
  <c r="BB40" i="5"/>
  <c r="AV63" i="5"/>
  <c r="AN63" i="5"/>
  <c r="AM63" i="5"/>
  <c r="AL63" i="5"/>
  <c r="AV57" i="5"/>
  <c r="AN57" i="5"/>
  <c r="AL57" i="5"/>
  <c r="AM57" i="5"/>
  <c r="AX48" i="5"/>
  <c r="BE15" i="5"/>
  <c r="BF15" i="5" s="1"/>
  <c r="AV19" i="5"/>
  <c r="AM13" i="5"/>
  <c r="AL13" i="5"/>
  <c r="AN13" i="5"/>
  <c r="AV13" i="5"/>
  <c r="BA59" i="5"/>
  <c r="AZ59" i="5" s="1"/>
  <c r="AM107" i="5"/>
  <c r="AL107" i="5"/>
  <c r="AV107" i="5"/>
  <c r="AN107" i="5"/>
  <c r="AV95" i="5"/>
  <c r="AN95" i="5"/>
  <c r="AM95" i="5"/>
  <c r="AL95" i="5"/>
  <c r="AW51" i="5"/>
  <c r="BB51" i="5"/>
  <c r="AM21" i="5"/>
  <c r="AL21" i="5"/>
  <c r="AN21" i="5"/>
  <c r="AV21" i="5"/>
  <c r="AV81" i="5"/>
  <c r="AN81" i="5"/>
  <c r="AM81" i="5"/>
  <c r="AL81" i="5"/>
  <c r="BD27" i="5"/>
  <c r="BC27" i="5"/>
  <c r="AV36" i="5"/>
  <c r="AN36" i="5"/>
  <c r="AM36" i="5"/>
  <c r="AL36" i="5"/>
  <c r="AR5" i="5"/>
  <c r="AQ5" i="5"/>
  <c r="AP5" i="5"/>
  <c r="AR137" i="5"/>
  <c r="AQ137" i="5"/>
  <c r="AP137" i="5"/>
  <c r="AV137" i="5"/>
  <c r="AW131" i="5"/>
  <c r="AQ101" i="5"/>
  <c r="AP101" i="5"/>
  <c r="AR101" i="5"/>
  <c r="BB136" i="5"/>
  <c r="AW136" i="5"/>
  <c r="AV120" i="5"/>
  <c r="AW130" i="5"/>
  <c r="BB130" i="5"/>
  <c r="AV97" i="5"/>
  <c r="AN97" i="5"/>
  <c r="AM97" i="5"/>
  <c r="AL97" i="5"/>
  <c r="AV114" i="5"/>
  <c r="AN114" i="5"/>
  <c r="AM114" i="5"/>
  <c r="AL114" i="5"/>
  <c r="AV70" i="5"/>
  <c r="BD75" i="5"/>
  <c r="AV55" i="5"/>
  <c r="AN55" i="5"/>
  <c r="AM55" i="5"/>
  <c r="AL55" i="5"/>
  <c r="AV123" i="5"/>
  <c r="AM123" i="5"/>
  <c r="AN123" i="5"/>
  <c r="AL123" i="5"/>
  <c r="AV76" i="5"/>
  <c r="AM37" i="5"/>
  <c r="AL37" i="5"/>
  <c r="AV37" i="5"/>
  <c r="AN37" i="5"/>
  <c r="AR30" i="5"/>
  <c r="AP30" i="5"/>
  <c r="AQ30" i="5"/>
  <c r="AV11" i="5"/>
  <c r="AY75" i="5"/>
  <c r="AX75" i="5"/>
  <c r="AR65" i="5"/>
  <c r="AQ65" i="5"/>
  <c r="AP65" i="5"/>
  <c r="AM29" i="5"/>
  <c r="AL29" i="5"/>
  <c r="AN29" i="5"/>
  <c r="AV29" i="5"/>
  <c r="AV30" i="5"/>
  <c r="AN30" i="5"/>
  <c r="AL30" i="5"/>
  <c r="AM30" i="5"/>
  <c r="AM56" i="5"/>
  <c r="AL56" i="5"/>
  <c r="AN56" i="5"/>
  <c r="AV56" i="5"/>
  <c r="AV18" i="5"/>
  <c r="AN18" i="5"/>
  <c r="AM18" i="5"/>
  <c r="AL18" i="5"/>
  <c r="AV50" i="5"/>
  <c r="AV61" i="5"/>
  <c r="AY24" i="5" l="1"/>
  <c r="BB24" i="5"/>
  <c r="BD93" i="5"/>
  <c r="AW93" i="5"/>
  <c r="BD47" i="5"/>
  <c r="BE47" i="5" s="1"/>
  <c r="BF47" i="5" s="1"/>
  <c r="BB17" i="5"/>
  <c r="AW17" i="5"/>
  <c r="AY106" i="5"/>
  <c r="AW103" i="5"/>
  <c r="BB110" i="5"/>
  <c r="BD110" i="5" s="1"/>
  <c r="BE110" i="5" s="1"/>
  <c r="BF110" i="5" s="1"/>
  <c r="AX90" i="5"/>
  <c r="AW127" i="5"/>
  <c r="BB127" i="5"/>
  <c r="BB31" i="5"/>
  <c r="AW31" i="5"/>
  <c r="AX110" i="5"/>
  <c r="BB16" i="5"/>
  <c r="AW16" i="5"/>
  <c r="BB32" i="5"/>
  <c r="BB48" i="5"/>
  <c r="BC48" i="5" s="1"/>
  <c r="AW91" i="5"/>
  <c r="BB91" i="5"/>
  <c r="BD58" i="5"/>
  <c r="BE58" i="5" s="1"/>
  <c r="BF58" i="5" s="1"/>
  <c r="BC58" i="5"/>
  <c r="AW58" i="5"/>
  <c r="AW47" i="5"/>
  <c r="AX47" i="5" s="1"/>
  <c r="AW41" i="5"/>
  <c r="BB41" i="5"/>
  <c r="AW33" i="5"/>
  <c r="BB33" i="5"/>
  <c r="AX83" i="5"/>
  <c r="AY83" i="5"/>
  <c r="BA83" i="5" s="1"/>
  <c r="AZ83" i="5" s="1"/>
  <c r="AW117" i="5"/>
  <c r="BB117" i="5"/>
  <c r="AW25" i="5"/>
  <c r="AY25" i="5" s="1"/>
  <c r="AW82" i="5"/>
  <c r="AY82" i="5" s="1"/>
  <c r="BD98" i="5"/>
  <c r="BE98" i="5" s="1"/>
  <c r="BF98" i="5" s="1"/>
  <c r="BB49" i="5"/>
  <c r="AW49" i="5"/>
  <c r="BB109" i="5"/>
  <c r="AW109" i="5"/>
  <c r="AY47" i="5"/>
  <c r="BD67" i="5"/>
  <c r="BE67" i="5" s="1"/>
  <c r="BF67" i="5" s="1"/>
  <c r="BE83" i="5"/>
  <c r="BF83" i="5" s="1"/>
  <c r="BD59" i="5"/>
  <c r="BE59" i="5" s="1"/>
  <c r="BF59" i="5" s="1"/>
  <c r="BC59" i="5"/>
  <c r="BB104" i="5"/>
  <c r="AW104" i="5"/>
  <c r="AW34" i="5"/>
  <c r="BB34" i="5"/>
  <c r="AY93" i="5"/>
  <c r="AX93" i="5"/>
  <c r="BA139" i="5"/>
  <c r="AZ139" i="5" s="1"/>
  <c r="BB13" i="5"/>
  <c r="AW13" i="5"/>
  <c r="AW18" i="5"/>
  <c r="BB18" i="5"/>
  <c r="AY130" i="5"/>
  <c r="AX130" i="5"/>
  <c r="BB137" i="5"/>
  <c r="AW137" i="5"/>
  <c r="AW21" i="5"/>
  <c r="BB21" i="5"/>
  <c r="AY111" i="5"/>
  <c r="AX111" i="5"/>
  <c r="BB88" i="5"/>
  <c r="AW88" i="5"/>
  <c r="AY101" i="5"/>
  <c r="AX101" i="5"/>
  <c r="BA40" i="5"/>
  <c r="AZ40" i="5" s="1"/>
  <c r="BA106" i="5"/>
  <c r="AZ106" i="5" s="1"/>
  <c r="AW79" i="5"/>
  <c r="BB79" i="5"/>
  <c r="AY62" i="5"/>
  <c r="AX62" i="5"/>
  <c r="AW121" i="5"/>
  <c r="BB121" i="5"/>
  <c r="BE93" i="5"/>
  <c r="BF93" i="5" s="1"/>
  <c r="AW38" i="5"/>
  <c r="BB38" i="5"/>
  <c r="AY77" i="5"/>
  <c r="AX77" i="5"/>
  <c r="AY35" i="5"/>
  <c r="AX35" i="5"/>
  <c r="AY92" i="5"/>
  <c r="AX92" i="5"/>
  <c r="BE20" i="5"/>
  <c r="BF20" i="5" s="1"/>
  <c r="BD119" i="5"/>
  <c r="BC119" i="5"/>
  <c r="AW14" i="5"/>
  <c r="BB14" i="5"/>
  <c r="AX131" i="5"/>
  <c r="AY131" i="5"/>
  <c r="AY119" i="5"/>
  <c r="AX119" i="5"/>
  <c r="BD8" i="5"/>
  <c r="BC8" i="5"/>
  <c r="BC82" i="5"/>
  <c r="BD82" i="5"/>
  <c r="AW36" i="5"/>
  <c r="BB36" i="5"/>
  <c r="BB95" i="5"/>
  <c r="AW95" i="5"/>
  <c r="BB63" i="5"/>
  <c r="AW63" i="5"/>
  <c r="BB112" i="5"/>
  <c r="AW112" i="5"/>
  <c r="AY102" i="5"/>
  <c r="AX102" i="5"/>
  <c r="BD100" i="5"/>
  <c r="BC100" i="5"/>
  <c r="BB134" i="5"/>
  <c r="AW134" i="5"/>
  <c r="AW132" i="5"/>
  <c r="BB132" i="5"/>
  <c r="BA98" i="5"/>
  <c r="AZ98" i="5" s="1"/>
  <c r="AW7" i="5"/>
  <c r="BB7" i="5"/>
  <c r="BE9" i="5"/>
  <c r="BF9" i="5" s="1"/>
  <c r="BB140" i="5"/>
  <c r="AW140" i="5"/>
  <c r="AY23" i="5"/>
  <c r="AX23" i="5"/>
  <c r="BE69" i="5"/>
  <c r="BF69" i="5" s="1"/>
  <c r="AW71" i="5"/>
  <c r="BB71" i="5"/>
  <c r="BB5" i="5"/>
  <c r="AW5" i="5"/>
  <c r="BA28" i="5"/>
  <c r="AZ28" i="5" s="1"/>
  <c r="BD77" i="5"/>
  <c r="BC77" i="5"/>
  <c r="BD35" i="5"/>
  <c r="BC35" i="5"/>
  <c r="BD92" i="5"/>
  <c r="BC92" i="5"/>
  <c r="AY69" i="5"/>
  <c r="AX69" i="5"/>
  <c r="AY78" i="5"/>
  <c r="AX78" i="5"/>
  <c r="AW22" i="5"/>
  <c r="BB22" i="5"/>
  <c r="BB85" i="5"/>
  <c r="AW85" i="5"/>
  <c r="BA100" i="5"/>
  <c r="AZ100" i="5" s="1"/>
  <c r="BA48" i="5"/>
  <c r="AZ48" i="5" s="1"/>
  <c r="AW73" i="5"/>
  <c r="BB73" i="5"/>
  <c r="AW123" i="5"/>
  <c r="BB123" i="5"/>
  <c r="AW120" i="5"/>
  <c r="BB120" i="5"/>
  <c r="BC25" i="5"/>
  <c r="BD25" i="5"/>
  <c r="BC40" i="5"/>
  <c r="BD40" i="5"/>
  <c r="BB64" i="5"/>
  <c r="AW64" i="5"/>
  <c r="AW116" i="5"/>
  <c r="BB116" i="5"/>
  <c r="BD102" i="5"/>
  <c r="BC102" i="5"/>
  <c r="BA90" i="5"/>
  <c r="AZ90" i="5" s="1"/>
  <c r="BB133" i="5"/>
  <c r="AW133" i="5"/>
  <c r="BB60" i="5"/>
  <c r="AW60" i="5"/>
  <c r="BE42" i="5"/>
  <c r="BF42" i="5" s="1"/>
  <c r="AY66" i="5"/>
  <c r="AX66" i="5"/>
  <c r="BB4" i="5"/>
  <c r="AW4" i="5"/>
  <c r="BA9" i="5"/>
  <c r="AZ9" i="5" s="1"/>
  <c r="BC23" i="5"/>
  <c r="BD23" i="5"/>
  <c r="BA110" i="5"/>
  <c r="AZ110" i="5" s="1"/>
  <c r="AW113" i="5"/>
  <c r="BB113" i="5"/>
  <c r="AW135" i="5"/>
  <c r="BB135" i="5"/>
  <c r="AW26" i="5"/>
  <c r="BB26" i="5"/>
  <c r="AW72" i="5"/>
  <c r="BB72" i="5"/>
  <c r="AW114" i="5"/>
  <c r="BB114" i="5"/>
  <c r="BD86" i="5"/>
  <c r="BC86" i="5"/>
  <c r="BE129" i="5"/>
  <c r="BF129" i="5" s="1"/>
  <c r="AX42" i="5"/>
  <c r="AY42" i="5"/>
  <c r="AY8" i="5"/>
  <c r="AX8" i="5"/>
  <c r="BE28" i="5"/>
  <c r="BF28" i="5" s="1"/>
  <c r="BD111" i="5"/>
  <c r="BC111" i="5"/>
  <c r="AW115" i="5"/>
  <c r="BB115" i="5"/>
  <c r="BA24" i="5"/>
  <c r="AZ24" i="5" s="1"/>
  <c r="AW37" i="5"/>
  <c r="BB37" i="5"/>
  <c r="BB70" i="5"/>
  <c r="AW70" i="5"/>
  <c r="AY136" i="5"/>
  <c r="AX136" i="5"/>
  <c r="AX25" i="5"/>
  <c r="BD24" i="5"/>
  <c r="BC24" i="5"/>
  <c r="AW30" i="5"/>
  <c r="BB30" i="5"/>
  <c r="BD136" i="5"/>
  <c r="BC136" i="5"/>
  <c r="BE27" i="5"/>
  <c r="BF27" i="5" s="1"/>
  <c r="AW107" i="5"/>
  <c r="BB107" i="5"/>
  <c r="BB19" i="5"/>
  <c r="AW19" i="5"/>
  <c r="BE90" i="5"/>
  <c r="BF90" i="5" s="1"/>
  <c r="AX10" i="5"/>
  <c r="AY10" i="5"/>
  <c r="BA20" i="5"/>
  <c r="AZ20" i="5" s="1"/>
  <c r="AY128" i="5"/>
  <c r="AX128" i="5"/>
  <c r="BE99" i="5"/>
  <c r="BF99" i="5" s="1"/>
  <c r="BC66" i="5"/>
  <c r="BD66" i="5"/>
  <c r="AW126" i="5"/>
  <c r="BB126" i="5"/>
  <c r="BB53" i="5"/>
  <c r="AW53" i="5"/>
  <c r="BE106" i="5"/>
  <c r="BF106" i="5" s="1"/>
  <c r="AW80" i="5"/>
  <c r="BB80" i="5"/>
  <c r="BB45" i="5"/>
  <c r="AW45" i="5"/>
  <c r="BD118" i="5"/>
  <c r="BC118" i="5"/>
  <c r="AY27" i="5"/>
  <c r="AX27" i="5"/>
  <c r="AW89" i="5"/>
  <c r="BB89" i="5"/>
  <c r="AY74" i="5"/>
  <c r="AX74" i="5"/>
  <c r="AW122" i="5"/>
  <c r="BB122" i="5"/>
  <c r="BB87" i="5"/>
  <c r="AW87" i="5"/>
  <c r="BE10" i="5"/>
  <c r="BF10" i="5" s="1"/>
  <c r="BD128" i="5"/>
  <c r="BC128" i="5"/>
  <c r="AW125" i="5"/>
  <c r="BB125" i="5"/>
  <c r="BB46" i="5"/>
  <c r="AW46" i="5"/>
  <c r="AW6" i="5"/>
  <c r="BB6" i="5"/>
  <c r="BD139" i="5"/>
  <c r="BC139" i="5"/>
  <c r="BC39" i="5"/>
  <c r="BD39" i="5"/>
  <c r="BD12" i="5"/>
  <c r="BC12" i="5"/>
  <c r="AW65" i="5"/>
  <c r="BB65" i="5"/>
  <c r="BA67" i="5"/>
  <c r="AZ67" i="5" s="1"/>
  <c r="AY118" i="5"/>
  <c r="AX118" i="5"/>
  <c r="BD138" i="5"/>
  <c r="BC138" i="5"/>
  <c r="AY32" i="5"/>
  <c r="AX32" i="5"/>
  <c r="BC74" i="5"/>
  <c r="BD74" i="5"/>
  <c r="AY84" i="5"/>
  <c r="AX84" i="5"/>
  <c r="AY54" i="5"/>
  <c r="AX54" i="5"/>
  <c r="BA12" i="5"/>
  <c r="AZ12" i="5" s="1"/>
  <c r="BE75" i="5"/>
  <c r="BF75" i="5" s="1"/>
  <c r="BB96" i="5"/>
  <c r="AW96" i="5"/>
  <c r="BB68" i="5"/>
  <c r="AW68" i="5"/>
  <c r="AY94" i="5"/>
  <c r="AX94" i="5"/>
  <c r="BD130" i="5"/>
  <c r="BC130" i="5"/>
  <c r="AW81" i="5"/>
  <c r="BB81" i="5"/>
  <c r="AY86" i="5"/>
  <c r="AX86" i="5"/>
  <c r="AW108" i="5"/>
  <c r="BB108" i="5"/>
  <c r="BB50" i="5"/>
  <c r="AW50" i="5"/>
  <c r="AW56" i="5"/>
  <c r="BB56" i="5"/>
  <c r="AW29" i="5"/>
  <c r="BB29" i="5"/>
  <c r="BA75" i="5"/>
  <c r="AZ75" i="5" s="1"/>
  <c r="AW97" i="5"/>
  <c r="BB97" i="5"/>
  <c r="BD51" i="5"/>
  <c r="BC51" i="5"/>
  <c r="BB61" i="5"/>
  <c r="AW61" i="5"/>
  <c r="BB11" i="5"/>
  <c r="AW11" i="5"/>
  <c r="BB76" i="5"/>
  <c r="AW76" i="5"/>
  <c r="BB55" i="5"/>
  <c r="AW55" i="5"/>
  <c r="AY51" i="5"/>
  <c r="AX51" i="5"/>
  <c r="AW57" i="5"/>
  <c r="BB57" i="5"/>
  <c r="BB52" i="5"/>
  <c r="AW52" i="5"/>
  <c r="BE62" i="5"/>
  <c r="BF62" i="5" s="1"/>
  <c r="BD78" i="5"/>
  <c r="BC78" i="5"/>
  <c r="AY129" i="5"/>
  <c r="AX129" i="5"/>
  <c r="AW105" i="5"/>
  <c r="BB105" i="5"/>
  <c r="BE101" i="5"/>
  <c r="BF101" i="5" s="1"/>
  <c r="AW44" i="5"/>
  <c r="BB44" i="5"/>
  <c r="AW124" i="5"/>
  <c r="BB124" i="5"/>
  <c r="BE131" i="5"/>
  <c r="BF131" i="5" s="1"/>
  <c r="AY39" i="5"/>
  <c r="AX39" i="5"/>
  <c r="AY43" i="5"/>
  <c r="AX43" i="5"/>
  <c r="BD94" i="5"/>
  <c r="BC94" i="5"/>
  <c r="BE43" i="5"/>
  <c r="BF43" i="5" s="1"/>
  <c r="AY138" i="5"/>
  <c r="AX138" i="5"/>
  <c r="BC32" i="5"/>
  <c r="BD32" i="5"/>
  <c r="BD84" i="5"/>
  <c r="BC84" i="5"/>
  <c r="BD54" i="5"/>
  <c r="BC54" i="5"/>
  <c r="BC110" i="5" l="1"/>
  <c r="AY103" i="5"/>
  <c r="BA103" i="5" s="1"/>
  <c r="AZ103" i="5" s="1"/>
  <c r="AX103" i="5"/>
  <c r="AX17" i="5"/>
  <c r="AY17" i="5"/>
  <c r="BA17" i="5" s="1"/>
  <c r="AZ17" i="5" s="1"/>
  <c r="BD17" i="5"/>
  <c r="BE17" i="5" s="1"/>
  <c r="BF17" i="5" s="1"/>
  <c r="BC17" i="5"/>
  <c r="BC16" i="5"/>
  <c r="BD16" i="5"/>
  <c r="BE16" i="5" s="1"/>
  <c r="BF16" i="5" s="1"/>
  <c r="AY31" i="5"/>
  <c r="BA31" i="5" s="1"/>
  <c r="AZ31" i="5" s="1"/>
  <c r="AX31" i="5"/>
  <c r="BC31" i="5"/>
  <c r="BD31" i="5"/>
  <c r="BE31" i="5" s="1"/>
  <c r="BF31" i="5" s="1"/>
  <c r="AX127" i="5"/>
  <c r="AY127" i="5"/>
  <c r="BA127" i="5" s="1"/>
  <c r="AZ127" i="5" s="1"/>
  <c r="BD127" i="5"/>
  <c r="BE127" i="5" s="1"/>
  <c r="BF127" i="5" s="1"/>
  <c r="BC127" i="5"/>
  <c r="AY16" i="5"/>
  <c r="BA16" i="5" s="1"/>
  <c r="AZ16" i="5" s="1"/>
  <c r="AX16" i="5"/>
  <c r="BD91" i="5"/>
  <c r="BE91" i="5" s="1"/>
  <c r="BF91" i="5" s="1"/>
  <c r="BC91" i="5"/>
  <c r="BD48" i="5"/>
  <c r="BE48" i="5" s="1"/>
  <c r="BF48" i="5" s="1"/>
  <c r="AY91" i="5"/>
  <c r="BA91" i="5" s="1"/>
  <c r="AZ91" i="5" s="1"/>
  <c r="AX91" i="5"/>
  <c r="AY58" i="5"/>
  <c r="BA58" i="5" s="1"/>
  <c r="AZ58" i="5" s="1"/>
  <c r="AX58" i="5"/>
  <c r="AY117" i="5"/>
  <c r="BA117" i="5" s="1"/>
  <c r="AZ117" i="5" s="1"/>
  <c r="AX117" i="5"/>
  <c r="AY33" i="5"/>
  <c r="BA33" i="5" s="1"/>
  <c r="AZ33" i="5" s="1"/>
  <c r="AX33" i="5"/>
  <c r="AY109" i="5"/>
  <c r="BA109" i="5" s="1"/>
  <c r="AZ109" i="5" s="1"/>
  <c r="AX109" i="5"/>
  <c r="BD33" i="5"/>
  <c r="BE33" i="5" s="1"/>
  <c r="BF33" i="5" s="1"/>
  <c r="BC33" i="5"/>
  <c r="BD109" i="5"/>
  <c r="BE109" i="5" s="1"/>
  <c r="BF109" i="5" s="1"/>
  <c r="BC109" i="5"/>
  <c r="AX82" i="5"/>
  <c r="AY49" i="5"/>
  <c r="AX49" i="5"/>
  <c r="BC49" i="5"/>
  <c r="BD49" i="5"/>
  <c r="BE49" i="5" s="1"/>
  <c r="BF49" i="5" s="1"/>
  <c r="BD41" i="5"/>
  <c r="BE41" i="5" s="1"/>
  <c r="BF41" i="5" s="1"/>
  <c r="BC41" i="5"/>
  <c r="BC117" i="5"/>
  <c r="BD117" i="5"/>
  <c r="BE117" i="5" s="1"/>
  <c r="BF117" i="5" s="1"/>
  <c r="AY41" i="5"/>
  <c r="BA41" i="5" s="1"/>
  <c r="AZ41" i="5" s="1"/>
  <c r="AX41" i="5"/>
  <c r="BA47" i="5"/>
  <c r="AZ47" i="5" s="1"/>
  <c r="BE54" i="5"/>
  <c r="BF54" i="5" s="1"/>
  <c r="AX105" i="5"/>
  <c r="AY105" i="5"/>
  <c r="BD61" i="5"/>
  <c r="BC61" i="5"/>
  <c r="AX125" i="5"/>
  <c r="AY125" i="5"/>
  <c r="BA128" i="5"/>
  <c r="AZ128" i="5" s="1"/>
  <c r="BA8" i="5"/>
  <c r="AZ8" i="5" s="1"/>
  <c r="AY113" i="5"/>
  <c r="AX113" i="5"/>
  <c r="BE92" i="5"/>
  <c r="BF92" i="5" s="1"/>
  <c r="BD63" i="5"/>
  <c r="BC63" i="5"/>
  <c r="BA119" i="5"/>
  <c r="AZ119" i="5" s="1"/>
  <c r="AX79" i="5"/>
  <c r="AY79" i="5"/>
  <c r="BA82" i="5"/>
  <c r="AZ82" i="5" s="1"/>
  <c r="BA93" i="5"/>
  <c r="AZ93" i="5" s="1"/>
  <c r="BD124" i="5"/>
  <c r="BC124" i="5"/>
  <c r="AX55" i="5"/>
  <c r="AY55" i="5"/>
  <c r="BC29" i="5"/>
  <c r="BD29" i="5"/>
  <c r="BD89" i="5"/>
  <c r="BC89" i="5"/>
  <c r="BD135" i="5"/>
  <c r="BC135" i="5"/>
  <c r="AY64" i="5"/>
  <c r="AX64" i="5"/>
  <c r="AY140" i="5"/>
  <c r="AX140" i="5"/>
  <c r="BE94" i="5"/>
  <c r="BF94" i="5" s="1"/>
  <c r="AY57" i="5"/>
  <c r="AX57" i="5"/>
  <c r="AY108" i="5"/>
  <c r="AX108" i="5"/>
  <c r="BA118" i="5"/>
  <c r="AZ118" i="5" s="1"/>
  <c r="BE139" i="5"/>
  <c r="BF139" i="5" s="1"/>
  <c r="BA136" i="5"/>
  <c r="AZ136" i="5" s="1"/>
  <c r="BD4" i="5"/>
  <c r="BC4" i="5"/>
  <c r="BA78" i="5"/>
  <c r="AZ78" i="5" s="1"/>
  <c r="BE100" i="5"/>
  <c r="BF100" i="5" s="1"/>
  <c r="AX38" i="5"/>
  <c r="AY38" i="5"/>
  <c r="AY121" i="5"/>
  <c r="AX121" i="5"/>
  <c r="BA111" i="5"/>
  <c r="AZ111" i="5" s="1"/>
  <c r="AX34" i="5"/>
  <c r="AY34" i="5"/>
  <c r="BD6" i="5"/>
  <c r="BC6" i="5"/>
  <c r="BE66" i="5"/>
  <c r="BF66" i="5" s="1"/>
  <c r="BA10" i="5"/>
  <c r="AZ10" i="5" s="1"/>
  <c r="BD30" i="5"/>
  <c r="BC30" i="5"/>
  <c r="BA42" i="5"/>
  <c r="AZ42" i="5" s="1"/>
  <c r="AY60" i="5"/>
  <c r="AX60" i="5"/>
  <c r="BE40" i="5"/>
  <c r="BF40" i="5" s="1"/>
  <c r="BD120" i="5"/>
  <c r="BC120" i="5"/>
  <c r="AX95" i="5"/>
  <c r="AY95" i="5"/>
  <c r="AY13" i="5"/>
  <c r="AX13" i="5"/>
  <c r="BA51" i="5"/>
  <c r="AZ51" i="5" s="1"/>
  <c r="AY56" i="5"/>
  <c r="AX56" i="5"/>
  <c r="BA27" i="5"/>
  <c r="AZ27" i="5"/>
  <c r="BD53" i="5"/>
  <c r="BC53" i="5"/>
  <c r="BD70" i="5"/>
  <c r="BC70" i="5"/>
  <c r="AY116" i="5"/>
  <c r="AX116" i="5"/>
  <c r="AX120" i="5"/>
  <c r="AY120" i="5"/>
  <c r="BD85" i="5"/>
  <c r="BC85" i="5"/>
  <c r="BA69" i="5"/>
  <c r="AZ69" i="5" s="1"/>
  <c r="BD5" i="5"/>
  <c r="BC5" i="5"/>
  <c r="AX7" i="5"/>
  <c r="AY7" i="5"/>
  <c r="BD95" i="5"/>
  <c r="BC95" i="5"/>
  <c r="BE8" i="5"/>
  <c r="BF8" i="5" s="1"/>
  <c r="BE119" i="5"/>
  <c r="BF119" i="5" s="1"/>
  <c r="BA130" i="5"/>
  <c r="AZ130" i="5" s="1"/>
  <c r="BC13" i="5"/>
  <c r="BD13" i="5"/>
  <c r="BE32" i="5"/>
  <c r="BF32" i="5" s="1"/>
  <c r="AY11" i="5"/>
  <c r="AX11" i="5"/>
  <c r="BD97" i="5"/>
  <c r="BC97" i="5"/>
  <c r="AX50" i="5"/>
  <c r="AY50" i="5"/>
  <c r="AY68" i="5"/>
  <c r="AX68" i="5"/>
  <c r="BD65" i="5"/>
  <c r="BC65" i="5"/>
  <c r="AY46" i="5"/>
  <c r="AX46" i="5"/>
  <c r="BC126" i="5"/>
  <c r="BD126" i="5"/>
  <c r="AY19" i="5"/>
  <c r="AX19" i="5"/>
  <c r="BC37" i="5"/>
  <c r="BD37" i="5"/>
  <c r="BC115" i="5"/>
  <c r="BD115" i="5"/>
  <c r="BD26" i="5"/>
  <c r="BC26" i="5"/>
  <c r="AY133" i="5"/>
  <c r="AX133" i="5"/>
  <c r="BD123" i="5"/>
  <c r="BC123" i="5"/>
  <c r="BD71" i="5"/>
  <c r="BC71" i="5"/>
  <c r="BD132" i="5"/>
  <c r="BC132" i="5"/>
  <c r="AX112" i="5"/>
  <c r="AY112" i="5"/>
  <c r="BD36" i="5"/>
  <c r="BC36" i="5"/>
  <c r="BC21" i="5"/>
  <c r="BD21" i="5"/>
  <c r="BD18" i="5"/>
  <c r="BC18" i="5"/>
  <c r="AY81" i="5"/>
  <c r="AX81" i="5"/>
  <c r="BE12" i="5"/>
  <c r="BF12" i="5" s="1"/>
  <c r="BA74" i="5"/>
  <c r="AZ74" i="5" s="1"/>
  <c r="BA25" i="5"/>
  <c r="AZ25" i="5" s="1"/>
  <c r="BE111" i="5"/>
  <c r="BF111" i="5" s="1"/>
  <c r="AX73" i="5"/>
  <c r="AY73" i="5"/>
  <c r="BA35" i="5"/>
  <c r="AZ35" i="5" s="1"/>
  <c r="BD137" i="5"/>
  <c r="BC137" i="5"/>
  <c r="BD57" i="5"/>
  <c r="BC57" i="5"/>
  <c r="BE74" i="5"/>
  <c r="BF74" i="5" s="1"/>
  <c r="BE39" i="5"/>
  <c r="BF39" i="5" s="1"/>
  <c r="BD122" i="5"/>
  <c r="BC122" i="5"/>
  <c r="AY4" i="5"/>
  <c r="AX4" i="5"/>
  <c r="AX44" i="5"/>
  <c r="AY44" i="5"/>
  <c r="BD55" i="5"/>
  <c r="BC55" i="5"/>
  <c r="BA94" i="5"/>
  <c r="AZ94" i="5" s="1"/>
  <c r="AY122" i="5"/>
  <c r="AX122" i="5"/>
  <c r="AY89" i="5"/>
  <c r="AX89" i="5"/>
  <c r="BE136" i="5"/>
  <c r="BF136" i="5" s="1"/>
  <c r="AY135" i="5"/>
  <c r="AX135" i="5"/>
  <c r="BD64" i="5"/>
  <c r="BC64" i="5"/>
  <c r="BE35" i="5"/>
  <c r="BF35" i="5" s="1"/>
  <c r="AY14" i="5"/>
  <c r="AX14" i="5"/>
  <c r="AX53" i="5"/>
  <c r="AY53" i="5"/>
  <c r="AY70" i="5"/>
  <c r="AX70" i="5"/>
  <c r="BD114" i="5"/>
  <c r="BC114" i="5"/>
  <c r="BC116" i="5"/>
  <c r="BD116" i="5"/>
  <c r="AY85" i="5"/>
  <c r="AX85" i="5"/>
  <c r="AY5" i="5"/>
  <c r="AX5" i="5"/>
  <c r="BC7" i="5"/>
  <c r="BD7" i="5"/>
  <c r="BA131" i="5"/>
  <c r="AZ131" i="5" s="1"/>
  <c r="BA43" i="5"/>
  <c r="AZ43" i="5" s="1"/>
  <c r="BE78" i="5"/>
  <c r="BF78" i="5" s="1"/>
  <c r="BC76" i="5"/>
  <c r="BD76" i="5"/>
  <c r="BD96" i="5"/>
  <c r="BC96" i="5"/>
  <c r="BA32" i="5"/>
  <c r="AZ32" i="5" s="1"/>
  <c r="AY6" i="5"/>
  <c r="AX6" i="5"/>
  <c r="BE118" i="5"/>
  <c r="BF118" i="5" s="1"/>
  <c r="AX80" i="5"/>
  <c r="AY80" i="5"/>
  <c r="AY30" i="5"/>
  <c r="AX30" i="5"/>
  <c r="BD60" i="5"/>
  <c r="BC60" i="5"/>
  <c r="BD11" i="5"/>
  <c r="BC11" i="5"/>
  <c r="AY97" i="5"/>
  <c r="AX97" i="5"/>
  <c r="BD19" i="5"/>
  <c r="BC19" i="5"/>
  <c r="BE24" i="5"/>
  <c r="BF24" i="5" s="1"/>
  <c r="BA66" i="5"/>
  <c r="AZ66" i="5" s="1"/>
  <c r="BD133" i="5"/>
  <c r="BC133" i="5"/>
  <c r="AX123" i="5"/>
  <c r="AY123" i="5"/>
  <c r="BE77" i="5"/>
  <c r="BF77" i="5" s="1"/>
  <c r="AX71" i="5"/>
  <c r="AY71" i="5"/>
  <c r="BA23" i="5"/>
  <c r="AZ23" i="5" s="1"/>
  <c r="AY132" i="5"/>
  <c r="AX132" i="5"/>
  <c r="BA102" i="5"/>
  <c r="AZ102" i="5" s="1"/>
  <c r="BD112" i="5"/>
  <c r="BC112" i="5"/>
  <c r="AX36" i="5"/>
  <c r="AY36" i="5"/>
  <c r="BA92" i="5"/>
  <c r="AZ92" i="5" s="1"/>
  <c r="BA62" i="5"/>
  <c r="AZ62" i="5" s="1"/>
  <c r="BA101" i="5"/>
  <c r="AZ101" i="5" s="1"/>
  <c r="AY21" i="5"/>
  <c r="AX21" i="5"/>
  <c r="AX18" i="5"/>
  <c r="AY18" i="5"/>
  <c r="BA138" i="5"/>
  <c r="AZ138" i="5" s="1"/>
  <c r="BD52" i="5"/>
  <c r="BC52" i="5"/>
  <c r="BA84" i="5"/>
  <c r="AZ84" i="5" s="1"/>
  <c r="BD87" i="5"/>
  <c r="BC87" i="5"/>
  <c r="BC45" i="5"/>
  <c r="BD45" i="5"/>
  <c r="AY107" i="5"/>
  <c r="AX107" i="5"/>
  <c r="BE86" i="5"/>
  <c r="BF86" i="5" s="1"/>
  <c r="AY72" i="5"/>
  <c r="AX72" i="5"/>
  <c r="AY22" i="5"/>
  <c r="AX22" i="5"/>
  <c r="BC134" i="5"/>
  <c r="BD134" i="5"/>
  <c r="BD88" i="5"/>
  <c r="BC88" i="5"/>
  <c r="BD104" i="5"/>
  <c r="BC104" i="5"/>
  <c r="BD44" i="5"/>
  <c r="BC44" i="5"/>
  <c r="BD108" i="5"/>
  <c r="BC108" i="5"/>
  <c r="AY29" i="5"/>
  <c r="AX29" i="5"/>
  <c r="BA77" i="5"/>
  <c r="AZ77" i="5" s="1"/>
  <c r="AY76" i="5"/>
  <c r="AX76" i="5"/>
  <c r="BC56" i="5"/>
  <c r="BD56" i="5"/>
  <c r="AY96" i="5"/>
  <c r="AX96" i="5"/>
  <c r="BD80" i="5"/>
  <c r="BC80" i="5"/>
  <c r="BA86" i="5"/>
  <c r="AZ86" i="5" s="1"/>
  <c r="AY114" i="5"/>
  <c r="AX114" i="5"/>
  <c r="BA39" i="5"/>
  <c r="AZ39" i="5" s="1"/>
  <c r="BD50" i="5"/>
  <c r="BC50" i="5"/>
  <c r="BD68" i="5"/>
  <c r="BC68" i="5"/>
  <c r="BA54" i="5"/>
  <c r="AZ54" i="5" s="1"/>
  <c r="BE138" i="5"/>
  <c r="BF138" i="5" s="1"/>
  <c r="AY65" i="5"/>
  <c r="AX65" i="5"/>
  <c r="BD46" i="5"/>
  <c r="BC46" i="5"/>
  <c r="BE128" i="5"/>
  <c r="BF128" i="5" s="1"/>
  <c r="AY126" i="5"/>
  <c r="AX126" i="5"/>
  <c r="AX37" i="5"/>
  <c r="AY37" i="5"/>
  <c r="AY115" i="5"/>
  <c r="AX115" i="5"/>
  <c r="AX26" i="5"/>
  <c r="AY26" i="5"/>
  <c r="BD105" i="5"/>
  <c r="BC105" i="5"/>
  <c r="AX52" i="5"/>
  <c r="AY52" i="5"/>
  <c r="AX61" i="5"/>
  <c r="AY61" i="5"/>
  <c r="BD81" i="5"/>
  <c r="BC81" i="5"/>
  <c r="BD125" i="5"/>
  <c r="BC125" i="5"/>
  <c r="AX87" i="5"/>
  <c r="AY87" i="5"/>
  <c r="AY45" i="5"/>
  <c r="AX45" i="5"/>
  <c r="BC107" i="5"/>
  <c r="BD107" i="5"/>
  <c r="BD72" i="5"/>
  <c r="BC72" i="5"/>
  <c r="BD113" i="5"/>
  <c r="BC113" i="5"/>
  <c r="BE23" i="5"/>
  <c r="BF23" i="5" s="1"/>
  <c r="BE25" i="5"/>
  <c r="BF25" i="5" s="1"/>
  <c r="BD73" i="5"/>
  <c r="BC73" i="5"/>
  <c r="BD22" i="5"/>
  <c r="BC22" i="5"/>
  <c r="AY134" i="5"/>
  <c r="AX134" i="5"/>
  <c r="AX63" i="5"/>
  <c r="AY63" i="5"/>
  <c r="BE82" i="5"/>
  <c r="BF82" i="5" s="1"/>
  <c r="BD79" i="5"/>
  <c r="BC79" i="5"/>
  <c r="AY88" i="5"/>
  <c r="AX88" i="5"/>
  <c r="AY137" i="5"/>
  <c r="AX137" i="5"/>
  <c r="AX104" i="5"/>
  <c r="AY104" i="5"/>
  <c r="BD38" i="5"/>
  <c r="BC38" i="5"/>
  <c r="BD121" i="5"/>
  <c r="BC121" i="5"/>
  <c r="BD34" i="5"/>
  <c r="BC34" i="5"/>
  <c r="BD14" i="5"/>
  <c r="BC14" i="5"/>
  <c r="BE84" i="5"/>
  <c r="BF84" i="5" s="1"/>
  <c r="AY124" i="5"/>
  <c r="AX124" i="5"/>
  <c r="BA129" i="5"/>
  <c r="AZ129" i="5" s="1"/>
  <c r="BE51" i="5"/>
  <c r="BF51" i="5" s="1"/>
  <c r="BE130" i="5"/>
  <c r="BF130" i="5" s="1"/>
  <c r="BE102" i="5"/>
  <c r="BF102" i="5" s="1"/>
  <c r="BD140" i="5"/>
  <c r="BC140" i="5"/>
  <c r="BA49" i="5" l="1"/>
  <c r="AZ49" i="5" s="1"/>
  <c r="BE45" i="5"/>
  <c r="BF45" i="5" s="1"/>
  <c r="BE76" i="5"/>
  <c r="BF76" i="5" s="1"/>
  <c r="BE108" i="5"/>
  <c r="BF108" i="5" s="1"/>
  <c r="BA132" i="5"/>
  <c r="AZ132" i="5" s="1"/>
  <c r="BE19" i="5"/>
  <c r="BF19" i="5" s="1"/>
  <c r="BA4" i="5"/>
  <c r="AZ4" i="5" s="1"/>
  <c r="BA56" i="5"/>
  <c r="AZ56" i="5" s="1"/>
  <c r="BA57" i="5"/>
  <c r="AZ57" i="5" s="1"/>
  <c r="BA63" i="5"/>
  <c r="AZ63" i="5" s="1"/>
  <c r="BE107" i="5"/>
  <c r="BF107" i="5" s="1"/>
  <c r="BA61" i="5"/>
  <c r="AZ61" i="5" s="1"/>
  <c r="BE134" i="5"/>
  <c r="BF134" i="5" s="1"/>
  <c r="BA18" i="5"/>
  <c r="AZ18" i="5" s="1"/>
  <c r="BA36" i="5"/>
  <c r="AZ36" i="5" s="1"/>
  <c r="BA123" i="5"/>
  <c r="AZ123" i="5" s="1"/>
  <c r="BA53" i="5"/>
  <c r="AZ53" i="5" s="1"/>
  <c r="BE37" i="5"/>
  <c r="BF37" i="5" s="1"/>
  <c r="BE126" i="5"/>
  <c r="BF126" i="5" s="1"/>
  <c r="BA50" i="5"/>
  <c r="AZ50" i="5" s="1"/>
  <c r="BA79" i="5"/>
  <c r="AZ79" i="5" s="1"/>
  <c r="BE85" i="5"/>
  <c r="BF85" i="5" s="1"/>
  <c r="BA96" i="5"/>
  <c r="AZ96" i="5" s="1"/>
  <c r="BA72" i="5"/>
  <c r="AZ72" i="5" s="1"/>
  <c r="BE87" i="5"/>
  <c r="BF87" i="5" s="1"/>
  <c r="BE52" i="5"/>
  <c r="BF52" i="5" s="1"/>
  <c r="BA97" i="5"/>
  <c r="AZ97" i="5" s="1"/>
  <c r="BA30" i="5"/>
  <c r="AZ30" i="5" s="1"/>
  <c r="BA85" i="5"/>
  <c r="AZ85" i="5" s="1"/>
  <c r="BA89" i="5"/>
  <c r="AZ89" i="5" s="1"/>
  <c r="BE55" i="5"/>
  <c r="BF55" i="5" s="1"/>
  <c r="BE57" i="5"/>
  <c r="BF57" i="5" s="1"/>
  <c r="BA81" i="5"/>
  <c r="AZ81" i="5" s="1"/>
  <c r="BE123" i="5"/>
  <c r="BF123" i="5" s="1"/>
  <c r="BA46" i="5"/>
  <c r="AZ46" i="5" s="1"/>
  <c r="BA68" i="5"/>
  <c r="AZ68" i="5" s="1"/>
  <c r="BE5" i="5"/>
  <c r="BF5" i="5" s="1"/>
  <c r="BE30" i="5"/>
  <c r="BF30" i="5"/>
  <c r="BE6" i="5"/>
  <c r="BF6" i="5" s="1"/>
  <c r="BA121" i="5"/>
  <c r="AZ121" i="5" s="1"/>
  <c r="BE4" i="5"/>
  <c r="BF4" i="5" s="1"/>
  <c r="BA140" i="5"/>
  <c r="AZ140" i="5" s="1"/>
  <c r="BE135" i="5"/>
  <c r="BF135" i="5" s="1"/>
  <c r="BE61" i="5"/>
  <c r="BF61" i="5" s="1"/>
  <c r="BA37" i="5"/>
  <c r="AZ37" i="5" s="1"/>
  <c r="BA34" i="5"/>
  <c r="AZ34" i="5" s="1"/>
  <c r="BA125" i="5"/>
  <c r="AZ125" i="5" s="1"/>
  <c r="BE121" i="5"/>
  <c r="BF121" i="5" s="1"/>
  <c r="BA22" i="5"/>
  <c r="AZ22" i="5" s="1"/>
  <c r="BE60" i="5"/>
  <c r="BF60" i="5" s="1"/>
  <c r="BE132" i="5"/>
  <c r="BF132" i="5" s="1"/>
  <c r="BE50" i="5"/>
  <c r="BF50" i="5" s="1"/>
  <c r="BA87" i="5"/>
  <c r="AZ87" i="5" s="1"/>
  <c r="BA52" i="5"/>
  <c r="AZ52" i="5" s="1"/>
  <c r="BA26" i="5"/>
  <c r="AZ26" i="5" s="1"/>
  <c r="BE56" i="5"/>
  <c r="BF56" i="5" s="1"/>
  <c r="BE116" i="5"/>
  <c r="BF116" i="5" s="1"/>
  <c r="BA95" i="5"/>
  <c r="AZ95" i="5" s="1"/>
  <c r="BA38" i="5"/>
  <c r="AZ38" i="5" s="1"/>
  <c r="BE29" i="5"/>
  <c r="BF29" i="5" s="1"/>
  <c r="BA105" i="5"/>
  <c r="AZ105" i="5" s="1"/>
  <c r="BE72" i="5"/>
  <c r="BF72" i="5" s="1"/>
  <c r="BA114" i="5"/>
  <c r="AZ114" i="5" s="1"/>
  <c r="BE96" i="5"/>
  <c r="BF96" i="5" s="1"/>
  <c r="BE64" i="5"/>
  <c r="BF64" i="5" s="1"/>
  <c r="BE38" i="5"/>
  <c r="BF38" i="5" s="1"/>
  <c r="BA88" i="5"/>
  <c r="AZ88" i="5" s="1"/>
  <c r="BE73" i="5"/>
  <c r="BF73" i="5" s="1"/>
  <c r="BE46" i="5"/>
  <c r="BF46" i="5" s="1"/>
  <c r="BE68" i="5"/>
  <c r="BF68" i="5" s="1"/>
  <c r="BE44" i="5"/>
  <c r="BF44" i="5" s="1"/>
  <c r="BE112" i="5"/>
  <c r="BF112" i="5" s="1"/>
  <c r="BE11" i="5"/>
  <c r="BF11" i="5" s="1"/>
  <c r="BA6" i="5"/>
  <c r="AZ6" i="5" s="1"/>
  <c r="BE114" i="5"/>
  <c r="BF114" i="5" s="1"/>
  <c r="BA135" i="5"/>
  <c r="AZ135" i="5" s="1"/>
  <c r="BA122" i="5"/>
  <c r="AZ122" i="5" s="1"/>
  <c r="BE122" i="5"/>
  <c r="BF122" i="5" s="1"/>
  <c r="BE18" i="5"/>
  <c r="BF18" i="5" s="1"/>
  <c r="BE36" i="5"/>
  <c r="BF36" i="5" s="1"/>
  <c r="BE71" i="5"/>
  <c r="BF71" i="5" s="1"/>
  <c r="BE26" i="5"/>
  <c r="BF26" i="5" s="1"/>
  <c r="BA19" i="5"/>
  <c r="AZ19" i="5" s="1"/>
  <c r="BE97" i="5"/>
  <c r="BF97" i="5" s="1"/>
  <c r="BE70" i="5"/>
  <c r="BF70" i="5" s="1"/>
  <c r="BA13" i="5"/>
  <c r="AZ13" i="5"/>
  <c r="BE120" i="5"/>
  <c r="BF120" i="5" s="1"/>
  <c r="BA108" i="5"/>
  <c r="AZ108" i="5" s="1"/>
  <c r="BA113" i="5"/>
  <c r="AZ113" i="5" s="1"/>
  <c r="BA45" i="5"/>
  <c r="AZ45" i="5" s="1"/>
  <c r="BA133" i="5"/>
  <c r="AZ133" i="5" s="1"/>
  <c r="BA60" i="5"/>
  <c r="AZ60" i="5" s="1"/>
  <c r="BE89" i="5"/>
  <c r="BF89" i="5" s="1"/>
  <c r="BE124" i="5"/>
  <c r="BF124" i="5" s="1"/>
  <c r="BE63" i="5"/>
  <c r="BF63" i="5" s="1"/>
  <c r="BE22" i="5"/>
  <c r="BF22" i="5" s="1"/>
  <c r="BA104" i="5"/>
  <c r="AZ104" i="5" s="1"/>
  <c r="BA80" i="5"/>
  <c r="AZ80" i="5" s="1"/>
  <c r="BE7" i="5"/>
  <c r="BF7" i="5" s="1"/>
  <c r="BA44" i="5"/>
  <c r="AZ44" i="5" s="1"/>
  <c r="BE21" i="5"/>
  <c r="BF21" i="5" s="1"/>
  <c r="BA112" i="5"/>
  <c r="AZ112" i="5" s="1"/>
  <c r="BE13" i="5"/>
  <c r="BF13" i="5" s="1"/>
  <c r="BA120" i="5"/>
  <c r="AZ120" i="5" s="1"/>
  <c r="BA55" i="5"/>
  <c r="AZ55" i="5" s="1"/>
  <c r="BA71" i="5"/>
  <c r="AZ71" i="5" s="1"/>
  <c r="BA73" i="5"/>
  <c r="AZ73" i="5" s="1"/>
  <c r="BE115" i="5"/>
  <c r="BF115" i="5" s="1"/>
  <c r="BA7" i="5"/>
  <c r="AZ7" i="5" s="1"/>
  <c r="BA29" i="5"/>
  <c r="AZ29" i="5" s="1"/>
  <c r="BE88" i="5"/>
  <c r="BF88" i="5" s="1"/>
  <c r="BE133" i="5"/>
  <c r="BF133" i="5" s="1"/>
  <c r="BA5" i="5"/>
  <c r="AZ5" i="5" s="1"/>
  <c r="BA11" i="5"/>
  <c r="AZ11" i="5" s="1"/>
  <c r="BA116" i="5"/>
  <c r="AZ116" i="5" s="1"/>
  <c r="BE14" i="5"/>
  <c r="BF14" i="5" s="1"/>
  <c r="BA137" i="5"/>
  <c r="AZ137" i="5" s="1"/>
  <c r="BE140" i="5"/>
  <c r="BF140" i="5" s="1"/>
  <c r="BA124" i="5"/>
  <c r="AZ124" i="5" s="1"/>
  <c r="BE34" i="5"/>
  <c r="BF34" i="5" s="1"/>
  <c r="BE79" i="5"/>
  <c r="BF79" i="5" s="1"/>
  <c r="BA134" i="5"/>
  <c r="AZ134" i="5" s="1"/>
  <c r="BE113" i="5"/>
  <c r="BF113" i="5" s="1"/>
  <c r="BE125" i="5"/>
  <c r="BF125" i="5" s="1"/>
  <c r="BE81" i="5"/>
  <c r="BF81" i="5" s="1"/>
  <c r="BE105" i="5"/>
  <c r="BF105" i="5" s="1"/>
  <c r="BA115" i="5"/>
  <c r="AZ115" i="5" s="1"/>
  <c r="BA126" i="5"/>
  <c r="AZ126" i="5" s="1"/>
  <c r="BA65" i="5"/>
  <c r="AZ65" i="5" s="1"/>
  <c r="BE80" i="5"/>
  <c r="BF80" i="5" s="1"/>
  <c r="BA76" i="5"/>
  <c r="AZ76" i="5" s="1"/>
  <c r="BE104" i="5"/>
  <c r="BF104" i="5" s="1"/>
  <c r="BA107" i="5"/>
  <c r="AZ107" i="5" s="1"/>
  <c r="BA21" i="5"/>
  <c r="AZ21" i="5" s="1"/>
  <c r="BA70" i="5"/>
  <c r="AZ70" i="5" s="1"/>
  <c r="BA14" i="5"/>
  <c r="AZ14" i="5" s="1"/>
  <c r="BE137" i="5"/>
  <c r="BF137" i="5" s="1"/>
  <c r="BE65" i="5"/>
  <c r="BF65" i="5" s="1"/>
  <c r="BE95" i="5"/>
  <c r="BF95" i="5" s="1"/>
  <c r="BE53" i="5"/>
  <c r="BF53" i="5" s="1"/>
  <c r="BA64" i="5"/>
  <c r="AZ64" i="5"/>
  <c r="G141" i="5" l="1"/>
  <c r="AH141" i="5"/>
  <c r="AI141" i="5"/>
  <c r="AK141" i="5" s="1"/>
  <c r="AH142" i="5"/>
  <c r="A153" i="5" s="1"/>
  <c r="AH143" i="5"/>
  <c r="A152" i="5"/>
  <c r="D163" i="5" s="1"/>
  <c r="G152" i="5"/>
  <c r="Q164" i="5" s="1"/>
  <c r="H152" i="5"/>
  <c r="I152" i="5"/>
  <c r="E152" i="5" s="1"/>
  <c r="J152" i="5"/>
  <c r="E153" i="5" s="1"/>
  <c r="L157" i="5" s="1"/>
  <c r="M157" i="5" s="1"/>
  <c r="K152" i="5"/>
  <c r="C169" i="5" s="1"/>
  <c r="L152" i="5"/>
  <c r="E154" i="5" s="1"/>
  <c r="L158" i="5" s="1"/>
  <c r="M158" i="5" s="1"/>
  <c r="M152" i="5"/>
  <c r="E156" i="5" s="1"/>
  <c r="L160" i="5" s="1"/>
  <c r="M160" i="5" s="1"/>
  <c r="T152" i="5"/>
  <c r="D164" i="5" s="1"/>
  <c r="U152" i="5"/>
  <c r="Q169" i="5"/>
  <c r="Q170" i="5"/>
  <c r="Q171" i="5"/>
  <c r="L156" i="5" l="1"/>
  <c r="M156" i="5" s="1"/>
  <c r="P152" i="5"/>
  <c r="G168" i="5" s="1"/>
  <c r="Z152" i="5"/>
  <c r="AT143" i="5"/>
  <c r="A167" i="5" s="1"/>
  <c r="AN141" i="5"/>
  <c r="AM141" i="5"/>
  <c r="AO141" i="5"/>
  <c r="Q173" i="5"/>
  <c r="Q172" i="5" s="1"/>
  <c r="C168" i="5"/>
  <c r="A163" i="5"/>
  <c r="AL141" i="5"/>
  <c r="C167" i="5"/>
  <c r="O152" i="5"/>
  <c r="AS143" i="5"/>
  <c r="D167" i="5" s="1"/>
  <c r="N152" i="5"/>
  <c r="Q152" i="5" l="1"/>
  <c r="C163" i="5"/>
  <c r="F167" i="5" s="1"/>
  <c r="AO143" i="5"/>
  <c r="D165" i="5" s="1"/>
  <c r="C170" i="5"/>
  <c r="E167" i="5"/>
  <c r="AQ141" i="5"/>
  <c r="AR141" i="5"/>
  <c r="AK143" i="5"/>
  <c r="D166" i="5" s="1"/>
  <c r="AP141" i="5"/>
  <c r="AU143" i="5"/>
  <c r="E163" i="5" l="1"/>
  <c r="F168" i="5"/>
  <c r="F169" i="5"/>
  <c r="AL143" i="5"/>
  <c r="A166" i="5" s="1"/>
  <c r="AV143" i="5"/>
  <c r="D171" i="5" s="1"/>
  <c r="AP143" i="5"/>
  <c r="A165" i="5" s="1"/>
  <c r="AQ143" i="5"/>
  <c r="AN143" i="5"/>
  <c r="C166" i="5" s="1"/>
  <c r="AR143" i="5"/>
  <c r="C165" i="5" s="1"/>
  <c r="AM143" i="5"/>
  <c r="A164" i="5" l="1"/>
  <c r="A171" i="5"/>
  <c r="C164" i="5"/>
  <c r="E165" i="5"/>
  <c r="F165" i="5"/>
  <c r="AW143" i="5"/>
  <c r="D173" i="5" s="1"/>
  <c r="E166" i="5"/>
  <c r="F166" i="5"/>
  <c r="BB143" i="5"/>
  <c r="D172" i="5" s="1"/>
  <c r="AX143" i="5" l="1"/>
  <c r="A173" i="5" s="1"/>
  <c r="AY143" i="5"/>
  <c r="E164" i="5"/>
  <c r="F164" i="5"/>
  <c r="G167" i="5"/>
  <c r="BC143" i="5"/>
  <c r="A172" i="5" s="1"/>
  <c r="BD143" i="5"/>
  <c r="BF143" i="5" l="1"/>
  <c r="BE143" i="5"/>
  <c r="AZ143" i="5"/>
  <c r="BA143" i="5"/>
  <c r="B1" i="5"/>
  <c r="C17" i="13"/>
  <c r="C16" i="13"/>
  <c r="C15" i="13"/>
  <c r="C14" i="13"/>
  <c r="J5" i="8"/>
  <c r="K5" i="8" s="1"/>
  <c r="L5" i="8" s="1"/>
  <c r="J6" i="8"/>
  <c r="K6" i="8" s="1"/>
  <c r="L6" i="8" s="1"/>
  <c r="J7" i="8"/>
  <c r="K7" i="8" s="1"/>
  <c r="L7" i="8" s="1"/>
  <c r="J8" i="8"/>
  <c r="K8" i="8" s="1"/>
  <c r="L8" i="8" s="1"/>
  <c r="J9" i="8"/>
  <c r="K9" i="8" s="1"/>
  <c r="L9" i="8" s="1"/>
  <c r="J10" i="8"/>
  <c r="K10" i="8" s="1"/>
  <c r="L10" i="8" s="1"/>
  <c r="J11" i="8"/>
  <c r="K11" i="8" s="1"/>
  <c r="L11" i="8" s="1"/>
  <c r="J12" i="8"/>
  <c r="K12" i="8" s="1"/>
  <c r="L12" i="8" s="1"/>
  <c r="J13" i="8"/>
  <c r="K13" i="8" s="1"/>
  <c r="L13" i="8" s="1"/>
  <c r="J14" i="8"/>
  <c r="K14" i="8" s="1"/>
  <c r="L14" i="8" s="1"/>
  <c r="J15" i="8"/>
  <c r="J16" i="8"/>
  <c r="K16" i="8" s="1"/>
  <c r="L16" i="8" s="1"/>
  <c r="J17" i="8"/>
  <c r="K17" i="8" s="1"/>
  <c r="L17" i="8" s="1"/>
  <c r="J18" i="8"/>
  <c r="K18" i="8" s="1"/>
  <c r="L18" i="8" s="1"/>
  <c r="J19" i="8"/>
  <c r="K19" i="8" s="1"/>
  <c r="L19" i="8" s="1"/>
  <c r="J20" i="8"/>
  <c r="K20" i="8" s="1"/>
  <c r="L20" i="8" s="1"/>
  <c r="J21" i="8"/>
  <c r="K21" i="8" s="1"/>
  <c r="L21" i="8" s="1"/>
  <c r="J22" i="8"/>
  <c r="K22" i="8" s="1"/>
  <c r="L22" i="8" s="1"/>
  <c r="J23" i="8"/>
  <c r="K23" i="8" s="1"/>
  <c r="L23" i="8" s="1"/>
  <c r="J24" i="8"/>
  <c r="K24" i="8" s="1"/>
  <c r="L24" i="8" s="1"/>
  <c r="I26" i="8"/>
  <c r="J141" i="5" s="1"/>
  <c r="H26" i="8"/>
  <c r="I141" i="5" s="1"/>
  <c r="A26" i="8"/>
  <c r="AS141" i="5" l="1"/>
  <c r="AT141" i="5" s="1"/>
  <c r="O141" i="5"/>
  <c r="C172" i="5"/>
  <c r="C173" i="5"/>
  <c r="F173" i="5" s="1"/>
  <c r="K15" i="8"/>
  <c r="K26" i="8" s="1"/>
  <c r="C19" i="13"/>
  <c r="J26" i="8"/>
  <c r="E155" i="5" s="1"/>
  <c r="AJ141" i="5" l="1"/>
  <c r="AU141" i="5"/>
  <c r="AV141" i="5" s="1"/>
  <c r="L159" i="5"/>
  <c r="I155" i="5"/>
  <c r="E157" i="5"/>
  <c r="Q165" i="5" s="1"/>
  <c r="E173" i="5"/>
  <c r="C171" i="5"/>
  <c r="F171" i="5" s="1"/>
  <c r="H163" i="5" s="1"/>
  <c r="F172" i="5"/>
  <c r="E172" i="5"/>
  <c r="L15" i="8"/>
  <c r="L26" i="8" s="1"/>
  <c r="M159" i="5" l="1"/>
  <c r="M161" i="5" s="1"/>
  <c r="L161" i="5"/>
  <c r="Q167" i="5"/>
  <c r="Q166" i="5"/>
  <c r="AW141" i="5"/>
  <c r="BB141" i="5"/>
  <c r="E171" i="5"/>
  <c r="G163" i="5"/>
  <c r="E176" i="5" s="1"/>
  <c r="F176" i="5"/>
  <c r="BC141" i="5" l="1"/>
  <c r="BD141" i="5"/>
  <c r="BE141" i="5" s="1"/>
  <c r="BF141" i="5" s="1"/>
  <c r="AY141" i="5"/>
  <c r="BA141" i="5" s="1"/>
  <c r="AZ141" i="5" s="1"/>
  <c r="AX141" i="5"/>
  <c r="F163" i="5"/>
</calcChain>
</file>

<file path=xl/sharedStrings.xml><?xml version="1.0" encoding="utf-8"?>
<sst xmlns="http://schemas.openxmlformats.org/spreadsheetml/2006/main" count="949" uniqueCount="547">
  <si>
    <t>COD</t>
  </si>
  <si>
    <t>CLIENTE</t>
  </si>
  <si>
    <t>TELEFONO</t>
  </si>
  <si>
    <t>LOCALIDAD</t>
  </si>
  <si>
    <t>SOLI</t>
  </si>
  <si>
    <t>CTA</t>
  </si>
  <si>
    <t>IMPORTE</t>
  </si>
  <si>
    <t>PAGO</t>
  </si>
  <si>
    <t>SALDO</t>
  </si>
  <si>
    <t>BAJA</t>
  </si>
  <si>
    <t>OBSERVACIONES</t>
  </si>
  <si>
    <t>paramet 1</t>
  </si>
  <si>
    <t>paramet 2</t>
  </si>
  <si>
    <t>BAJAS 7-X</t>
  </si>
  <si>
    <t>CLIENTES</t>
  </si>
  <si>
    <t>$</t>
  </si>
  <si>
    <t>BAJAS 1-6</t>
  </si>
  <si>
    <t>PAGADOS</t>
  </si>
  <si>
    <t>MOROSOS</t>
  </si>
  <si>
    <t>MOROSOS 7 -X</t>
  </si>
  <si>
    <t>MOROSOS 1 -6</t>
  </si>
  <si>
    <t>A COBRAR</t>
  </si>
  <si>
    <t>*******</t>
  </si>
  <si>
    <t>%</t>
  </si>
  <si>
    <t>CUOTAS</t>
  </si>
  <si>
    <t>X CLIENTE</t>
  </si>
  <si>
    <t>TOTAL</t>
  </si>
  <si>
    <t>BAJAS</t>
  </si>
  <si>
    <t>BAJA CTA 1-6</t>
  </si>
  <si>
    <t>BAJA CTA 7-X</t>
  </si>
  <si>
    <t>C/BAJAS</t>
  </si>
  <si>
    <t>MOROSOS CTA 1-6</t>
  </si>
  <si>
    <t>MOROSOS CTA 7-X</t>
  </si>
  <si>
    <t>PROBLEMAS</t>
  </si>
  <si>
    <t>CORDOBA</t>
  </si>
  <si>
    <t>NO PASO</t>
  </si>
  <si>
    <t>PAGARA</t>
  </si>
  <si>
    <t>CON VEND</t>
  </si>
  <si>
    <t>CON VENTAS</t>
  </si>
  <si>
    <t>CON PROP. EC</t>
  </si>
  <si>
    <t>EL COB</t>
  </si>
  <si>
    <t>OTROS</t>
  </si>
  <si>
    <t>MOTIVO</t>
  </si>
  <si>
    <t>CAMBIO DE PLAN</t>
  </si>
  <si>
    <t>X DEVOLUCION</t>
  </si>
  <si>
    <t>MOTIVOS</t>
  </si>
  <si>
    <t>X LITIGIO Y DEVOL.</t>
  </si>
  <si>
    <t>PAGO ANTES</t>
  </si>
  <si>
    <t>PAGOS</t>
  </si>
  <si>
    <t>X AJUSTE</t>
  </si>
  <si>
    <t>X AJUSTES CAJAS</t>
  </si>
  <si>
    <t>NORMAL</t>
  </si>
  <si>
    <t>ADELANTADO</t>
  </si>
  <si>
    <t>PAGOS X ADEL</t>
  </si>
  <si>
    <t>PAGO X ADEL</t>
  </si>
  <si>
    <t>X ADEL</t>
  </si>
  <si>
    <t>MOROSO</t>
  </si>
  <si>
    <t>CALCULO</t>
  </si>
  <si>
    <t>NO PONER DEVOLUCION EN CUOTAS MENOR 15</t>
  </si>
  <si>
    <t xml:space="preserve">COLOCAR  LAS BAJAS COMO SIEMPRE </t>
  </si>
  <si>
    <t>PERO EN EL MOTIVO SOLO EN LA CUOTA MAS BAJA</t>
  </si>
  <si>
    <t>SI ES DEVOL X LITIGIO SE PUEDE COLOCAR EN CUOTAS</t>
  </si>
  <si>
    <t>MENORES A 15</t>
  </si>
  <si>
    <t>C/PXADL</t>
  </si>
  <si>
    <t>PAGOS X AJUSTE</t>
  </si>
  <si>
    <t>PAGOS A IMPUTAR</t>
  </si>
  <si>
    <t>COMISION</t>
  </si>
  <si>
    <t>TOTALES</t>
  </si>
  <si>
    <t>TOTAL COB SIN CUP</t>
  </si>
  <si>
    <t>EL ARRASTE ES EL DINERO PENDIENTE O A FAVOR DEL CLIENTE</t>
  </si>
  <si>
    <t>ARRASTRE</t>
  </si>
  <si>
    <t>SALDO /P ESTAD</t>
  </si>
  <si>
    <t>DIF. FINANCIERA</t>
  </si>
  <si>
    <t>TOTAL CLIENTES</t>
  </si>
  <si>
    <t>A RENDIR</t>
  </si>
  <si>
    <t>VALOR CUOTA</t>
  </si>
  <si>
    <t>COBRANZA SIN CUPONES</t>
  </si>
  <si>
    <t>COBRADORES</t>
  </si>
  <si>
    <t>SUCURSALES</t>
  </si>
  <si>
    <t xml:space="preserve">COB </t>
  </si>
  <si>
    <t xml:space="preserve">SI EL </t>
  </si>
  <si>
    <t>CLIEN PAGO</t>
  </si>
  <si>
    <t>SI EL CLIENTE</t>
  </si>
  <si>
    <t>DEBE ALGO</t>
  </si>
  <si>
    <t>15 C 1-6</t>
  </si>
  <si>
    <t>25 C 7-X</t>
  </si>
  <si>
    <t>MORO O BAJA</t>
  </si>
  <si>
    <t>N° CLIEN</t>
  </si>
  <si>
    <t>OTRO MEDIO</t>
  </si>
  <si>
    <t>OFICINA SAN JUAN</t>
  </si>
  <si>
    <t>BANCO</t>
  </si>
  <si>
    <t>N°CUOTA</t>
  </si>
  <si>
    <t>AUTOHOGAR</t>
  </si>
  <si>
    <t>FALTA DE PAGA</t>
  </si>
  <si>
    <t>PLANILLA SALIDA</t>
  </si>
  <si>
    <t>SAL. REAL</t>
  </si>
  <si>
    <t>CON MORA</t>
  </si>
  <si>
    <t>SISTEMA</t>
  </si>
  <si>
    <t>ESTO SUCEDE PORQUE HAY CLIENTES QUE PAGAN X ADELANTADO</t>
  </si>
  <si>
    <t>COMISION %</t>
  </si>
  <si>
    <t>PROGR/ENTREGA</t>
  </si>
  <si>
    <t>N° COBRADOR</t>
  </si>
  <si>
    <t>TOTAL COBRANZA NORMAL ----&gt;</t>
  </si>
  <si>
    <t>TOTAL COBRANZA S/CUPONES -&gt;</t>
  </si>
  <si>
    <t>TOTAL COBRANZA DE TERCEROS-&gt;</t>
  </si>
  <si>
    <t>RAWSON</t>
  </si>
  <si>
    <t>SAN JUAN</t>
  </si>
  <si>
    <t xml:space="preserve">FECHAS </t>
  </si>
  <si>
    <t>OBLIGACION DE PAGO</t>
  </si>
  <si>
    <t>TOTAL SALIDO</t>
  </si>
  <si>
    <t>TOTAL COBRADO</t>
  </si>
  <si>
    <t>PORCENTAJE COBRANZA</t>
  </si>
  <si>
    <t>TERMOMETRO</t>
  </si>
  <si>
    <t>PAGO MES ANT</t>
  </si>
  <si>
    <t>Etiquetas de columna</t>
  </si>
  <si>
    <t>Etiquetas de fila</t>
  </si>
  <si>
    <t>(en blanco)</t>
  </si>
  <si>
    <t>Total general</t>
  </si>
  <si>
    <t>(Todas)</t>
  </si>
  <si>
    <t>SALDO P/</t>
  </si>
  <si>
    <t>TOTAL ABONADO AL COBRADOR--&gt;</t>
  </si>
  <si>
    <t xml:space="preserve">TOTAL COBRANZA </t>
  </si>
  <si>
    <t>COBRANZA</t>
  </si>
  <si>
    <t>SIN CUPONES</t>
  </si>
  <si>
    <t>X ADELANTADO</t>
  </si>
  <si>
    <t>TOTAL COBRANZA X M. ELECT-&gt;</t>
  </si>
  <si>
    <t>TOTAL COBRANZA X ADELANTADO-&gt;</t>
  </si>
  <si>
    <t>X M ELECTRONICOS</t>
  </si>
  <si>
    <t>Suma de CON MORA</t>
  </si>
  <si>
    <t>X OFICINA</t>
  </si>
  <si>
    <t>COMISION XOFICINA</t>
  </si>
  <si>
    <t>BCO O ELECT</t>
  </si>
  <si>
    <t>COB XX</t>
  </si>
  <si>
    <t>COMISION PAGO X ADEL %</t>
  </si>
  <si>
    <t>COMISION X BCO. POSNET O M.P %</t>
  </si>
  <si>
    <t>BAJAS DEL PERIODO</t>
  </si>
  <si>
    <t>*</t>
  </si>
  <si>
    <t>BAJAS DEL PERIODO (mora)</t>
  </si>
  <si>
    <t>**</t>
  </si>
  <si>
    <t>MOROSOS DEL PERIODO</t>
  </si>
  <si>
    <t>***</t>
  </si>
  <si>
    <t>TOTAL NO COBRADO DEL PERIDODO</t>
  </si>
  <si>
    <t>* Dinero que no ingresa mas a la empresa</t>
  </si>
  <si>
    <t>** Mora que se convirtio en baja</t>
  </si>
  <si>
    <t>POCITOS</t>
  </si>
  <si>
    <t>TOTAL BAJAS</t>
  </si>
  <si>
    <t>****</t>
  </si>
  <si>
    <t>*****</t>
  </si>
  <si>
    <t>*** Total de bajas</t>
  </si>
  <si>
    <t>**** Clientes que no abonaron  con o sin obligacion</t>
  </si>
  <si>
    <t>BANCO O M ELECTRONICOS</t>
  </si>
  <si>
    <t>ESTRELLA MICAELA DEL ROCIO</t>
  </si>
  <si>
    <t>RAMIREZ PAULA ALEJANDRA</t>
  </si>
  <si>
    <t>MOLINI BETINA LAURA</t>
  </si>
  <si>
    <t>CHIMBAS</t>
  </si>
  <si>
    <t>AGUILAR FIDEL CHOQUE</t>
  </si>
  <si>
    <t>OYOLA SANCHEZ SABRINA MAILEN</t>
  </si>
  <si>
    <t>9 DE JULIO</t>
  </si>
  <si>
    <t>CARRIZO ALEJANDRA NELLY</t>
  </si>
  <si>
    <t>HERRERA FRANCISCO ANTONIO</t>
  </si>
  <si>
    <t>CARPIO NORMA ANA</t>
  </si>
  <si>
    <t>LORENZETTI LANZILOTTA SANDRA P.</t>
  </si>
  <si>
    <t>VARGAS MARIA HORTENCIA</t>
  </si>
  <si>
    <t>BALMACEDA MAZA FRANCISCO EMILIO</t>
  </si>
  <si>
    <t>CAJAS HUGO RICARDO</t>
  </si>
  <si>
    <t>OCHOA BARBARA YAMILA</t>
  </si>
  <si>
    <t>ALANIZ CINTIA MACARENA</t>
  </si>
  <si>
    <t>HEREDIA JUAN CARLOS</t>
  </si>
  <si>
    <t>AGÜERO PATRICIO JAVIER</t>
  </si>
  <si>
    <t>BUSTOS NELLY MABEL</t>
  </si>
  <si>
    <t>SANTA LUCIA</t>
  </si>
  <si>
    <t>ZAMBRA MARIA SOLEDAD</t>
  </si>
  <si>
    <t>GALDEANO CARRIZO HERNAN</t>
  </si>
  <si>
    <t>PASTEN OLMOS ROSA MANUELA</t>
  </si>
  <si>
    <t>PUJADO LOBOS MARTIN DAVID</t>
  </si>
  <si>
    <t>MARINERO GERMAN ANTONIO</t>
  </si>
  <si>
    <t>MOLINA EMANUEL MARCOS JAIRO</t>
  </si>
  <si>
    <t>OCAMPO BLAS RICARDO</t>
  </si>
  <si>
    <t>MERCADO ANA BELEN</t>
  </si>
  <si>
    <t>KENNY NOELIA VANESA</t>
  </si>
  <si>
    <t>AGUERO CARLOS MORENO</t>
  </si>
  <si>
    <t>CAROSELLI YANINA CAROLINA</t>
  </si>
  <si>
    <t>PEREZ LUCAS SEBASTIAN</t>
  </si>
  <si>
    <t>SALCEDO JORGE LUIS</t>
  </si>
  <si>
    <t>NUÑEZ PAMELA GISELLE</t>
  </si>
  <si>
    <t>GUTIERREZ ATENCIO ELDA VANESA</t>
  </si>
  <si>
    <t>264-4580614</t>
  </si>
  <si>
    <t>ZONDA</t>
  </si>
  <si>
    <t>CEVALLE JORGE LEONARDO</t>
  </si>
  <si>
    <t>SILLERO GABRIELA SOLEDAD</t>
  </si>
  <si>
    <t>NAVARRO EDUARDO AGUSTIN</t>
  </si>
  <si>
    <t>RIVEROS DAYANA ESTEFANIA</t>
  </si>
  <si>
    <t>CASTRO OSCAR ALBERTO</t>
  </si>
  <si>
    <t>ARIA MIRTA GLADYS</t>
  </si>
  <si>
    <t>SANTAMARIA RIVEROS DAYANA ELIANA</t>
  </si>
  <si>
    <t>MALLEA ATENCIO PAULA CECILIA</t>
  </si>
  <si>
    <t>FERRA CASTRO GASTON MAXIMILIANO</t>
  </si>
  <si>
    <t>GATICA SEBASTIAN DARIO</t>
  </si>
  <si>
    <t>MERCADO MOLINA LEILA BELEN</t>
  </si>
  <si>
    <t>PARRA SIXTO ANTONIO</t>
  </si>
  <si>
    <t>GOMEZ CARINA JULIETA</t>
  </si>
  <si>
    <t>OLIVERA GISELA ROMINA</t>
  </si>
  <si>
    <t>JOFRE CAROLINA IVANA</t>
  </si>
  <si>
    <t>ILLANES EDUARDO ADRIAN</t>
  </si>
  <si>
    <t>JANAVEL SILVIA LILIANA</t>
  </si>
  <si>
    <t>CASTAN MARIA ARGENTINA</t>
  </si>
  <si>
    <t>ANDRADA JORGELINA AIDA</t>
  </si>
  <si>
    <t>MERCADO MOLINA  DAYANA ELIZABETH</t>
  </si>
  <si>
    <t>LIZARDE SERGIO DANIEL</t>
  </si>
  <si>
    <t>PAEZ EDUARDO ANTONIO</t>
  </si>
  <si>
    <t>JOFRE GRACIELA CRISTINA</t>
  </si>
  <si>
    <t>PEREYRA NUVIA CELESTE</t>
  </si>
  <si>
    <t>264-4829505</t>
  </si>
  <si>
    <t>ELIZONDO MARIO SANTIAGO</t>
  </si>
  <si>
    <t>264-5061888</t>
  </si>
  <si>
    <t>ALBARDON</t>
  </si>
  <si>
    <t>COBRADOR SAN JUAN</t>
  </si>
  <si>
    <t>CAUCETE</t>
  </si>
  <si>
    <t>RIVADAVIA</t>
  </si>
  <si>
    <t>TRIGO ESPEJO CARLOS JAVIER</t>
  </si>
  <si>
    <t>FERNANDEZ GORIA GABRIELA CELESTE</t>
  </si>
  <si>
    <t>264-5676031</t>
  </si>
  <si>
    <t>JACHAL</t>
  </si>
  <si>
    <t>GUEVARA ANTONIO NICOLAS</t>
  </si>
  <si>
    <t>264-4837119</t>
  </si>
  <si>
    <t>HUACO</t>
  </si>
  <si>
    <t>JOFRE ELIZABETH DEL VALLE</t>
  </si>
  <si>
    <t>264-4122541</t>
  </si>
  <si>
    <t>PASTEN EMILCE SABRINA</t>
  </si>
  <si>
    <t>264-4739119</t>
  </si>
  <si>
    <t>MANRIQUE BRIZUELA BARBARA ELIZABETH</t>
  </si>
  <si>
    <t>RIVEROS HUGO GUSTAVO</t>
  </si>
  <si>
    <t>264-4816549</t>
  </si>
  <si>
    <t>MELIAN LILIANA BEATRIZ</t>
  </si>
  <si>
    <t>264-4047597</t>
  </si>
  <si>
    <t>MEDIA AGUA</t>
  </si>
  <si>
    <t>PAEZ MARIO JAVIER</t>
  </si>
  <si>
    <t>264-4675674</t>
  </si>
  <si>
    <t>ROJAS RAQUEL EVANGELINA</t>
  </si>
  <si>
    <t>264-5213213</t>
  </si>
  <si>
    <t>OCHOA ERICA DEBORA</t>
  </si>
  <si>
    <t>264-5178841</t>
  </si>
  <si>
    <t>BUENO VALERIA VANESA</t>
  </si>
  <si>
    <t>264-5435239</t>
  </si>
  <si>
    <t>NUÑEZ CHIRINO VIVIANA DEL CARMEN</t>
  </si>
  <si>
    <t>264-6730916</t>
  </si>
  <si>
    <t>ALCANIS SUSANA ELIZABETH</t>
  </si>
  <si>
    <t>264-5778208</t>
  </si>
  <si>
    <t>PAZ MAURICIO DANIEL</t>
  </si>
  <si>
    <t>264-5519338</t>
  </si>
  <si>
    <t>VALDEZ DANISA ANGELES</t>
  </si>
  <si>
    <t>264-6292028</t>
  </si>
  <si>
    <t>MARQUESADO</t>
  </si>
  <si>
    <t>PEREIRA JULIO DAVID</t>
  </si>
  <si>
    <t>264-5808073</t>
  </si>
  <si>
    <t>ESPEJO PAOLA GISELA</t>
  </si>
  <si>
    <t>264-5692712</t>
  </si>
  <si>
    <t>MOLINA AGÜERO AYELEN VICTORIA</t>
  </si>
  <si>
    <t xml:space="preserve">MERCADO PAGO </t>
  </si>
  <si>
    <t xml:space="preserve">EFECTIVO </t>
  </si>
  <si>
    <t>aumenta a 55.000</t>
  </si>
  <si>
    <t>aumenta a 60.000</t>
  </si>
  <si>
    <t>GALICIA</t>
  </si>
  <si>
    <t xml:space="preserve">EFECTIVO / LE CAMBIARON LA FECHA DE COBRO . 10 AL 15 DE CADA MES </t>
  </si>
  <si>
    <t>aumenta a 65.000</t>
  </si>
  <si>
    <t>CALDERON ROSANA ANALIA</t>
  </si>
  <si>
    <t>264-5315461</t>
  </si>
  <si>
    <t>ARIAS YESICA TAMARA</t>
  </si>
  <si>
    <t>299-5486406</t>
  </si>
  <si>
    <t>NEUQUEN</t>
  </si>
  <si>
    <t>CRUZ INES CAROLINA</t>
  </si>
  <si>
    <t>264-5111481</t>
  </si>
  <si>
    <t>BARREAL</t>
  </si>
  <si>
    <t>TELLO DOMINGA MANUELA</t>
  </si>
  <si>
    <t>264-5260938</t>
  </si>
  <si>
    <t>LA PUNTILLA</t>
  </si>
  <si>
    <t>ARANCIBIA GALLARDO JORGE IVAN</t>
  </si>
  <si>
    <t>264-5713755</t>
  </si>
  <si>
    <t>CHAMORRO PEREA MARTIN ALFREDO</t>
  </si>
  <si>
    <t>264-4647030</t>
  </si>
  <si>
    <t>ALCARAZ RICARDO RAMON</t>
  </si>
  <si>
    <t>264-5794260</t>
  </si>
  <si>
    <t>EL RINCON</t>
  </si>
  <si>
    <t>ORTEGA ROSA DEL JESUS</t>
  </si>
  <si>
    <t>264-4101302</t>
  </si>
  <si>
    <t>REYNA VILLAFAÑE TAMARA ELINA</t>
  </si>
  <si>
    <t>264-5834008</t>
  </si>
  <si>
    <t>aumenta a 60000</t>
  </si>
  <si>
    <t>no aumenta</t>
  </si>
  <si>
    <t>aumenta a 30000</t>
  </si>
  <si>
    <t>aumetna a 60000</t>
  </si>
  <si>
    <t>pausa plan paga la carpeta carbajl norma 3 carpetas mas</t>
  </si>
  <si>
    <t>en febro aumenta esta con un prestamo</t>
  </si>
  <si>
    <t>posible baja no aumenta</t>
  </si>
  <si>
    <t>no aumenta mas no puede</t>
  </si>
  <si>
    <t xml:space="preserve">no aumenta </t>
  </si>
  <si>
    <t>no puede aumenta mas</t>
  </si>
  <si>
    <t xml:space="preserve">tiene discapacida no puede aumentar </t>
  </si>
  <si>
    <t>no puede pagar mas</t>
  </si>
  <si>
    <t>esta con problema de salud estuvo grave</t>
  </si>
  <si>
    <t>no puede pagar mas q 30.000</t>
  </si>
  <si>
    <t>no peude pagar mas q 30.000</t>
  </si>
  <si>
    <t>no quiere auemntar mas quiere la casa se le hablo mas de una vez queria poner abogado</t>
  </si>
  <si>
    <t>ya aumento</t>
  </si>
  <si>
    <t xml:space="preserve">paga en 2 veces porque no le alcanza no puede aumentar </t>
  </si>
  <si>
    <t>no puede aumentar</t>
  </si>
  <si>
    <t xml:space="preserve">no puede aumentar </t>
  </si>
  <si>
    <t>no puede aumentar todavia en unos meses mas</t>
  </si>
  <si>
    <t>aumenta a 80.000</t>
  </si>
  <si>
    <t>BALMACEDA ESTER MARIA</t>
  </si>
  <si>
    <t>GARAY MARCELO</t>
  </si>
  <si>
    <t>264-5269535</t>
  </si>
  <si>
    <t>GARAY MARCELO ROBERTO</t>
  </si>
  <si>
    <t>ALMAZAN JUAN ARIEL</t>
  </si>
  <si>
    <t>264-6245764</t>
  </si>
  <si>
    <t>BUSTOS ELIZABETH NOEMI</t>
  </si>
  <si>
    <t>264-5207638</t>
  </si>
  <si>
    <t>MUÑOZ ALICIA ADRIANA</t>
  </si>
  <si>
    <t>264-4700323</t>
  </si>
  <si>
    <t>CERDA FABIAN ALEJANDRO</t>
  </si>
  <si>
    <t>264-6621777</t>
  </si>
  <si>
    <t>PEREZ JOSE ISMAEL</t>
  </si>
  <si>
    <t>264-5122570</t>
  </si>
  <si>
    <t>PAREDES HUGO ARIEL</t>
  </si>
  <si>
    <t>264-7409479</t>
  </si>
  <si>
    <t>RODEO</t>
  </si>
  <si>
    <t>ORELLANO VERA YESICA BEATRIZ</t>
  </si>
  <si>
    <t>RUIZ FABIANA ANDREA</t>
  </si>
  <si>
    <t>264-4519628</t>
  </si>
  <si>
    <t>ESCUDERO ANGELA VICTORIA</t>
  </si>
  <si>
    <t>264-5534094</t>
  </si>
  <si>
    <t>ARABENA HECTOR ARIEL</t>
  </si>
  <si>
    <t>264-4742020</t>
  </si>
  <si>
    <t>ANDRES ESPINDOLA WALTER DARIO</t>
  </si>
  <si>
    <t>264-4158966</t>
  </si>
  <si>
    <t>YACANTE ALLENDE FRANCISCO JAVIER</t>
  </si>
  <si>
    <t>264-4557852</t>
  </si>
  <si>
    <t>HIDALGO MORENO MAURO</t>
  </si>
  <si>
    <t>264-4059779</t>
  </si>
  <si>
    <t>DIAZ ANTONELLA YAMILA</t>
  </si>
  <si>
    <t>264-4743505</t>
  </si>
  <si>
    <t>LARA ELVIO ARNALDO</t>
  </si>
  <si>
    <t>264-6613176</t>
  </si>
  <si>
    <t>VAZQUEZ LUCIA NILDA</t>
  </si>
  <si>
    <t>264-6194557</t>
  </si>
  <si>
    <t>HORQUERA BARRRIONUEVO CLAUDIA ELIZABETH</t>
  </si>
  <si>
    <t>264-4047122</t>
  </si>
  <si>
    <t>LEPEZ MEDINA MIRIAM AYELEN</t>
  </si>
  <si>
    <t>264-5143197</t>
  </si>
  <si>
    <t>CALDERON ELIANA ELIZABETH</t>
  </si>
  <si>
    <t>264-4147056</t>
  </si>
  <si>
    <t>SANCHEZ CESAR ALEJANDRO</t>
  </si>
  <si>
    <t>264-4731496</t>
  </si>
  <si>
    <t>GOMEZ EDITH JORGELINA</t>
  </si>
  <si>
    <t>264-5069722</t>
  </si>
  <si>
    <t>OCHOA MARIA LUISA</t>
  </si>
  <si>
    <t>264-4449786</t>
  </si>
  <si>
    <t>LA RIOJA CAPITAL</t>
  </si>
  <si>
    <t>ESPIN CRISTINA CECILIA</t>
  </si>
  <si>
    <t>BRITOS MARIA DE LOS ANGELES</t>
  </si>
  <si>
    <t>264-4363490</t>
  </si>
  <si>
    <t>VILLACORTA FABIANA ALEJANDRA</t>
  </si>
  <si>
    <t>264-6726589</t>
  </si>
  <si>
    <t>MILLA VERONICA ANTONIA</t>
  </si>
  <si>
    <t>264-4727755</t>
  </si>
  <si>
    <t>SORIA PALACIO GERMAN OMAR</t>
  </si>
  <si>
    <t>264-4758154</t>
  </si>
  <si>
    <t>ARROYO MARIANA DEOLINDA</t>
  </si>
  <si>
    <t>264-5725038</t>
  </si>
  <si>
    <t>ANGACO</t>
  </si>
  <si>
    <t>MALDONADO NELLY LEONOR</t>
  </si>
  <si>
    <t>264-6716597</t>
  </si>
  <si>
    <t>ALVAREZ MORAN CARMEN BEATRIZ</t>
  </si>
  <si>
    <t>264-5895577</t>
  </si>
  <si>
    <t>PEREZ ALEJANDRO MAXIMILIANO</t>
  </si>
  <si>
    <t>264-6706973</t>
  </si>
  <si>
    <t>ANGUALASTO</t>
  </si>
  <si>
    <t>ARAYA PABLO RAUL</t>
  </si>
  <si>
    <t>261-7751681</t>
  </si>
  <si>
    <t>VILLA TULUMAYA</t>
  </si>
  <si>
    <t>ESPINOZA SALAS ELVIA MATILDE</t>
  </si>
  <si>
    <t>264-6719959</t>
  </si>
  <si>
    <t>DELGADO FERNANDO EXEQUIEL</t>
  </si>
  <si>
    <t>264-6614350</t>
  </si>
  <si>
    <t>OLIVERA ELISA VALERIA</t>
  </si>
  <si>
    <t>264-4447849</t>
  </si>
  <si>
    <t>HUANCA QUISPE MIRIAM NANCY</t>
  </si>
  <si>
    <t>264-5645707</t>
  </si>
  <si>
    <t>ORMEÑO DEGO ANDRES</t>
  </si>
  <si>
    <t>264-4993610</t>
  </si>
  <si>
    <t>ESPEJO ALEXANDRA VANESA</t>
  </si>
  <si>
    <t>264-5163415</t>
  </si>
  <si>
    <t>MARTINEZ CRISTIAN IVAN</t>
  </si>
  <si>
    <t>264-5738515</t>
  </si>
  <si>
    <t>MARIN FARIAS MAURICIO ALEJANDRO</t>
  </si>
  <si>
    <t>264-5858110</t>
  </si>
  <si>
    <t>TAPIA GONZALEZ CATERINA</t>
  </si>
  <si>
    <t>264-5863829</t>
  </si>
  <si>
    <t>MADRID CARLOS MARCELO</t>
  </si>
  <si>
    <t>264-5697471</t>
  </si>
  <si>
    <t>HERRERA ROCIO BELEN</t>
  </si>
  <si>
    <t>264-5835013</t>
  </si>
  <si>
    <t>LUCERO CARMONA YAQUELINA ELIZABETH</t>
  </si>
  <si>
    <t>264-6106850</t>
  </si>
  <si>
    <t>SANCHEZ ADARVEZ FEDERICO JAVIER</t>
  </si>
  <si>
    <t>264-5413514</t>
  </si>
  <si>
    <t>FALCON ARTEZ YANINA VANESA</t>
  </si>
  <si>
    <t>264-4806498</t>
  </si>
  <si>
    <t>MACHUCA DIEGO MARTIN</t>
  </si>
  <si>
    <t>264-6735637</t>
  </si>
  <si>
    <t>DI CARLO DIAZ FLORENCIA BELEN</t>
  </si>
  <si>
    <t>LAIMES INGRID NICOLE SOLEDAD</t>
  </si>
  <si>
    <t>264-5573680</t>
  </si>
  <si>
    <t>CASTILLO MARTHA BEATRIZ</t>
  </si>
  <si>
    <t>264-4479687</t>
  </si>
  <si>
    <t>CARDOZO MIRANDA PAOLA VANESA</t>
  </si>
  <si>
    <t>264-6059918</t>
  </si>
  <si>
    <t>DIAZ ERNESTO FABIAN</t>
  </si>
  <si>
    <t>264-5892492</t>
  </si>
  <si>
    <t>DIAZ MIGUEL ANGEL</t>
  </si>
  <si>
    <t>264-5103121</t>
  </si>
  <si>
    <t>MACIAS DANIELA VALERIA</t>
  </si>
  <si>
    <t>264-4038388</t>
  </si>
  <si>
    <t>RECHES SANCHEZ ELBIO</t>
  </si>
  <si>
    <t>264-5023303</t>
  </si>
  <si>
    <t>ARAYA GRISELDA ROSA</t>
  </si>
  <si>
    <t>264-4707695</t>
  </si>
  <si>
    <t>MARTINEZ BENAVIDEZ ANDREA ROSANA</t>
  </si>
  <si>
    <t>264-5071309</t>
  </si>
  <si>
    <t>GENTILI CHIRINO SABRINA ANABELA</t>
  </si>
  <si>
    <t>264-5842222</t>
  </si>
  <si>
    <t>CHAVEZ CELIA DEOLINDA</t>
  </si>
  <si>
    <t>264-5066140</t>
  </si>
  <si>
    <t>REINOSO LUISA ALEJANDRA</t>
  </si>
  <si>
    <t>264-4196459</t>
  </si>
  <si>
    <t>RODRIGUEZ FLORA ETELVINA</t>
  </si>
  <si>
    <t>264-4729466</t>
  </si>
  <si>
    <t>POBLETE VIVIANA GRACIELA</t>
  </si>
  <si>
    <t>264-4630593</t>
  </si>
  <si>
    <t>FERNANDEZ CLAUDIA CAROLINA</t>
  </si>
  <si>
    <t>264-4455717</t>
  </si>
  <si>
    <t>OLMO CECILIA CRISTINA</t>
  </si>
  <si>
    <t>264-5105298</t>
  </si>
  <si>
    <t>FUENTE ROSA ELVIRA</t>
  </si>
  <si>
    <t>264-4216221</t>
  </si>
  <si>
    <t>PEREZ MARIELA BENITA</t>
  </si>
  <si>
    <t>264-5815004</t>
  </si>
  <si>
    <t>PEREZ PAULA ROSANA GABRIELA</t>
  </si>
  <si>
    <t>264-6021447</t>
  </si>
  <si>
    <t>GONZALEZ GUTIERREZ RODRIGO</t>
  </si>
  <si>
    <t>264-4818920</t>
  </si>
  <si>
    <t>SAIRE NATALIA LORENA</t>
  </si>
  <si>
    <t>264-5069280</t>
  </si>
  <si>
    <t>FARIAS JORGE LUIS</t>
  </si>
  <si>
    <t>264-4817232</t>
  </si>
  <si>
    <t>TELLO CESAR ARMANDO</t>
  </si>
  <si>
    <t>264-5437259</t>
  </si>
  <si>
    <t>264-5318968</t>
  </si>
  <si>
    <t>CHAVEZ MARINE YASMIN</t>
  </si>
  <si>
    <t>264-4745142</t>
  </si>
  <si>
    <t>MARIN PICO ANA VIVIANA</t>
  </si>
  <si>
    <t>264-5870867</t>
  </si>
  <si>
    <t>LUJAN MONICA ANGELICA</t>
  </si>
  <si>
    <t>264-6285279</t>
  </si>
  <si>
    <t>ESPINA ROXANA MARCELA</t>
  </si>
  <si>
    <t>264-5837714</t>
  </si>
  <si>
    <t>OCAMPO RODRIGUEZ MICAELA BELEN</t>
  </si>
  <si>
    <t>264-5517837</t>
  </si>
  <si>
    <t>GARAY MERCADO ANGEL FABIAN</t>
  </si>
  <si>
    <t>264-5863854</t>
  </si>
  <si>
    <t>CORTEZ JUANA BEATRIZ</t>
  </si>
  <si>
    <t>264-5319029</t>
  </si>
  <si>
    <t>LUNA EDUARDO ALEXIS</t>
  </si>
  <si>
    <t>264-4113470</t>
  </si>
  <si>
    <t>SOSA SELVA ROCIO</t>
  </si>
  <si>
    <t>264-6170578</t>
  </si>
  <si>
    <t>TEJADA LEANDRO MIGUEL</t>
  </si>
  <si>
    <t>264-5816260</t>
  </si>
  <si>
    <t>PAEZ ILIANA YAEL</t>
  </si>
  <si>
    <t>264-6299108</t>
  </si>
  <si>
    <t>CRIADO LAURA</t>
  </si>
  <si>
    <t>264-4434960</t>
  </si>
  <si>
    <t>BARCO YASMIN ZAHIRA</t>
  </si>
  <si>
    <t>264-5824228</t>
  </si>
  <si>
    <t>ROBLEDO DANIEL JAVIER</t>
  </si>
  <si>
    <t>264-5188944</t>
  </si>
  <si>
    <t>STRAMBACH RODRIGUEZ NATALIA RUTH</t>
  </si>
  <si>
    <t>264-5450875</t>
  </si>
  <si>
    <t>CALIVA PAMELA LORENA</t>
  </si>
  <si>
    <t>264-5899505</t>
  </si>
  <si>
    <t>NIEVAS CINTHYA DAYANA</t>
  </si>
  <si>
    <t>264-6216892</t>
  </si>
  <si>
    <t>NIEVAS ELIANA TERESITA</t>
  </si>
  <si>
    <t>264-6269775</t>
  </si>
  <si>
    <t>BARBOZA G. VICTOR HUGO</t>
  </si>
  <si>
    <t>VIDELA EDGARDO ORLANDO</t>
  </si>
  <si>
    <t>264-4560699</t>
  </si>
  <si>
    <t>CORTEZ ELIZONDO CELINA INES</t>
  </si>
  <si>
    <t>264-5887078</t>
  </si>
  <si>
    <t>BALMACEDA QUINTERO ALEJANDRA NICOLE</t>
  </si>
  <si>
    <t>264-4117004</t>
  </si>
  <si>
    <t>ANDRADA EDGAR ARIEL</t>
  </si>
  <si>
    <t>264-5608849</t>
  </si>
  <si>
    <t>BAZAN FERNANDO EMANUEL</t>
  </si>
  <si>
    <t>264-5681049</t>
  </si>
  <si>
    <t>GUAYAQUINCHAY FLAVIA GISELLE</t>
  </si>
  <si>
    <t>264-6210837</t>
  </si>
  <si>
    <t>JIMENEZ HERNAN</t>
  </si>
  <si>
    <t>264-5430399</t>
  </si>
  <si>
    <t xml:space="preserve"> 264 416-0830</t>
  </si>
  <si>
    <t>2645 46-2770</t>
  </si>
  <si>
    <t>MEDIOS ELECTRONICOS</t>
  </si>
  <si>
    <t>MARTINEZ ROMINA ELIANA</t>
  </si>
  <si>
    <t>264-5068875</t>
  </si>
  <si>
    <t>SANCHEZ LOBOS AGOSTINA DEL VALLE</t>
  </si>
  <si>
    <t>264-5809502</t>
  </si>
  <si>
    <t>QUINTEROS GERARDO JAVIER</t>
  </si>
  <si>
    <t>295-6617583</t>
  </si>
  <si>
    <t>SIMAN JUANA BEATRIZ</t>
  </si>
  <si>
    <t>264-5058882</t>
  </si>
  <si>
    <t>AGOSTO</t>
  </si>
  <si>
    <t>MERCADO PAGO</t>
  </si>
  <si>
    <t>ESCUELA ANA LORENA</t>
  </si>
  <si>
    <t>BAJA Y DEVOLUCION</t>
  </si>
  <si>
    <t>CASTRO FLORES</t>
  </si>
  <si>
    <t>EFECTIVO</t>
  </si>
  <si>
    <t>EFECTIVO OFICINA</t>
  </si>
  <si>
    <t>MONTAÑA MARGARITA</t>
  </si>
  <si>
    <t>GONZALEZ MARCELA</t>
  </si>
  <si>
    <t>BAJA INFORMA EDUARDO</t>
  </si>
  <si>
    <t>GOMEZ LILIANA</t>
  </si>
  <si>
    <t>POSNET OFICINA</t>
  </si>
  <si>
    <t>NO PAGARA HASTA QUE LO LLAMEN</t>
  </si>
  <si>
    <t>RECLAMO POR PROPUESTA</t>
  </si>
  <si>
    <t>PAGO AGOSTO Y SEPTIEMBRE</t>
  </si>
  <si>
    <t>NO QUISO PAGAR EL JUEVES 3 VA POR OFICINA Y ALLI ARREGLA LO DE LAS CUOTAS</t>
  </si>
  <si>
    <t>YA ESTA PAGA EN EL MES DE JULIO</t>
  </si>
  <si>
    <t>PAGO FACIL</t>
  </si>
  <si>
    <t>NO PAGO PROBLEMAS ECONOMICOS</t>
  </si>
  <si>
    <t>MERCADO PAGO POR OFICINA</t>
  </si>
  <si>
    <t>VA PAGAR EL DIA JUEVES 3 PORQUE NO TENIA PAGA LAS DOS JUNTAS</t>
  </si>
  <si>
    <t>BAJA POR FALTADE PAGO Y COMUNICACIÓN</t>
  </si>
  <si>
    <t xml:space="preserve">NO RESPONDE PERO NO DARE DE BAJA </t>
  </si>
  <si>
    <t>PAGA LAS DOS JUNTAS EL 3/08</t>
  </si>
  <si>
    <t>PAGA EN SEPTIEMBRE LAS DOS JUNTAS</t>
  </si>
  <si>
    <t>ELLA YA PAGO EN JULIO ESTA CUOTA</t>
  </si>
  <si>
    <t xml:space="preserve">PAGO JULIO DEBE AGOSTO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</si>
</sst>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26" x14ac:knownFonts="1">
    <font>
      <sz val="10"/>
      <name val="Arial"/>
    </font>
    <font>
      <sz val="10"/>
      <name val="Arial"/>
      <family val="2"/>
    </font>
    <font>
      <b/>
      <sz val="14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0"/>
      <color indexed="56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8"/>
      <color indexed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26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11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theme="5" tint="0.39997558519241921"/>
        <bgColor indexed="8"/>
      </patternFill>
    </fill>
    <fill>
      <patternFill patternType="solid">
        <fgColor theme="4" tint="0.79998168889431442"/>
        <bgColor indexed="8"/>
      </patternFill>
    </fill>
  </fills>
  <borders count="3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 style="thick">
        <color indexed="64"/>
      </left>
      <right style="thick">
        <color indexed="10"/>
      </right>
      <top style="thick">
        <color indexed="10"/>
      </top>
      <bottom style="thick">
        <color indexed="64"/>
      </bottom>
      <diagonal/>
    </border>
    <border>
      <left style="thick">
        <color indexed="10"/>
      </left>
      <right/>
      <top/>
      <bottom/>
      <diagonal/>
    </border>
    <border>
      <left style="thick">
        <color indexed="64"/>
      </left>
      <right style="thick">
        <color indexed="10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31">
    <xf numFmtId="0" fontId="0" fillId="0" borderId="0" xfId="0"/>
    <xf numFmtId="0" fontId="0" fillId="0" borderId="0" xfId="0" applyAlignment="1">
      <alignment horizontal="right"/>
    </xf>
    <xf numFmtId="0" fontId="3" fillId="0" borderId="1" xfId="0" applyFont="1" applyBorder="1"/>
    <xf numFmtId="1" fontId="3" fillId="0" borderId="2" xfId="0" applyNumberFormat="1" applyFont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right"/>
    </xf>
    <xf numFmtId="0" fontId="3" fillId="2" borderId="0" xfId="0" applyFont="1" applyFill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3" fillId="0" borderId="4" xfId="0" applyFont="1" applyBorder="1"/>
    <xf numFmtId="0" fontId="0" fillId="0" borderId="4" xfId="0" applyBorder="1"/>
    <xf numFmtId="0" fontId="4" fillId="0" borderId="4" xfId="0" applyFont="1" applyBorder="1"/>
    <xf numFmtId="0" fontId="0" fillId="3" borderId="4" xfId="0" applyFill="1" applyBorder="1" applyProtection="1">
      <protection locked="0"/>
    </xf>
    <xf numFmtId="3" fontId="5" fillId="0" borderId="4" xfId="3" applyNumberFormat="1" applyFont="1" applyFill="1" applyBorder="1" applyAlignment="1">
      <alignment vertical="center"/>
    </xf>
    <xf numFmtId="1" fontId="0" fillId="0" borderId="0" xfId="0" applyNumberFormat="1" applyAlignment="1">
      <alignment horizontal="left"/>
    </xf>
    <xf numFmtId="0" fontId="6" fillId="0" borderId="0" xfId="0" applyFont="1"/>
    <xf numFmtId="0" fontId="3" fillId="4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3" fillId="5" borderId="0" xfId="0" applyFont="1" applyFill="1"/>
    <xf numFmtId="1" fontId="3" fillId="6" borderId="0" xfId="0" applyNumberFormat="1" applyFont="1" applyFill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0" fillId="0" borderId="7" xfId="0" applyBorder="1"/>
    <xf numFmtId="0" fontId="4" fillId="2" borderId="8" xfId="0" applyFont="1" applyFill="1" applyBorder="1"/>
    <xf numFmtId="0" fontId="3" fillId="0" borderId="9" xfId="0" applyFont="1" applyBorder="1"/>
    <xf numFmtId="164" fontId="4" fillId="5" borderId="9" xfId="2" applyNumberFormat="1" applyFont="1" applyFill="1" applyBorder="1" applyAlignment="1">
      <alignment horizontal="left"/>
    </xf>
    <xf numFmtId="0" fontId="4" fillId="4" borderId="9" xfId="0" applyFont="1" applyFill="1" applyBorder="1"/>
    <xf numFmtId="168" fontId="3" fillId="0" borderId="9" xfId="0" applyNumberFormat="1" applyFont="1" applyBorder="1"/>
    <xf numFmtId="10" fontId="8" fillId="7" borderId="9" xfId="0" applyNumberFormat="1" applyFont="1" applyFill="1" applyBorder="1"/>
    <xf numFmtId="1" fontId="4" fillId="8" borderId="10" xfId="0" applyNumberFormat="1" applyFont="1" applyFill="1" applyBorder="1"/>
    <xf numFmtId="164" fontId="4" fillId="8" borderId="4" xfId="2" applyNumberFormat="1" applyFont="1" applyFill="1" applyBorder="1" applyAlignment="1">
      <alignment horizontal="left"/>
    </xf>
    <xf numFmtId="1" fontId="4" fillId="6" borderId="4" xfId="0" applyNumberFormat="1" applyFont="1" applyFill="1" applyBorder="1"/>
    <xf numFmtId="168" fontId="3" fillId="0" borderId="4" xfId="0" applyNumberFormat="1" applyFont="1" applyBorder="1"/>
    <xf numFmtId="10" fontId="8" fillId="7" borderId="4" xfId="0" applyNumberFormat="1" applyFont="1" applyFill="1" applyBorder="1"/>
    <xf numFmtId="1" fontId="4" fillId="2" borderId="10" xfId="0" applyNumberFormat="1" applyFont="1" applyFill="1" applyBorder="1"/>
    <xf numFmtId="164" fontId="4" fillId="0" borderId="4" xfId="2" applyNumberFormat="1" applyFont="1" applyBorder="1" applyAlignment="1">
      <alignment horizontal="left"/>
    </xf>
    <xf numFmtId="10" fontId="8" fillId="0" borderId="4" xfId="0" applyNumberFormat="1" applyFont="1" applyBorder="1"/>
    <xf numFmtId="164" fontId="4" fillId="9" borderId="4" xfId="2" applyNumberFormat="1" applyFont="1" applyFill="1" applyBorder="1"/>
    <xf numFmtId="0" fontId="4" fillId="8" borderId="4" xfId="0" applyFont="1" applyFill="1" applyBorder="1"/>
    <xf numFmtId="10" fontId="3" fillId="10" borderId="4" xfId="0" applyNumberFormat="1" applyFont="1" applyFill="1" applyBorder="1"/>
    <xf numFmtId="1" fontId="4" fillId="2" borderId="11" xfId="0" applyNumberFormat="1" applyFont="1" applyFill="1" applyBorder="1"/>
    <xf numFmtId="0" fontId="3" fillId="0" borderId="12" xfId="0" applyFont="1" applyBorder="1"/>
    <xf numFmtId="164" fontId="4" fillId="0" borderId="12" xfId="2" applyNumberFormat="1" applyFont="1" applyBorder="1" applyAlignment="1">
      <alignment horizontal="left"/>
    </xf>
    <xf numFmtId="0" fontId="4" fillId="0" borderId="12" xfId="0" applyFont="1" applyBorder="1"/>
    <xf numFmtId="168" fontId="3" fillId="0" borderId="12" xfId="0" applyNumberFormat="1" applyFont="1" applyBorder="1"/>
    <xf numFmtId="10" fontId="8" fillId="0" borderId="12" xfId="0" applyNumberFormat="1" applyFont="1" applyBorder="1"/>
    <xf numFmtId="0" fontId="0" fillId="0" borderId="12" xfId="0" applyBorder="1"/>
    <xf numFmtId="0" fontId="9" fillId="0" borderId="0" xfId="0" applyFont="1"/>
    <xf numFmtId="0" fontId="11" fillId="0" borderId="13" xfId="0" applyFont="1" applyBorder="1"/>
    <xf numFmtId="0" fontId="11" fillId="0" borderId="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3" fillId="0" borderId="13" xfId="0" applyFont="1" applyBorder="1"/>
    <xf numFmtId="0" fontId="0" fillId="0" borderId="0" xfId="0" applyAlignment="1">
      <alignment vertical="justify"/>
    </xf>
    <xf numFmtId="0" fontId="11" fillId="0" borderId="1" xfId="0" applyFont="1" applyBorder="1"/>
    <xf numFmtId="0" fontId="11" fillId="0" borderId="15" xfId="0" applyFont="1" applyBorder="1"/>
    <xf numFmtId="0" fontId="3" fillId="0" borderId="15" xfId="0" applyFont="1" applyBorder="1"/>
    <xf numFmtId="0" fontId="3" fillId="0" borderId="1" xfId="0" applyFont="1" applyBorder="1" applyAlignment="1">
      <alignment vertical="justify"/>
    </xf>
    <xf numFmtId="3" fontId="0" fillId="7" borderId="4" xfId="0" applyNumberFormat="1" applyFill="1" applyBorder="1" applyProtection="1">
      <protection locked="0"/>
    </xf>
    <xf numFmtId="1" fontId="0" fillId="7" borderId="4" xfId="0" applyNumberFormat="1" applyFill="1" applyBorder="1" applyProtection="1">
      <protection locked="0"/>
    </xf>
    <xf numFmtId="0" fontId="10" fillId="7" borderId="4" xfId="0" applyFont="1" applyFill="1" applyBorder="1" applyAlignment="1" applyProtection="1">
      <alignment vertical="justify"/>
      <protection locked="0"/>
    </xf>
    <xf numFmtId="0" fontId="4" fillId="0" borderId="16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2" borderId="4" xfId="0" applyFill="1" applyBorder="1" applyProtection="1">
      <protection locked="0"/>
    </xf>
    <xf numFmtId="164" fontId="0" fillId="0" borderId="0" xfId="0" applyNumberFormat="1"/>
    <xf numFmtId="9" fontId="0" fillId="0" borderId="0" xfId="0" applyNumberFormat="1"/>
    <xf numFmtId="0" fontId="4" fillId="11" borderId="4" xfId="0" applyFont="1" applyFill="1" applyBorder="1"/>
    <xf numFmtId="0" fontId="3" fillId="0" borderId="17" xfId="0" applyFont="1" applyBorder="1"/>
    <xf numFmtId="0" fontId="4" fillId="11" borderId="18" xfId="0" applyFont="1" applyFill="1" applyBorder="1"/>
    <xf numFmtId="164" fontId="4" fillId="2" borderId="19" xfId="2" applyNumberFormat="1" applyFont="1" applyFill="1" applyBorder="1"/>
    <xf numFmtId="164" fontId="4" fillId="8" borderId="9" xfId="2" applyNumberFormat="1" applyFont="1" applyFill="1" applyBorder="1"/>
    <xf numFmtId="164" fontId="4" fillId="12" borderId="1" xfId="2" applyNumberFormat="1" applyFont="1" applyFill="1" applyBorder="1"/>
    <xf numFmtId="0" fontId="4" fillId="0" borderId="14" xfId="0" applyFont="1" applyBorder="1"/>
    <xf numFmtId="0" fontId="4" fillId="0" borderId="20" xfId="0" applyFont="1" applyBorder="1"/>
    <xf numFmtId="0" fontId="4" fillId="11" borderId="16" xfId="0" applyFont="1" applyFill="1" applyBorder="1"/>
    <xf numFmtId="0" fontId="4" fillId="0" borderId="21" xfId="0" applyFont="1" applyBorder="1"/>
    <xf numFmtId="0" fontId="4" fillId="3" borderId="4" xfId="0" applyFont="1" applyFill="1" applyBorder="1" applyProtection="1">
      <protection locked="0"/>
    </xf>
    <xf numFmtId="1" fontId="4" fillId="6" borderId="0" xfId="0" applyNumberFormat="1" applyFont="1" applyFill="1"/>
    <xf numFmtId="0" fontId="0" fillId="2" borderId="6" xfId="0" applyFill="1" applyBorder="1"/>
    <xf numFmtId="0" fontId="3" fillId="2" borderId="6" xfId="0" applyFont="1" applyFill="1" applyBorder="1"/>
    <xf numFmtId="0" fontId="3" fillId="2" borderId="5" xfId="0" applyFont="1" applyFill="1" applyBorder="1"/>
    <xf numFmtId="0" fontId="3" fillId="2" borderId="14" xfId="0" applyFont="1" applyFill="1" applyBorder="1"/>
    <xf numFmtId="0" fontId="3" fillId="2" borderId="3" xfId="0" applyFont="1" applyFill="1" applyBorder="1"/>
    <xf numFmtId="0" fontId="0" fillId="2" borderId="0" xfId="0" applyFill="1"/>
    <xf numFmtId="0" fontId="3" fillId="2" borderId="22" xfId="0" applyFont="1" applyFill="1" applyBorder="1"/>
    <xf numFmtId="0" fontId="12" fillId="2" borderId="16" xfId="0" applyFont="1" applyFill="1" applyBorder="1"/>
    <xf numFmtId="0" fontId="0" fillId="2" borderId="22" xfId="0" applyFill="1" applyBorder="1"/>
    <xf numFmtId="0" fontId="3" fillId="2" borderId="23" xfId="0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3" fillId="2" borderId="20" xfId="0" applyFont="1" applyFill="1" applyBorder="1"/>
    <xf numFmtId="0" fontId="3" fillId="2" borderId="4" xfId="0" applyFont="1" applyFill="1" applyBorder="1"/>
    <xf numFmtId="0" fontId="3" fillId="3" borderId="4" xfId="0" applyFont="1" applyFill="1" applyBorder="1"/>
    <xf numFmtId="10" fontId="3" fillId="2" borderId="3" xfId="0" applyNumberFormat="1" applyFont="1" applyFill="1" applyBorder="1"/>
    <xf numFmtId="0" fontId="3" fillId="3" borderId="19" xfId="0" applyFont="1" applyFill="1" applyBorder="1"/>
    <xf numFmtId="0" fontId="6" fillId="0" borderId="24" xfId="0" applyFont="1" applyBorder="1"/>
    <xf numFmtId="10" fontId="4" fillId="8" borderId="4" xfId="0" applyNumberFormat="1" applyFont="1" applyFill="1" applyBorder="1"/>
    <xf numFmtId="3" fontId="3" fillId="13" borderId="0" xfId="0" applyNumberFormat="1" applyFont="1" applyFill="1"/>
    <xf numFmtId="0" fontId="0" fillId="8" borderId="4" xfId="0" applyFill="1" applyBorder="1" applyProtection="1">
      <protection locked="0"/>
    </xf>
    <xf numFmtId="0" fontId="10" fillId="3" borderId="4" xfId="0" applyFont="1" applyFill="1" applyBorder="1" applyProtection="1">
      <protection locked="0"/>
    </xf>
    <xf numFmtId="1" fontId="0" fillId="0" borderId="4" xfId="0" applyNumberForma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9" borderId="4" xfId="0" applyFont="1" applyFill="1" applyBorder="1"/>
    <xf numFmtId="0" fontId="0" fillId="3" borderId="4" xfId="0" applyFill="1" applyBorder="1"/>
    <xf numFmtId="0" fontId="0" fillId="2" borderId="4" xfId="0" applyFill="1" applyBorder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14" borderId="0" xfId="0" applyNumberFormat="1" applyFont="1" applyFill="1" applyAlignment="1" applyProtection="1">
      <alignment horizontal="center"/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3" fillId="14" borderId="1" xfId="0" applyFont="1" applyFill="1" applyBorder="1"/>
    <xf numFmtId="170" fontId="3" fillId="9" borderId="4" xfId="0" applyNumberFormat="1" applyFont="1" applyFill="1" applyBorder="1"/>
    <xf numFmtId="0" fontId="4" fillId="0" borderId="4" xfId="0" applyFont="1" applyBorder="1" applyProtection="1">
      <protection locked="0"/>
    </xf>
    <xf numFmtId="0" fontId="11" fillId="0" borderId="0" xfId="0" applyFont="1" applyAlignment="1">
      <alignment horizontal="center"/>
    </xf>
    <xf numFmtId="0" fontId="20" fillId="8" borderId="4" xfId="0" applyFont="1" applyFill="1" applyBorder="1" applyProtection="1">
      <protection locked="0"/>
    </xf>
    <xf numFmtId="164" fontId="4" fillId="0" borderId="0" xfId="2" applyNumberFormat="1" applyFont="1" applyBorder="1" applyAlignment="1">
      <alignment horizontal="left"/>
    </xf>
    <xf numFmtId="3" fontId="3" fillId="15" borderId="0" xfId="0" applyNumberFormat="1" applyFont="1" applyFill="1"/>
    <xf numFmtId="0" fontId="21" fillId="0" borderId="0" xfId="0" applyFont="1"/>
    <xf numFmtId="0" fontId="5" fillId="0" borderId="0" xfId="0" applyFont="1"/>
    <xf numFmtId="1" fontId="3" fillId="16" borderId="0" xfId="0" applyNumberFormat="1" applyFont="1" applyFill="1"/>
    <xf numFmtId="1" fontId="2" fillId="9" borderId="0" xfId="0" applyNumberFormat="1" applyFont="1" applyFill="1" applyAlignment="1">
      <alignment horizontal="left"/>
    </xf>
    <xf numFmtId="0" fontId="15" fillId="17" borderId="0" xfId="0" applyFont="1" applyFill="1"/>
    <xf numFmtId="0" fontId="5" fillId="17" borderId="0" xfId="0" applyFont="1" applyFill="1"/>
    <xf numFmtId="0" fontId="3" fillId="18" borderId="0" xfId="0" applyFont="1" applyFill="1"/>
    <xf numFmtId="14" fontId="2" fillId="9" borderId="0" xfId="0" applyNumberFormat="1" applyFont="1" applyFill="1" applyAlignment="1">
      <alignment horizontal="left"/>
    </xf>
    <xf numFmtId="0" fontId="15" fillId="18" borderId="0" xfId="0" applyFont="1" applyFill="1" applyProtection="1">
      <protection locked="0"/>
    </xf>
    <xf numFmtId="0" fontId="3" fillId="0" borderId="2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4" xfId="0" applyFont="1" applyBorder="1" applyProtection="1">
      <protection locked="0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13" borderId="1" xfId="0" applyFont="1" applyFill="1" applyBorder="1"/>
    <xf numFmtId="0" fontId="11" fillId="13" borderId="1" xfId="0" applyFont="1" applyFill="1" applyBorder="1"/>
    <xf numFmtId="0" fontId="2" fillId="0" borderId="0" xfId="0" applyFont="1"/>
    <xf numFmtId="0" fontId="0" fillId="17" borderId="4" xfId="0" applyFill="1" applyBorder="1"/>
    <xf numFmtId="0" fontId="3" fillId="17" borderId="4" xfId="0" applyFont="1" applyFill="1" applyBorder="1"/>
    <xf numFmtId="0" fontId="1" fillId="0" borderId="0" xfId="0" applyFont="1"/>
    <xf numFmtId="168" fontId="4" fillId="0" borderId="0" xfId="0" applyNumberFormat="1" applyFont="1"/>
    <xf numFmtId="1" fontId="1" fillId="0" borderId="4" xfId="0" applyNumberFormat="1" applyFont="1" applyBorder="1" applyAlignment="1" applyProtection="1">
      <alignment horizontal="left"/>
      <protection locked="0"/>
    </xf>
    <xf numFmtId="0" fontId="1" fillId="8" borderId="4" xfId="0" applyFont="1" applyFill="1" applyBorder="1" applyProtection="1">
      <protection locked="0"/>
    </xf>
    <xf numFmtId="0" fontId="3" fillId="18" borderId="4" xfId="0" applyFont="1" applyFill="1" applyBorder="1"/>
    <xf numFmtId="0" fontId="3" fillId="19" borderId="4" xfId="0" applyFont="1" applyFill="1" applyBorder="1"/>
    <xf numFmtId="0" fontId="4" fillId="11" borderId="0" xfId="0" applyFont="1" applyFill="1"/>
    <xf numFmtId="0" fontId="14" fillId="11" borderId="0" xfId="0" applyFont="1" applyFill="1"/>
    <xf numFmtId="10" fontId="8" fillId="7" borderId="1" xfId="0" applyNumberFormat="1" applyFont="1" applyFill="1" applyBorder="1"/>
    <xf numFmtId="3" fontId="0" fillId="0" borderId="0" xfId="0" applyNumberFormat="1"/>
    <xf numFmtId="164" fontId="4" fillId="0" borderId="0" xfId="0" applyNumberFormat="1" applyFont="1"/>
    <xf numFmtId="0" fontId="20" fillId="9" borderId="25" xfId="0" applyFont="1" applyFill="1" applyBorder="1"/>
    <xf numFmtId="0" fontId="20" fillId="9" borderId="26" xfId="0" applyFont="1" applyFill="1" applyBorder="1"/>
    <xf numFmtId="0" fontId="11" fillId="2" borderId="16" xfId="0" applyFont="1" applyFill="1" applyBorder="1"/>
    <xf numFmtId="1" fontId="17" fillId="21" borderId="4" xfId="9" applyNumberFormat="1" applyFont="1" applyFill="1" applyBorder="1" applyProtection="1"/>
    <xf numFmtId="0" fontId="3" fillId="8" borderId="4" xfId="0" applyFont="1" applyFill="1" applyBorder="1" applyProtection="1">
      <protection locked="0"/>
    </xf>
    <xf numFmtId="1" fontId="11" fillId="5" borderId="4" xfId="0" applyNumberFormat="1" applyFont="1" applyFill="1" applyBorder="1" applyProtection="1">
      <protection locked="0"/>
    </xf>
    <xf numFmtId="0" fontId="13" fillId="0" borderId="0" xfId="0" applyFont="1" applyAlignment="1">
      <alignment horizontal="right"/>
    </xf>
    <xf numFmtId="0" fontId="3" fillId="0" borderId="27" xfId="0" applyFont="1" applyBorder="1"/>
    <xf numFmtId="0" fontId="3" fillId="0" borderId="28" xfId="0" applyFont="1" applyBorder="1"/>
    <xf numFmtId="168" fontId="20" fillId="17" borderId="29" xfId="0" applyNumberFormat="1" applyFont="1" applyFill="1" applyBorder="1" applyAlignment="1">
      <alignment horizontal="center"/>
    </xf>
    <xf numFmtId="0" fontId="3" fillId="0" borderId="30" xfId="0" applyFont="1" applyBorder="1"/>
    <xf numFmtId="168" fontId="20" fillId="6" borderId="31" xfId="0" applyNumberFormat="1" applyFont="1" applyFill="1" applyBorder="1" applyAlignment="1">
      <alignment horizontal="center"/>
    </xf>
    <xf numFmtId="1" fontId="3" fillId="22" borderId="30" xfId="0" applyNumberFormat="1" applyFont="1" applyFill="1" applyBorder="1" applyAlignment="1">
      <alignment horizontal="left"/>
    </xf>
    <xf numFmtId="0" fontId="0" fillId="22" borderId="0" xfId="0" applyFill="1"/>
    <xf numFmtId="1" fontId="3" fillId="0" borderId="30" xfId="0" applyNumberFormat="1" applyFont="1" applyBorder="1" applyAlignment="1">
      <alignment horizontal="left"/>
    </xf>
    <xf numFmtId="0" fontId="22" fillId="8" borderId="0" xfId="0" applyFont="1" applyFill="1"/>
    <xf numFmtId="168" fontId="20" fillId="19" borderId="31" xfId="0" applyNumberFormat="1" applyFont="1" applyFill="1" applyBorder="1" applyAlignment="1">
      <alignment horizontal="center"/>
    </xf>
    <xf numFmtId="168" fontId="20" fillId="16" borderId="31" xfId="0" applyNumberFormat="1" applyFont="1" applyFill="1" applyBorder="1" applyAlignment="1">
      <alignment horizontal="center"/>
    </xf>
    <xf numFmtId="171" fontId="0" fillId="3" borderId="4" xfId="0" applyNumberFormat="1" applyFill="1" applyBorder="1" applyProtection="1">
      <protection locked="0"/>
    </xf>
    <xf numFmtId="0" fontId="3" fillId="13" borderId="0" xfId="0" applyFont="1" applyFill="1"/>
    <xf numFmtId="168" fontId="3" fillId="13" borderId="0" xfId="0" applyNumberFormat="1" applyFont="1" applyFill="1"/>
    <xf numFmtId="10" fontId="8" fillId="13" borderId="1" xfId="0" applyNumberFormat="1" applyFont="1" applyFill="1" applyBorder="1"/>
    <xf numFmtId="0" fontId="3" fillId="1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168" fontId="20" fillId="11" borderId="31" xfId="0" applyNumberFormat="1" applyFont="1" applyFill="1" applyBorder="1" applyAlignment="1">
      <alignment horizontal="center"/>
    </xf>
    <xf numFmtId="168" fontId="3" fillId="6" borderId="33" xfId="0" applyNumberFormat="1" applyFont="1" applyFill="1" applyBorder="1"/>
    <xf numFmtId="0" fontId="3" fillId="0" borderId="6" xfId="0" applyFont="1" applyBorder="1"/>
    <xf numFmtId="168" fontId="0" fillId="0" borderId="0" xfId="0" applyNumberFormat="1"/>
    <xf numFmtId="0" fontId="20" fillId="0" borderId="23" xfId="0" applyFont="1" applyBorder="1"/>
    <xf numFmtId="0" fontId="20" fillId="0" borderId="7" xfId="0" applyFont="1" applyBorder="1"/>
    <xf numFmtId="168" fontId="20" fillId="0" borderId="7" xfId="0" applyNumberFormat="1" applyFont="1" applyBorder="1"/>
    <xf numFmtId="0" fontId="21" fillId="0" borderId="1" xfId="0" applyFont="1" applyBorder="1"/>
    <xf numFmtId="0" fontId="3" fillId="0" borderId="14" xfId="0" applyFont="1" applyBorder="1"/>
    <xf numFmtId="168" fontId="0" fillId="0" borderId="22" xfId="0" applyNumberFormat="1" applyBorder="1"/>
    <xf numFmtId="168" fontId="20" fillId="0" borderId="20" xfId="0" applyNumberFormat="1" applyFont="1" applyBorder="1"/>
    <xf numFmtId="0" fontId="23" fillId="16" borderId="0" xfId="0" applyFont="1" applyFill="1" applyAlignment="1">
      <alignment horizontal="right"/>
    </xf>
    <xf numFmtId="0" fontId="20" fillId="16" borderId="0" xfId="0" applyFont="1" applyFill="1" applyAlignment="1">
      <alignment horizontal="right"/>
    </xf>
    <xf numFmtId="0" fontId="3" fillId="9" borderId="0" xfId="0" applyFont="1" applyFill="1"/>
    <xf numFmtId="0" fontId="0" fillId="0" borderId="32" xfId="0" applyBorder="1" applyProtection="1">
      <protection locked="0"/>
    </xf>
    <xf numFmtId="0" fontId="0" fillId="24" borderId="32" xfId="0" applyFill="1" applyBorder="1" applyProtection="1">
      <protection locked="0"/>
    </xf>
    <xf numFmtId="1" fontId="0" fillId="0" borderId="32" xfId="0" applyNumberFormat="1" applyBorder="1" applyAlignment="1" applyProtection="1">
      <alignment horizontal="left"/>
      <protection locked="0"/>
    </xf>
    <xf numFmtId="0" fontId="4" fillId="0" borderId="32" xfId="0" applyFont="1" applyBorder="1" applyProtection="1">
      <protection locked="0"/>
    </xf>
    <xf numFmtId="0" fontId="0" fillId="25" borderId="32" xfId="0" applyFill="1" applyBorder="1" applyProtection="1">
      <protection locked="0"/>
    </xf>
    <xf numFmtId="0" fontId="4" fillId="25" borderId="32" xfId="0" applyFont="1" applyFill="1" applyBorder="1" applyProtection="1">
      <protection locked="0"/>
    </xf>
    <xf numFmtId="0" fontId="4" fillId="8" borderId="4" xfId="0" applyFont="1" applyFill="1" applyBorder="1" applyProtection="1">
      <protection locked="0"/>
    </xf>
    <xf numFmtId="16" fontId="10" fillId="24" borderId="32" xfId="0" applyNumberFormat="1" applyFont="1" applyFill="1" applyBorder="1" applyProtection="1">
      <protection locked="0"/>
    </xf>
    <xf numFmtId="0" fontId="10" fillId="24" borderId="32" xfId="0" applyFont="1" applyFill="1" applyBorder="1" applyProtection="1">
      <protection locked="0"/>
    </xf>
    <xf numFmtId="0" fontId="0" fillId="20" borderId="0" xfId="0" applyFill="1"/>
    <xf numFmtId="0" fontId="0" fillId="20" borderId="4" xfId="0" applyFill="1" applyBorder="1"/>
    <xf numFmtId="3" fontId="1" fillId="0" borderId="4" xfId="4" applyNumberFormat="1" applyFont="1" applyFill="1" applyBorder="1" applyAlignment="1">
      <alignment vertical="center"/>
    </xf>
    <xf numFmtId="0" fontId="0" fillId="23" borderId="32" xfId="0" applyFill="1" applyBorder="1" applyProtection="1">
      <protection locked="0"/>
    </xf>
    <xf numFmtId="0" fontId="4" fillId="24" borderId="32" xfId="0" applyFont="1" applyFill="1" applyBorder="1" applyProtection="1">
      <protection locked="0"/>
    </xf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168" fontId="3" fillId="29" borderId="0" xfId="0" applyNumberFormat="1" applyFont="1" applyFill="1"/>
    <xf numFmtId="0" fontId="0" fillId="30" borderId="34" xfId="0" applyFill="1" applyBorder="1" applyProtection="1">
      <protection locked="0"/>
    </xf>
    <xf numFmtId="0" fontId="3" fillId="31" borderId="4" xfId="0" applyFont="1" applyFill="1" applyBorder="1"/>
    <xf numFmtId="0" fontId="0" fillId="32" borderId="32" xfId="0" applyFill="1" applyBorder="1" applyProtection="1">
      <protection locked="0"/>
    </xf>
    <xf numFmtId="0" fontId="1" fillId="3" borderId="4" xfId="0" applyFont="1" applyFill="1" applyBorder="1"/>
    <xf numFmtId="171" fontId="24" fillId="33" borderId="32" xfId="0" applyNumberFormat="1" applyFont="1" applyFill="1" applyBorder="1" applyProtection="1">
      <protection locked="0"/>
    </xf>
    <xf numFmtId="0" fontId="1" fillId="24" borderId="32" xfId="0" applyFont="1" applyFill="1" applyBorder="1" applyProtection="1">
      <protection locked="0"/>
    </xf>
    <xf numFmtId="14" fontId="0" fillId="0" borderId="0" xfId="0" applyNumberFormat="1"/>
    <xf numFmtId="171" fontId="24" fillId="35" borderId="32" xfId="0" applyNumberFormat="1" applyFont="1" applyFill="1" applyBorder="1" applyProtection="1">
      <protection locked="0"/>
    </xf>
    <xf numFmtId="0" fontId="1" fillId="0" borderId="32" xfId="0" applyFont="1" applyBorder="1" applyProtection="1">
      <protection locked="0"/>
    </xf>
    <xf numFmtId="171" fontId="24" fillId="34" borderId="32" xfId="0" applyNumberFormat="1" applyFont="1" applyFill="1" applyBorder="1" applyAlignment="1" applyProtection="1">
      <alignment horizontal="center"/>
      <protection locked="0"/>
    </xf>
    <xf numFmtId="171" fontId="0" fillId="3" borderId="4" xfId="0" applyNumberFormat="1" applyFill="1" applyBorder="1" applyAlignment="1" applyProtection="1">
      <alignment horizontal="center"/>
      <protection locked="0"/>
    </xf>
    <xf numFmtId="0" fontId="21" fillId="0" borderId="0" xfId="0" applyFont="1" applyAlignment="1">
      <alignment horizontal="center"/>
    </xf>
    <xf numFmtId="3" fontId="3" fillId="15" borderId="0" xfId="0" applyNumberFormat="1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0" fontId="4" fillId="16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0" fontId="16" fillId="22" borderId="7" xfId="0" applyFont="1" applyFill="1" applyBorder="1" applyAlignment="1">
      <alignment horizontal="center"/>
    </xf>
  </cellXfs>
  <cellStyles count="10">
    <cellStyle name="Millares 2" xfId="1" xr:uid="{00000000-0005-0000-0000-000000000000}"/>
    <cellStyle name="Moneda" xfId="2" builtinId="4"/>
    <cellStyle name="Moneda 2" xfId="3" xr:uid="{00000000-0005-0000-0000-000002000000}"/>
    <cellStyle name="Moneda 2 2" xfId="4" xr:uid="{00000000-0005-0000-0000-000003000000}"/>
    <cellStyle name="Normal" xfId="0" builtinId="0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orcentaje" xfId="9" builtinId="5"/>
    <cellStyle name="Porcentaje 2" xfId="8" xr:uid="{00000000-0005-0000-0000-000009000000}"/>
  </cellStyles>
  <dxfs count="11"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b/>
        <i val="0"/>
        <condense val="0"/>
        <extend val="0"/>
      </font>
      <fill>
        <patternFill>
          <bgColor indexed="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uardo\waldo%20cob%20comp\Documents%20and%20Settings\Xp%2019-11-13\Configuraci&#243;n%20local\Archivos%20temporales%20de%20Internet\Content.IE5\DHLYJWNZ\PLANILLA%20MODE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"/>
      <sheetName val="CASA"/>
      <sheetName val="RENDICION"/>
      <sheetName val="Sugerencia Rendiciones "/>
      <sheetName val="COBRANZA SIN CUPON + VTA"/>
      <sheetName val="REGISTRO DE CHEQUES"/>
      <sheetName val="RANKING"/>
    </sheetNames>
    <sheetDataSet>
      <sheetData sheetId="0"/>
      <sheetData sheetId="1"/>
      <sheetData sheetId="2"/>
      <sheetData sheetId="3">
        <row r="2">
          <cell r="BP2" t="str">
            <v>Gustavo</v>
          </cell>
        </row>
        <row r="3">
          <cell r="D3" t="str">
            <v>AUTOMOVILES</v>
          </cell>
          <cell r="BP3" t="str">
            <v>Luis</v>
          </cell>
        </row>
        <row r="4">
          <cell r="D4" t="str">
            <v>VIVIENDAS</v>
          </cell>
          <cell r="BP4" t="str">
            <v>David</v>
          </cell>
        </row>
        <row r="5">
          <cell r="D5" t="str">
            <v>RANKING</v>
          </cell>
          <cell r="BP5" t="str">
            <v>Miguel</v>
          </cell>
        </row>
        <row r="6">
          <cell r="D6" t="str">
            <v>PAGARES</v>
          </cell>
          <cell r="BP6" t="str">
            <v>Sucursal</v>
          </cell>
        </row>
        <row r="7">
          <cell r="D7" t="str">
            <v>Cheques Rechazados</v>
          </cell>
          <cell r="BP7" t="str">
            <v>Depósito</v>
          </cell>
        </row>
        <row r="8">
          <cell r="D8" t="str">
            <v>RECUPEROS</v>
          </cell>
          <cell r="BP8" t="str">
            <v>Devolución</v>
          </cell>
        </row>
        <row r="9">
          <cell r="D9" t="str">
            <v>CASA FACIL</v>
          </cell>
          <cell r="BP9" t="str">
            <v>Gerente</v>
          </cell>
        </row>
        <row r="10">
          <cell r="D10" t="str">
            <v>AUTO FACIL</v>
          </cell>
          <cell r="BP10" t="str">
            <v>Otro</v>
          </cell>
        </row>
        <row r="11">
          <cell r="D11" t="str">
            <v>OTROS</v>
          </cell>
        </row>
      </sheetData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" refreshedDate="44228.204620023149" createdVersion="4" refreshedVersion="6" minRefreshableVersion="3" recordCount="55" xr:uid="{00000000-000A-0000-FFFF-FFFF00000000}">
  <cacheSource type="worksheet">
    <worksheetSource ref="A3:W140" sheet="AUTOHOGAR"/>
  </cacheSource>
  <cacheFields count="23">
    <cacheField name="COD" numFmtId="0">
      <sharedItems containsSemiMixedTypes="0" containsString="0" containsNumber="1" containsInteger="1" minValue="1908" maxValue="1987"/>
    </cacheField>
    <cacheField name="CLIENTE" numFmtId="0">
      <sharedItems count="360">
        <s v="ESTRELLA MICAELA DEL ROCIO"/>
        <s v="RAMIREZ PAULA ALEJANDRA"/>
        <s v="MOLINI BETINA LAURA"/>
        <s v="AGUILAR FIDEL CHOQUE"/>
        <s v="OYOLA SANCHEZ SABRINA MAILEN"/>
        <s v="CARRIZO ALEJANDRA NELLY"/>
        <s v="HERRERA FRANCISCO ANTONIO"/>
        <s v="CARPIO NORMA ANA"/>
        <s v="LORENZETTI LANZILOTTA SANDRA P."/>
        <s v="VARGAS MARIA HORTENCIA"/>
        <s v="BALMACEDA MAZA FRANCISCO EMILIO"/>
        <s v="CAJAS HUGO RICARDO"/>
        <s v="OCHOA BARBARA YAMILA"/>
        <s v="ALANIZ CINTIA MACARENA"/>
        <s v="HEREDIA JUAN CARLOS"/>
        <s v="AGÜERO PATRICIO JAVIER"/>
        <s v="BUSTOS NELLY MABEL"/>
        <s v="ZAMBRA MARIA SOLEDAD"/>
        <s v="GALDEANO CARRIZO HERNAN"/>
        <s v="PASTEN OLMOS ROSA MANUELA"/>
        <s v="AGUERO CARLOS MORENO"/>
        <s v="PUJADO LOBOS MARTIN DAVID"/>
        <s v="MARINERO GERMAN ANTONIO"/>
        <s v="MOLINA EMANUEL MARCOS JAIRO"/>
        <s v="OCAMPO BLAS RICARDO"/>
        <s v="MERCADO ANA BELEN"/>
        <s v="KENNY NOELIA VANESA"/>
        <s v="CAROSELLI YANINA CAROLINA"/>
        <s v="PEREZ LUCAS SEBASTIAN"/>
        <s v="SALCEDO JORGE LUIS"/>
        <s v="NUÑEZ PAMELA GISELLE"/>
        <s v="GUTIERREZ ATENCIO ELDA VANESA"/>
        <s v="CEVALLE JORGE LEONARDO"/>
        <s v="SILLERO GABRIELA SOLEDAD"/>
        <s v="NAVARRO EDUARDO AGUSTIN"/>
        <s v="RIVEROS DAYANA ESTEFANIA"/>
        <s v="CASTRO OSCAR ALBERTO"/>
        <s v="ARIA MIRTA GLADYS"/>
        <s v="SANTAMARIA RIVEROS DAYANA ELIANA"/>
        <s v="MALLEA ATENCIO PAULA CECILIA"/>
        <s v="FERRA CASTRO GASTON MAXIMILIANO"/>
        <s v="GATICA SEBASTIAN DARIO"/>
        <s v="MERCADO MOLINA LEILA BELEN"/>
        <s v="PARRA SIXTO ANTONIO"/>
        <s v="GOMEZ CARINA JULIETA"/>
        <s v="OLIVERA GISELA ROMINA"/>
        <s v="JOFRE CAROLINA IVANA"/>
        <s v="ILLANES EDUARDO ADRIAN"/>
        <s v="JANAVEL SILVIA LILIANA"/>
        <s v="CASTAN MARIA ARGENTINA"/>
        <s v="ANDRADA JORGELINA AIDA"/>
        <s v="MERCADO MOLINA  DAYANA ELIZABETH"/>
        <s v="LIZARDE SERGIO DANIEL"/>
        <s v="PAEZ EDUARDO ANTONIO"/>
        <s v="JOFRE GRACIELA CRISTINA"/>
        <s v="ARBO MARIANA DEL ROSARIO" u="1"/>
        <s v="VALDEZ ALEJANDRA LORENA" u="1"/>
        <s v="CHIRINO HECTOR JAVIER" u="1"/>
        <s v="SALINAS ANA GRACIELA" u="1"/>
        <s v="ALCARAZ RICARDO RAMON" u="1"/>
        <s v="PEREZ FARRAN YESICA ARACELI" u="1"/>
        <s v="GIL SALINAS NICOLAS CARLOS" u="1"/>
        <s v="COLOMBO MAIRA NOEMI" u="1"/>
        <s v="VILLEGAS WILLIAM OSVALDO" u="1"/>
        <s v="MUÑOZ ANALIA BEATRIZ" u="1"/>
        <s v="SAMBOR JONATAN EZEQUIEL" u="1"/>
        <s v="GALLARDO MARIANO ISMAEL" u="1"/>
        <s v="IBARROLA RIVERO NESTOR DAVID" u="1"/>
        <s v="GONZALEZ PEDRO ARIEL" u="1"/>
        <s v="MOLINA EUGENIO" u="1"/>
        <s v="CORTEZ PABLO NOLBERTO" u="1"/>
        <s v="ROJAS HERMAN ROQUE" u="1"/>
        <s v="CABALLERO MATIAS LEONARDO" u="1"/>
        <s v="CORDERO ZULMA NOEMI" u="1"/>
        <s v="TAPIA EDUARDO OSCAR" u="1"/>
        <s v="MORALES ROCIO AYELEN" u="1"/>
        <s v="GOMEZ YANELA BEATRIZ" u="1"/>
        <s v="TELLO TAILA YOLANDA" u="1"/>
        <s v="MOLINA RAQUEL LEONELA" u="1"/>
        <s v="TORRES LUIS ALBERTO" u="1"/>
        <s v="CARRIZO JOHANA ELIZABETH" u="1"/>
        <s v="FIGUEROA CARRIZO MERCEDES SILVIA" u="1"/>
        <s v="VARELA XENIA" u="1"/>
        <s v="PASTEN MARTA CARINA" u="1"/>
        <s v="SARRACINA MERCEDESA" u="1"/>
        <s v="GARRIDO FUENZALIDA PAMELA M." u="1"/>
        <s v="ROMERO SAMPER MARIA AMELIA" u="1"/>
        <s v="VILDOZO VERA EDUARDO SEBASTIAN" u="1"/>
        <s v="LLABRES GIMENEZ GABRIEL E." u="1"/>
        <s v="GIL RODOLFO ALEJANDRO" u="1"/>
        <s v="CASTRO ELBA MARIA" u="1"/>
        <s v="CANO CRISTINA CECILIA" u="1"/>
        <s v="DIAZ MIGUEL ANGEL" u="1"/>
        <s v="VIDELA CARLOS EMANUEL" u="1"/>
        <s v="FRIAS IBAZETA MARIA ALEJANDRA" u="1"/>
        <s v="CACERES MAXIMILIANO NICOLAS" u="1"/>
        <s v="FUENTES TATIANA ALEJANDRA" u="1"/>
        <s v="OVALLE MARIA FERNANDA" u="1"/>
        <s v="PAEZ SUIZER SILVINA INES" u="1"/>
        <s v="FLORES SANTANA OSCAR JAVIER" u="1"/>
        <s v="ARIAS TORRES VANESSA" u="1"/>
        <s v="VILLEGAS YESICA ISABEL" u="1"/>
        <s v="MALDONADO RAQUEL ISABEL" u="1"/>
        <s v="RETA JOSE ARIEL" u="1"/>
        <s v="AVILA MARIA EUGENIA" u="1"/>
        <s v="PAEZ GODOY MERCEDES ELIZABETH" u="1"/>
        <s v="RIOS JOSE SEGUNDO" u="1"/>
        <s v="ECHEVARRIA MARIA MARGARITA" u="1"/>
        <s v="ALANIZ ANALIA IVANA " u="1"/>
        <s v="FIGUEROA CASTRO VERONICA SAMIRA" u="1"/>
        <s v="JACOME CASTILLO RUBEN ESTEBAN" u="1"/>
        <s v="FARIAS MARIO GERARDO" u="1"/>
        <s v="LOBOS PAOLA VANESA" u="1"/>
        <s v="AGÜERO PASTRAN ROCIO MICAELA" u="1"/>
        <s v="CARRION IVANA BEATRIZ" u="1"/>
        <s v="CORDOBA DANIEL ELIGIO" u="1"/>
        <s v="CARRION MARIA CECILIA" u="1"/>
        <s v="AHUMADA GABRIEL HORACIO" u="1"/>
        <s v="SAAVEDRA FRANCO DANIEL" u="1"/>
        <s v="CHANDIA IRMA DEL CARMEN" u="1"/>
        <s v="ACOSTA RICARDO JAVIER" u="1"/>
        <s v="ESPEJO GRACIELA VANESA" u="1"/>
        <s v="FRANCISCA GONZALEZ" u="1"/>
        <s v="VIDELA JORGE HUMBERTO" u="1"/>
        <s v="MASS CARLOS NAHUEL" u="1"/>
        <s v="ESCUDERO JOSE LUIS" u="1"/>
        <s v="ALVAREZ DAYANA ELIZABETH" u="1"/>
        <s v="SIDASMED NOELIA " u="1"/>
        <s v="IBACACHE JONATAN JESUS" u="1"/>
        <s v="MOLINA OLIVERA MARIO ALBERTO" u="1"/>
        <s v="ARAGON NOELIA MARISA" u="1"/>
        <s v="CHENA VALERIA ESTEFANIS" u="1"/>
        <s v="JOFRE ELIZABETH DEL VALLE" u="1"/>
        <s v="FIERRO ROMINA TATIANA" u="1"/>
        <s v="NAVARRO JORGE ALBERTO" u="1"/>
        <s v="VILLAFAÑE FLORENCIA GISEL" u="1"/>
        <s v="HEREDIA MRCELO FABIAN" u="1"/>
        <s v="SANCHEZ YULIANA AYELEN AIXA" u="1"/>
        <s v="GALVAN DIEGO ALEXIS" u="1"/>
        <s v="MAIDANA SABRINA DEL MILAGRO" u="1"/>
        <s v="QUIROGA LUIS EDUARDO" u="1"/>
        <s v="LUCERO ROBERTO ARIEL" u="1"/>
        <s v="LAFUENTE JUAN ANDRES" u="1"/>
        <s v="CISTERNA MIGUEL ANGEL" u="1"/>
        <s v="ORTEGA MERCEDES ALICIA" u="1"/>
        <s v="CABRERA EDUARDO GABRIEL" u="1"/>
        <s v="SANCHEZ JUAN CARLOS" u="1"/>
        <s v="CUELLO JOSE EDUARDO" u="1"/>
        <s v="SOLAR NOELIA RAQUEL" u="1"/>
        <s v="CARBAJAL MARA EUGENIA" u="1"/>
        <s v="MALLEA SUSANA DEL VALLE" u="1"/>
        <s v="FLORES LUCAS MATIAS" u="1"/>
        <s v="SORIA MOLINI WALTER HUMBERTO" u="1"/>
        <s v="SANTANDER JUAN CARLOS" u="1"/>
        <s v="GONZALEZ CLAUDIA CECILIA" u="1"/>
        <s v="ABALLAY WALTER ARMANDO" u="1"/>
        <s v="FIGUEROA SANTOS BERNABE" u="1"/>
        <s v="PAEZ EMANUEL ALBERTO" u="1"/>
        <s v="LOPEZ MARIANO DANIEL" u="1"/>
        <s v="COLLADO CARMEN" u="1"/>
        <s v="MORALES FRANCO RUBEN" u="1"/>
        <s v="CARRASCO MACIAS MATIAS E." u="1"/>
        <s v="COPA MARTINEZ RODOLFO" u="1"/>
        <s v="DIAZ ENRIQUE LEONARDO" u="1"/>
        <s v="CALIVA CHAVEZ DOMINGO PEDRO" u="1"/>
        <s v="PEREZ LUCIA BEATRIZ" u="1"/>
        <s v="SOSA ANDREA LUCIA" u="1"/>
        <s v="ZALAZAR CARINA MARCELA" u="1"/>
        <s v="GUAQUINCHAY OCHOA LILIANA C." u="1"/>
        <s v="PAEZ LAURA" u="1"/>
        <s v="PARIONA LOPEZ JUVENAL JORGE" u="1"/>
        <s v="SUAREZ NELIDA ELIANA" u="1"/>
        <s v="GOMEZ BRIAN EZEQUIEL" u="1"/>
        <s v="VILLARUEL CRISTIAN ANDRES" u="1"/>
        <s v="HEREDIA AGUILAR MARIELA LUCIA" u="1"/>
        <s v="PERALTA ROSANA MARIELA" u="1"/>
        <s v="DIAZ MABEL CEFERINA" u="1"/>
        <s v="FLORES DOMINGO VICTOR" u="1"/>
        <s v="DIAZ RUBEN ANIBAL" u="1"/>
        <s v="SALINAS CARLOS ALBERTO" u="1"/>
        <s v="MIRANDA CASTRO JONATAN F." u="1"/>
        <s v="RETA REINA VICTOR IGNACIO" u="1"/>
        <s v="ALLENDE RAUL ANTONIO" u="1"/>
        <s v="MORALES ALBERTO DANIEL" u="1"/>
        <s v="TEJADA SERGIO RAUL" u="1"/>
        <s v="GIL JUAN CARLOS" u="1"/>
        <s v="CATALDO RICARDO DANIEL" u="1"/>
        <s v="GONZALEZ DANTE ALFREDO" u="1"/>
        <s v="MEGLIOLI MATIAS GERMAN" u="1"/>
        <s v="CHAVEZ  VANINA ALEJANDRA" u="1"/>
        <s v="GIMBERNAT MARCELA ALICIA" u="1"/>
        <s v="PADILLA JUAN ENRIQUE" u="1"/>
        <s v="MONTAÑA CORTEZ ENZO JESUS" u="1"/>
        <s v="TOMEO BEATRIZ IRENE" u="1"/>
        <s v="CACERES PATRICIA ANTONIA" u="1"/>
        <s v="AGUILAR LUCIA DEL CARMEN" u="1"/>
        <s v="CASTILLA CRISTIAN LEONARDO" u="1"/>
        <s v="BORGHETTI GARCIA DEBORA FLORENCIA" u="1"/>
        <s v="VIDELA SONIA VANESA" u="1"/>
        <s v="MENDEZ SILVANA DEL R." u="1"/>
        <s v="ARAGON HECTOR ANDRES" u="1"/>
        <s v="CABALLERO CECILIA RAMONA" u="1"/>
        <s v="ALVAREZ SUSANA GRACIELA" u="1"/>
        <s v="PAREDES TEJADA NATALIA" u="1"/>
        <s v="ANDRADA KARINA SOLEDAD" u="1"/>
        <s v="MARTINEZ CARLOS ALBERTO" u="1"/>
        <s v="FONTIVEROS CARRIZO GABRIELA V." u="1"/>
        <s v="ECHANDIA DARIO GASTON" u="1"/>
        <s v="FERNANDEZ JORGE JOAQUIN" u="1"/>
        <s v="CASTRO SANTANA DANISA RAMONA" u="1"/>
        <s v="LUCERO EMILSE LORENA" u="1"/>
        <s v="CHACON MAXIMILIANO ALFREDO" u="1"/>
        <s v="CARRIZO ALICIA ROSANA" u="1"/>
        <s v="D'AGOSTINO JOSE OSVALDO" u="1"/>
        <s v="GALDEANO SEBASTIAN ALBERTO" u="1"/>
        <s v="MUÑOZ MARTA LILIANA" u="1"/>
        <s v="MALLEA REYNA MARY" u="1"/>
        <s v="DIAZ SALLY ROMINA" u="1"/>
        <s v="QUIROGA ROMINA AYELEN" u="1"/>
        <s v="SALINAS DIEGO EMANUEL" u="1"/>
        <s v="SAMPER PEREZ LAURA VANESA" u="1"/>
        <s v="RIVEROS LAURA EDITH" u="1"/>
        <s v="SANCHEZ GARCIA MAURICIO ARIEL" u="1"/>
        <s v="FUNES JUANA EDITH" u="1"/>
        <s v="QUIROGA TAMARA SILVANA" u="1"/>
        <s v="CORTEZ ERIC JOSUE" u="1"/>
        <s v="FERREYRA RUBIA RODRIGO OMAR" u="1"/>
        <s v="PEDRON DIEGO ARMANDO" u="1"/>
        <s v="MONDACA MIGUEL ALFREDO" u="1"/>
        <s v="BALMACEDA ESTER MARIA" u="1"/>
        <s v="MONTAÑA MICAELA PATRICIA" u="1"/>
        <s v="MARTINEZ SUSANA ESTELA" u="1"/>
        <s v="DONOSO JESICA MICAELA" u="1"/>
        <s v="ARGUELLO ENCINA LUIS ADRIAN" u="1"/>
        <s v="SANTANA SARA RAMONA" u="1"/>
        <s v="ROSALES FERNANDO JOSE" u="1"/>
        <s v="ANTE GOMEZ DELIA" u="1"/>
        <s v="MENESES ARCE BELKYS" u="1"/>
        <s v="MALLEA MIGUEL ANTONIO" u="1"/>
        <s v="OLTRA VEGA FRANCO EMANUEL" u="1"/>
        <s v="CORTEZ MARIA ESTHER" u="1"/>
        <s v="ROJAS MARCELA MELISA" u="1"/>
        <s v="GELVEZ RODRIGUEZ RAMONA DEL V." u="1"/>
        <s v="BARAHONA MARIELA INES" u="1"/>
        <s v="AGÜERO EZEQUIEL JACINTO" u="1"/>
        <s v="LUNA OLGA" u="1"/>
        <s v="ABARCA MATIAS MANUEL" u="1"/>
        <s v="MORALES JUAN CARLOS" u="1"/>
        <s v="WEBER ROSA ISABEL" u="1"/>
        <s v="CAMARGO DANIEL EXEQUIEL" u="1"/>
        <s v="MALLA ESTRELLA DOLORES" u="1"/>
        <s v="SANCHEZ RECHES ELBIO GABRIEL" u="1"/>
        <s v="ZALAZAR CARRIZO ROLANDO" u="1"/>
        <s v="FARFAN ISAAC ISAIAS" u="1"/>
        <s v="VIDELA SILVANA MARISA" u="1"/>
        <s v="VIVARES GARRO MICAELA AYELEN" u="1"/>
        <s v="ONTIVEROS FERNANDO NICOLAS" u="1"/>
        <s v="CRUZ RIMBERTO " u="1"/>
        <s v="SALINA GARAY FRANCO FABIAN" u="1"/>
        <s v="ROSSELLOT CLARA ROSALBA" u="1"/>
        <s v="GOMEZ SILVIACRISTINA" u="1"/>
        <s v="SOSA SILVANA DEL VALLE" u="1"/>
        <s v="GUEVARA ANTONIO NICOLAS" u="1"/>
        <s v="SANTANA MARCELO DEL ROSARIO" u="1"/>
        <s v="OCHOA GUSTAVO ARIEL" u="1"/>
        <s v="LUNA ADELA VERONICA" u="1"/>
        <s v="ROJAS ALICIA JOSEFINA" u="1"/>
        <s v="DOMINGUEZ GLADYS SUSANA" u="1"/>
        <s v="GONZALEZ IGNACIO ROLANDO" u="1"/>
        <s v="CASTRO FELIX ANTONIO" u="1"/>
        <s v="BALMACEDA MARIA ESTHER" u="1"/>
        <s v="SALINAS RAMON LUIS" u="1"/>
        <s v="LEZCANO ANDRES JUAN" u="1"/>
        <s v="MORALES GRACIELA AZUCENA" u="1"/>
        <s v="MANRIQUE MARIA DEL CARMEN" u="1"/>
        <s v="MUÑOZ BRIZUELA WALTER ANDRES" u="1"/>
        <s v="FALCON GRISELDO ROSALINO" u="1"/>
        <s v="GOMEZ ROSANA NATALI" u="1"/>
        <s v="DIAZ SILVIA ROSALIA" u="1"/>
        <s v="CARRIZO VERONICA ANALIA" u="1"/>
        <s v="FUENTES ROSA ELVIRA" u="1"/>
        <s v="TAPIA ILLANES VALERIA MARILIN" u="1"/>
        <s v="AGÜERO CASTRO GABRIELA JUDITH" u="1"/>
        <s v="URICHE VICTOR RAMON" u="1"/>
        <s v="BALMACEDA MARIANELA A." u="1"/>
        <s v="FERREYRA ROMINA DEL VALLE" u="1"/>
        <s v="BORDON ADELA VIRGINIA" u="1"/>
        <s v="VARELA ANGEL DAVID" u="1"/>
        <s v="PRESTIANO MARTIN DARIO" u="1"/>
        <s v="ANGEL MARIA ADRIANA" u="1"/>
        <s v="PAREDES MARCIO ALEXIS" u="1"/>
        <s v="GIMENEZ PABLO RAMIRO" u="1"/>
        <s v="FUENTES ERIKA MICHELLE" u="1"/>
        <s v="LUNA NIDIA IVANA" u="1"/>
        <s v="BALMACEDA MARIO RUBEN" u="1"/>
        <s v="RIVEROS NARVAEZ FRANCO NICOLAS" u="1"/>
        <s v="MARCHAN MERCADO MAURO FERNANDO" u="1"/>
        <s v="MALLEA AURORA NIDIA" u="1"/>
        <s v="VILLAFAÑES BOLADO CLAUDIA T." u="1"/>
        <s v="MORENO ENZO ALFREDO" u="1"/>
        <s v="MOLINA ALFREDO ARIEL" u="1"/>
        <s v="YOMA YAMILA SAMANTA" u="1"/>
        <s v="MALLEA JOSE ALBERTO" u="1"/>
        <s v="ESCOBAR MYRIAM VANESA" u="1"/>
        <s v="SANTANA JUAN CARLOS" u="1"/>
        <s v="PALACIO GUSTAVO ADOLFO" u="1"/>
        <s v="MORALES ZULMA NANCY" u="1"/>
        <s v="ALBARRACIN MIGUEL ALBERTO" u="1"/>
        <s v="ZABALA LUIS ALFREDO" u="1"/>
        <s v="FREDES DAYANA YANINA" u="1"/>
        <s v="DURAN MARIA JULIANA" u="1"/>
        <s v="ARAYA ALEJANDRO DANIEL" u="1"/>
        <s v="PINTO ROBERTO JOSE" u="1"/>
        <s v="SERER NORMA GRACIELA" u="1"/>
        <s v="ECHENIQUE PAULO VICTOR" u="1"/>
        <s v="GONZALEZ DANIELA SOLEDAD" u="1"/>
        <s v="AGÜERO LAURA GISEL" u="1"/>
        <s v="MARTINEZ OLGA ELSA" u="1"/>
        <s v="QUIROGA ZARATE ALEJANDRA AYELEN" u="1"/>
        <s v="JOFRE JAVIER ANTONIO" u="1"/>
        <s v="ARAYA GRICELDA ROSA" u="1"/>
        <s v="ARANCIBIA LUIS MARTIN" u="1"/>
        <s v="MONTESANO DIEGO GABRIEL" u="1"/>
        <s v="CORREA GERVAN" u="1"/>
        <s v="MUÑOZ MARIA DEL CARMEN" u="1"/>
        <s v="ZUNINO MARGARITA DEL CARMEN" u="1"/>
        <s v="QUIROGA MAURICIO EZEQUIEL" u="1"/>
        <s v="VEGA HERRERA ALEJANDRO" u="1"/>
        <s v="RODRIGUEZ ANALIA NOELIA" u="1"/>
        <s v="VIDELA RICARDO DANIEL" u="1"/>
        <s v="MERELES CARLOS ROBERTO" u="1"/>
        <s v="FARIAS ELIANA VANESA" u="1"/>
        <s v="GODOY GUADALUPE BELEN" u="1"/>
        <s v="PAEZ JORGE ANDRES" u="1"/>
        <s v="GOMEZ DIEGO" u="1"/>
        <s v="JORQUERA LIBIO JUSTO" u="1"/>
        <s v="GUTIERREZ CECILIA LORENA" u="1"/>
        <s v="CACERES ELIZABETH SOLEDAD" u="1"/>
        <s v="OYOLA ANDREA VERONICA" u="1"/>
        <s v="AGÜERO GUSTAVO LEONARDO" u="1"/>
        <s v="FERNADEZ ROSA MIRIAM" u="1"/>
        <s v="DELGADO ARRIETA CRISTIAN S." u="1"/>
        <s v="MARTIN JUDITH ENCARNACION" u="1"/>
        <s v="GOMEZ MARIA OLGA" u="1"/>
        <s v="PEREZ VILLAFAÑE MELISA JOHANA" u="1"/>
        <s v="VILLALBA JUAN GABRIEL" u="1"/>
        <s v="VALDEZ ENRIQUETA NANCY" u="1"/>
        <s v="CORTEZ VALERIA INES" u="1"/>
        <s v="AYALA NELIDA MERCEDES" u="1"/>
        <s v="AMBERK CARLOS SEBASTIAN" u="1"/>
        <s v="GONZALEZ ROSA ERMINDA" u="1"/>
        <s v="ZAPATA MARIN AMERICA DEL C." u="1"/>
        <s v="CASTRO ALBERTO N." u="1"/>
        <s v="GUAQUINCHAY EULALIA" u="1"/>
        <s v="RODRIGUEZ CONTRERAS FERNANDO A." u="1"/>
        <s v="BUSTOS MONICA ALEJANDRA" u="1"/>
        <s v="OLIVARES LUIS ALBERTO" u="1"/>
        <s v="BRITO JANETE" u="1"/>
        <s v="ARIZA JORGE DANIEL" u="1"/>
        <s v="LUCERO ALEGRIA CATERINA MICAELA" u="1"/>
      </sharedItems>
    </cacheField>
    <cacheField name="TELEFONO" numFmtId="1">
      <sharedItems/>
    </cacheField>
    <cacheField name="LOCALIDAD" numFmtId="0">
      <sharedItems/>
    </cacheField>
    <cacheField name="SOLI" numFmtId="0">
      <sharedItems containsSemiMixedTypes="0" containsString="0" containsNumber="1" containsInteger="1" minValue="1278" maxValue="10180"/>
    </cacheField>
    <cacheField name="CTA" numFmtId="0">
      <sharedItems containsSemiMixedTypes="0" containsString="0" containsNumber="1" containsInteger="1" minValue="1" maxValue="2"/>
    </cacheField>
    <cacheField name="CUOTAS" numFmtId="0">
      <sharedItems containsSemiMixedTypes="0" containsString="0" containsNumber="1" containsInteger="1" minValue="3000" maxValue="20000"/>
    </cacheField>
    <cacheField name="ARRASTRE" numFmtId="170">
      <sharedItems containsSemiMixedTypes="0" containsString="0" containsNumber="1" containsInteger="1" minValue="-60000" maxValue="0"/>
    </cacheField>
    <cacheField name="PAGO" numFmtId="0">
      <sharedItems containsNonDate="0" containsString="0" containsBlank="1"/>
    </cacheField>
    <cacheField name="PAGO X ADEL" numFmtId="0">
      <sharedItems containsNonDate="0" containsString="0" containsBlank="1"/>
    </cacheField>
    <cacheField name="PAGO ANTES" numFmtId="0">
      <sharedItems containsNonDate="0" containsString="0" containsBlank="1"/>
    </cacheField>
    <cacheField name="X OFICINA" numFmtId="0">
      <sharedItems containsNonDate="0" containsString="0" containsBlank="1"/>
    </cacheField>
    <cacheField name="BCO O ELECT" numFmtId="0">
      <sharedItems containsNonDate="0" containsString="0" containsBlank="1"/>
    </cacheField>
    <cacheField name="CON MORA" numFmtId="3">
      <sharedItems containsSemiMixedTypes="0" containsString="0" containsNumber="1" containsInteger="1" minValue="3000" maxValue="20000"/>
    </cacheField>
    <cacheField name="SISTEMA" numFmtId="3">
      <sharedItems containsSemiMixedTypes="0" containsString="0" containsNumber="1" containsInteger="1" minValue="-48000" maxValue="20000"/>
    </cacheField>
    <cacheField name="PLANILLA SALIDA" numFmtId="3">
      <sharedItems containsSemiMixedTypes="0" containsString="0" containsNumber="1" containsInteger="1" minValue="0" maxValue="20000"/>
    </cacheField>
    <cacheField name="PAGO2" numFmtId="171">
      <sharedItems containsNonDate="0" containsString="0" containsBlank="1"/>
    </cacheField>
    <cacheField name="PAGARA" numFmtId="171">
      <sharedItems containsNonDate="0" containsDate="1" containsString="0" containsBlank="1" minDate="2019-11-12T00:00:00" maxDate="2019-12-31T00:00:00" count="18">
        <m/>
        <d v="2019-12-09T00:00:00" u="1"/>
        <d v="2019-12-28T00:00:00" u="1"/>
        <d v="2019-12-07T00:00:00" u="1"/>
        <d v="2019-12-19T00:00:00" u="1"/>
        <d v="2019-12-12T00:00:00" u="1"/>
        <d v="2019-12-05T00:00:00" u="1"/>
        <d v="2019-11-12T00:00:00" u="1"/>
        <d v="2019-12-10T00:00:00" u="1"/>
        <d v="2019-12-03T00:00:00" u="1"/>
        <d v="2019-12-15T00:00:00" u="1"/>
        <d v="2019-12-27T00:00:00" u="1"/>
        <d v="2019-12-20T00:00:00" u="1"/>
        <d v="2019-12-13T00:00:00" u="1"/>
        <d v="2019-12-06T00:00:00" u="1"/>
        <d v="2019-12-11T00:00:00" u="1"/>
        <d v="2019-12-30T00:00:00" u="1"/>
        <d v="2019-12-04T00:00:00" u="1"/>
      </sharedItems>
    </cacheField>
    <cacheField name="BAJA" numFmtId="0">
      <sharedItems containsNonDate="0" containsString="0" containsBlank="1"/>
    </cacheField>
    <cacheField name="MOTIVO" numFmtId="0">
      <sharedItems containsNonDate="0" containsString="0" containsBlank="1"/>
    </cacheField>
    <cacheField name="OBSERVACIONES" numFmtId="0">
      <sharedItems containsNonDate="0" containsString="0" containsBlank="1"/>
    </cacheField>
    <cacheField name="PAGO MES ANT" numFmtId="171">
      <sharedItems containsNonDate="0" containsString="0" containsBlank="1"/>
    </cacheField>
    <cacheField name="TERMOMETR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">
  <r>
    <n v="1908"/>
    <x v="0"/>
    <s v="264-5028093"/>
    <s v="RAWSON"/>
    <n v="1278"/>
    <n v="2"/>
    <n v="11000"/>
    <n v="0"/>
    <m/>
    <m/>
    <m/>
    <m/>
    <m/>
    <n v="11000"/>
    <n v="11000"/>
    <n v="11000"/>
    <m/>
    <x v="0"/>
    <m/>
    <m/>
    <m/>
    <m/>
    <m/>
  </r>
  <r>
    <n v="1914"/>
    <x v="1"/>
    <s v="264-5302006"/>
    <s v="SAN JUAN"/>
    <n v="9890"/>
    <n v="2"/>
    <n v="15000"/>
    <n v="0"/>
    <m/>
    <m/>
    <m/>
    <m/>
    <m/>
    <n v="15000"/>
    <n v="15000"/>
    <n v="15000"/>
    <m/>
    <x v="0"/>
    <m/>
    <m/>
    <m/>
    <m/>
    <m/>
  </r>
  <r>
    <n v="1915"/>
    <x v="2"/>
    <s v="264-4658418"/>
    <s v="CHIMBAS"/>
    <n v="9976"/>
    <n v="2"/>
    <n v="10000"/>
    <n v="-10000"/>
    <m/>
    <m/>
    <m/>
    <m/>
    <m/>
    <n v="10000"/>
    <n v="0"/>
    <n v="0"/>
    <m/>
    <x v="0"/>
    <m/>
    <m/>
    <m/>
    <m/>
    <m/>
  </r>
  <r>
    <n v="1916"/>
    <x v="3"/>
    <s v="264-4631583"/>
    <s v="NIQUIVIL"/>
    <n v="9979"/>
    <n v="2"/>
    <n v="20000"/>
    <n v="0"/>
    <m/>
    <m/>
    <m/>
    <m/>
    <m/>
    <n v="20000"/>
    <n v="20000"/>
    <n v="20000"/>
    <m/>
    <x v="0"/>
    <m/>
    <m/>
    <m/>
    <m/>
    <m/>
  </r>
  <r>
    <n v="1917"/>
    <x v="4"/>
    <s v="264-4898374"/>
    <s v="9 DE JULIO"/>
    <n v="9986"/>
    <n v="2"/>
    <n v="4000"/>
    <n v="0"/>
    <m/>
    <m/>
    <m/>
    <m/>
    <m/>
    <n v="4000"/>
    <n v="4000"/>
    <n v="4000"/>
    <m/>
    <x v="0"/>
    <m/>
    <m/>
    <m/>
    <m/>
    <m/>
  </r>
  <r>
    <n v="1918"/>
    <x v="5"/>
    <s v="264-5020528"/>
    <s v="RAWSON"/>
    <n v="10015"/>
    <n v="2"/>
    <n v="9000"/>
    <n v="0"/>
    <m/>
    <m/>
    <m/>
    <m/>
    <m/>
    <n v="9000"/>
    <n v="9000"/>
    <n v="9000"/>
    <m/>
    <x v="0"/>
    <m/>
    <m/>
    <m/>
    <m/>
    <m/>
  </r>
  <r>
    <n v="1919"/>
    <x v="6"/>
    <s v="264-5467278"/>
    <s v="SAN JUAN"/>
    <n v="10016"/>
    <n v="2"/>
    <n v="12000"/>
    <n v="-60000"/>
    <m/>
    <m/>
    <m/>
    <m/>
    <m/>
    <n v="12000"/>
    <n v="-48000"/>
    <n v="0"/>
    <m/>
    <x v="0"/>
    <m/>
    <m/>
    <m/>
    <m/>
    <m/>
  </r>
  <r>
    <n v="1920"/>
    <x v="7"/>
    <s v="264-4462545"/>
    <s v="CHIMBAS"/>
    <n v="10020"/>
    <n v="2"/>
    <n v="7000"/>
    <n v="0"/>
    <m/>
    <m/>
    <m/>
    <m/>
    <m/>
    <n v="7000"/>
    <n v="7000"/>
    <n v="7000"/>
    <m/>
    <x v="0"/>
    <m/>
    <m/>
    <m/>
    <m/>
    <m/>
  </r>
  <r>
    <n v="1921"/>
    <x v="8"/>
    <s v="264-5416256"/>
    <s v="MARQUESADO"/>
    <n v="10021"/>
    <n v="2"/>
    <n v="10000"/>
    <n v="0"/>
    <m/>
    <m/>
    <m/>
    <m/>
    <m/>
    <n v="10000"/>
    <n v="10000"/>
    <n v="10000"/>
    <m/>
    <x v="0"/>
    <m/>
    <m/>
    <m/>
    <m/>
    <m/>
  </r>
  <r>
    <n v="1922"/>
    <x v="9"/>
    <s v="264-4479197"/>
    <s v="LA PUNTILLA"/>
    <n v="10022"/>
    <n v="2"/>
    <n v="6000"/>
    <n v="0"/>
    <m/>
    <m/>
    <m/>
    <m/>
    <m/>
    <n v="6000"/>
    <n v="6000"/>
    <n v="6000"/>
    <m/>
    <x v="0"/>
    <m/>
    <m/>
    <m/>
    <m/>
    <m/>
  </r>
  <r>
    <n v="1923"/>
    <x v="10"/>
    <s v="264-4000465"/>
    <s v="SAN JUAN"/>
    <n v="10023"/>
    <n v="2"/>
    <n v="7000"/>
    <n v="0"/>
    <m/>
    <m/>
    <m/>
    <m/>
    <m/>
    <n v="7000"/>
    <n v="7000"/>
    <n v="7000"/>
    <m/>
    <x v="0"/>
    <m/>
    <m/>
    <m/>
    <m/>
    <m/>
  </r>
  <r>
    <n v="1924"/>
    <x v="11"/>
    <s v="264-4642811"/>
    <s v="RAWSON"/>
    <n v="10024"/>
    <n v="2"/>
    <n v="10000"/>
    <n v="0"/>
    <m/>
    <m/>
    <m/>
    <m/>
    <m/>
    <n v="10000"/>
    <n v="10000"/>
    <n v="10000"/>
    <m/>
    <x v="0"/>
    <m/>
    <m/>
    <m/>
    <m/>
    <m/>
  </r>
  <r>
    <n v="1925"/>
    <x v="12"/>
    <s v="264-5089383"/>
    <s v="POCITOS"/>
    <n v="10025"/>
    <n v="2"/>
    <n v="6000"/>
    <n v="0"/>
    <m/>
    <m/>
    <m/>
    <m/>
    <m/>
    <n v="6000"/>
    <n v="6000"/>
    <n v="6000"/>
    <m/>
    <x v="0"/>
    <m/>
    <m/>
    <m/>
    <m/>
    <m/>
  </r>
  <r>
    <n v="1926"/>
    <x v="13"/>
    <s v="264-6711892"/>
    <s v="NIQUIVIL"/>
    <n v="10027"/>
    <n v="2"/>
    <n v="5000"/>
    <n v="0"/>
    <m/>
    <m/>
    <m/>
    <m/>
    <m/>
    <n v="5000"/>
    <n v="5000"/>
    <n v="5000"/>
    <m/>
    <x v="0"/>
    <m/>
    <m/>
    <m/>
    <m/>
    <m/>
  </r>
  <r>
    <n v="1927"/>
    <x v="14"/>
    <s v="264-5609407"/>
    <s v="RAWSON"/>
    <n v="10028"/>
    <n v="2"/>
    <n v="10000"/>
    <n v="0"/>
    <m/>
    <m/>
    <m/>
    <m/>
    <m/>
    <n v="10000"/>
    <n v="10000"/>
    <n v="10000"/>
    <m/>
    <x v="0"/>
    <m/>
    <m/>
    <m/>
    <m/>
    <m/>
  </r>
  <r>
    <n v="1928"/>
    <x v="15"/>
    <s v="264-4276463"/>
    <s v="SAN JUAN"/>
    <n v="10030"/>
    <n v="2"/>
    <n v="5000"/>
    <n v="0"/>
    <m/>
    <m/>
    <m/>
    <m/>
    <m/>
    <n v="5000"/>
    <n v="5000"/>
    <n v="5000"/>
    <m/>
    <x v="0"/>
    <m/>
    <m/>
    <m/>
    <m/>
    <m/>
  </r>
  <r>
    <n v="1929"/>
    <x v="16"/>
    <s v="264-4811286"/>
    <s v="SANTA LUCIA"/>
    <n v="10031"/>
    <n v="2"/>
    <n v="6800"/>
    <n v="0"/>
    <m/>
    <m/>
    <m/>
    <m/>
    <m/>
    <n v="6800"/>
    <n v="6800"/>
    <n v="6800"/>
    <m/>
    <x v="0"/>
    <m/>
    <m/>
    <m/>
    <m/>
    <m/>
  </r>
  <r>
    <n v="1930"/>
    <x v="17"/>
    <s v="264-5150302"/>
    <s v="CHIMBAS"/>
    <n v="10032"/>
    <n v="2"/>
    <n v="10000"/>
    <n v="0"/>
    <m/>
    <m/>
    <m/>
    <m/>
    <m/>
    <n v="10000"/>
    <n v="10000"/>
    <n v="10000"/>
    <m/>
    <x v="0"/>
    <m/>
    <m/>
    <m/>
    <m/>
    <m/>
  </r>
  <r>
    <n v="1933"/>
    <x v="18"/>
    <s v="264-4756473"/>
    <s v="POCITOS"/>
    <n v="10035"/>
    <n v="2"/>
    <n v="8000"/>
    <n v="0"/>
    <m/>
    <m/>
    <m/>
    <m/>
    <m/>
    <n v="8000"/>
    <n v="8000"/>
    <n v="8000"/>
    <m/>
    <x v="0"/>
    <m/>
    <m/>
    <m/>
    <m/>
    <m/>
  </r>
  <r>
    <n v="1935"/>
    <x v="19"/>
    <s v="264-5157608"/>
    <s v="SAN JUAN"/>
    <n v="10038"/>
    <n v="2"/>
    <n v="4500"/>
    <n v="0"/>
    <m/>
    <m/>
    <m/>
    <m/>
    <m/>
    <n v="4500"/>
    <n v="4500"/>
    <n v="4500"/>
    <m/>
    <x v="0"/>
    <m/>
    <m/>
    <m/>
    <m/>
    <m/>
  </r>
  <r>
    <n v="1938"/>
    <x v="20"/>
    <s v="264-5884783"/>
    <s v="RAWSON"/>
    <n v="10041"/>
    <n v="2"/>
    <n v="9000"/>
    <n v="0"/>
    <m/>
    <m/>
    <m/>
    <m/>
    <m/>
    <n v="9000"/>
    <n v="9000"/>
    <n v="9000"/>
    <m/>
    <x v="0"/>
    <m/>
    <m/>
    <m/>
    <m/>
    <m/>
  </r>
  <r>
    <n v="1939"/>
    <x v="21"/>
    <s v="264-5622460"/>
    <s v="RAWSON"/>
    <n v="10042"/>
    <n v="2"/>
    <n v="3000"/>
    <n v="0"/>
    <m/>
    <m/>
    <m/>
    <m/>
    <m/>
    <n v="3000"/>
    <n v="3000"/>
    <n v="3000"/>
    <m/>
    <x v="0"/>
    <m/>
    <m/>
    <m/>
    <m/>
    <m/>
  </r>
  <r>
    <n v="1942"/>
    <x v="22"/>
    <s v="264-5064103"/>
    <s v="RAWSON"/>
    <n v="10048"/>
    <n v="2"/>
    <n v="10000"/>
    <n v="0"/>
    <m/>
    <m/>
    <m/>
    <m/>
    <m/>
    <n v="10000"/>
    <n v="10000"/>
    <n v="10000"/>
    <m/>
    <x v="0"/>
    <m/>
    <m/>
    <m/>
    <m/>
    <m/>
  </r>
  <r>
    <n v="1943"/>
    <x v="23"/>
    <s v="264-4397917"/>
    <s v="SAN JUAN"/>
    <n v="10049"/>
    <n v="2"/>
    <n v="8000"/>
    <n v="0"/>
    <m/>
    <m/>
    <m/>
    <m/>
    <m/>
    <n v="8000"/>
    <n v="8000"/>
    <n v="8000"/>
    <m/>
    <x v="0"/>
    <m/>
    <m/>
    <m/>
    <m/>
    <m/>
  </r>
  <r>
    <n v="1944"/>
    <x v="24"/>
    <s v="264-4479450"/>
    <s v="SAN JUAN"/>
    <n v="10050"/>
    <n v="2"/>
    <n v="7000"/>
    <n v="0"/>
    <m/>
    <m/>
    <m/>
    <m/>
    <m/>
    <n v="7000"/>
    <n v="7000"/>
    <n v="7000"/>
    <m/>
    <x v="0"/>
    <m/>
    <m/>
    <m/>
    <m/>
    <m/>
  </r>
  <r>
    <n v="1945"/>
    <x v="25"/>
    <s v="264-6129021"/>
    <s v="RAWSON"/>
    <n v="10051"/>
    <n v="2"/>
    <n v="7000"/>
    <n v="0"/>
    <m/>
    <m/>
    <m/>
    <m/>
    <m/>
    <n v="7000"/>
    <n v="7000"/>
    <n v="7000"/>
    <m/>
    <x v="0"/>
    <m/>
    <m/>
    <m/>
    <m/>
    <m/>
  </r>
  <r>
    <n v="1946"/>
    <x v="26"/>
    <s v="264-4580675"/>
    <s v="SAN JUAN"/>
    <n v="10059"/>
    <n v="2"/>
    <n v="10000"/>
    <n v="0"/>
    <m/>
    <m/>
    <m/>
    <m/>
    <m/>
    <n v="10000"/>
    <n v="10000"/>
    <n v="10000"/>
    <m/>
    <x v="0"/>
    <m/>
    <m/>
    <m/>
    <m/>
    <m/>
  </r>
  <r>
    <n v="1950"/>
    <x v="27"/>
    <s v="264-5851411"/>
    <s v="CHIMBAS"/>
    <n v="9978"/>
    <n v="1"/>
    <n v="6000"/>
    <n v="0"/>
    <m/>
    <m/>
    <m/>
    <m/>
    <m/>
    <n v="6000"/>
    <n v="6000"/>
    <n v="6000"/>
    <m/>
    <x v="0"/>
    <m/>
    <m/>
    <m/>
    <m/>
    <m/>
  </r>
  <r>
    <n v="1951"/>
    <x v="28"/>
    <s v="264-6270087"/>
    <s v="RAWSON"/>
    <n v="10018"/>
    <n v="1"/>
    <n v="4000"/>
    <n v="0"/>
    <m/>
    <m/>
    <m/>
    <m/>
    <m/>
    <n v="4000"/>
    <n v="4000"/>
    <n v="4000"/>
    <m/>
    <x v="0"/>
    <m/>
    <m/>
    <m/>
    <m/>
    <m/>
  </r>
  <r>
    <n v="1952"/>
    <x v="29"/>
    <s v="264-6053240"/>
    <s v="CHIMBAS"/>
    <n v="10019"/>
    <n v="1"/>
    <n v="8500"/>
    <n v="0"/>
    <m/>
    <m/>
    <m/>
    <m/>
    <m/>
    <n v="8500"/>
    <n v="8500"/>
    <n v="8500"/>
    <m/>
    <x v="0"/>
    <m/>
    <m/>
    <m/>
    <m/>
    <m/>
  </r>
  <r>
    <n v="1953"/>
    <x v="30"/>
    <s v="264-4987973"/>
    <s v="RAWSON"/>
    <n v="10044"/>
    <n v="1"/>
    <n v="8000"/>
    <n v="0"/>
    <m/>
    <m/>
    <m/>
    <m/>
    <m/>
    <n v="8000"/>
    <n v="8000"/>
    <n v="8000"/>
    <m/>
    <x v="0"/>
    <m/>
    <m/>
    <m/>
    <m/>
    <m/>
  </r>
  <r>
    <n v="1954"/>
    <x v="31"/>
    <s v="264-4580614"/>
    <s v="ZONDA"/>
    <n v="10045"/>
    <n v="1"/>
    <n v="10000"/>
    <n v="0"/>
    <m/>
    <m/>
    <m/>
    <m/>
    <m/>
    <n v="10000"/>
    <n v="10000"/>
    <n v="10000"/>
    <m/>
    <x v="0"/>
    <m/>
    <m/>
    <m/>
    <m/>
    <m/>
  </r>
  <r>
    <n v="1955"/>
    <x v="32"/>
    <s v="264-5714337"/>
    <s v="RAWSON"/>
    <n v="10056"/>
    <n v="1"/>
    <n v="12000"/>
    <n v="0"/>
    <m/>
    <m/>
    <m/>
    <m/>
    <m/>
    <n v="12000"/>
    <n v="12000"/>
    <n v="12000"/>
    <m/>
    <x v="0"/>
    <m/>
    <m/>
    <m/>
    <m/>
    <m/>
  </r>
  <r>
    <n v="1957"/>
    <x v="33"/>
    <s v="264-5646296"/>
    <s v="SAN JUAN"/>
    <n v="10058"/>
    <n v="1"/>
    <n v="5000"/>
    <n v="0"/>
    <m/>
    <m/>
    <m/>
    <m/>
    <m/>
    <n v="5000"/>
    <n v="5000"/>
    <n v="5000"/>
    <m/>
    <x v="0"/>
    <m/>
    <m/>
    <m/>
    <m/>
    <m/>
  </r>
  <r>
    <n v="1959"/>
    <x v="34"/>
    <s v="264-4104223"/>
    <s v="RAWSON"/>
    <n v="10063"/>
    <n v="1"/>
    <n v="15000"/>
    <n v="0"/>
    <m/>
    <m/>
    <m/>
    <m/>
    <m/>
    <n v="15000"/>
    <n v="15000"/>
    <n v="15000"/>
    <m/>
    <x v="0"/>
    <m/>
    <m/>
    <m/>
    <m/>
    <m/>
  </r>
  <r>
    <n v="1960"/>
    <x v="35"/>
    <s v="264-4606504"/>
    <s v="SAN JUAN"/>
    <n v="10065"/>
    <n v="1"/>
    <n v="10000"/>
    <n v="0"/>
    <m/>
    <m/>
    <m/>
    <m/>
    <m/>
    <n v="10000"/>
    <n v="10000"/>
    <n v="10000"/>
    <m/>
    <x v="0"/>
    <m/>
    <m/>
    <m/>
    <m/>
    <m/>
  </r>
  <r>
    <n v="1961"/>
    <x v="36"/>
    <s v="264-5154583"/>
    <s v="RAWSON"/>
    <n v="10066"/>
    <n v="1"/>
    <n v="9700"/>
    <n v="0"/>
    <m/>
    <m/>
    <m/>
    <m/>
    <m/>
    <n v="9700"/>
    <n v="9700"/>
    <n v="9700"/>
    <m/>
    <x v="0"/>
    <m/>
    <m/>
    <m/>
    <m/>
    <m/>
  </r>
  <r>
    <n v="1963"/>
    <x v="37"/>
    <s v="264-5601445"/>
    <s v="POCITOS"/>
    <n v="10068"/>
    <n v="1"/>
    <n v="5000"/>
    <n v="0"/>
    <m/>
    <m/>
    <m/>
    <m/>
    <m/>
    <n v="5000"/>
    <n v="5000"/>
    <n v="5000"/>
    <m/>
    <x v="0"/>
    <m/>
    <m/>
    <m/>
    <m/>
    <m/>
  </r>
  <r>
    <n v="1964"/>
    <x v="38"/>
    <s v="264-4631030"/>
    <s v="RAWSON"/>
    <n v="10069"/>
    <n v="1"/>
    <n v="10000"/>
    <n v="0"/>
    <m/>
    <m/>
    <m/>
    <m/>
    <m/>
    <n v="10000"/>
    <n v="10000"/>
    <n v="10000"/>
    <m/>
    <x v="0"/>
    <m/>
    <m/>
    <m/>
    <m/>
    <m/>
  </r>
  <r>
    <n v="1965"/>
    <x v="39"/>
    <s v="264-5247155"/>
    <s v="CHIMBAS"/>
    <n v="10070"/>
    <n v="1"/>
    <n v="7000"/>
    <n v="0"/>
    <m/>
    <m/>
    <m/>
    <m/>
    <m/>
    <n v="7000"/>
    <n v="7000"/>
    <n v="7000"/>
    <m/>
    <x v="0"/>
    <m/>
    <m/>
    <m/>
    <m/>
    <m/>
  </r>
  <r>
    <n v="1966"/>
    <x v="40"/>
    <s v="264-4119435"/>
    <s v="CHIMBAS"/>
    <n v="10071"/>
    <n v="1"/>
    <n v="8000"/>
    <n v="0"/>
    <m/>
    <m/>
    <m/>
    <m/>
    <m/>
    <n v="8000"/>
    <n v="8000"/>
    <n v="8000"/>
    <m/>
    <x v="0"/>
    <m/>
    <m/>
    <m/>
    <m/>
    <m/>
  </r>
  <r>
    <n v="1967"/>
    <x v="41"/>
    <s v="264-6625733"/>
    <s v="RAWSON"/>
    <n v="10072"/>
    <n v="1"/>
    <n v="12000"/>
    <n v="0"/>
    <m/>
    <m/>
    <m/>
    <m/>
    <m/>
    <n v="12000"/>
    <n v="12000"/>
    <n v="12000"/>
    <m/>
    <x v="0"/>
    <m/>
    <m/>
    <m/>
    <m/>
    <m/>
  </r>
  <r>
    <n v="1968"/>
    <x v="42"/>
    <s v="264-4565487"/>
    <s v="SANTA LUCIA"/>
    <n v="10073"/>
    <n v="1"/>
    <n v="5000"/>
    <n v="0"/>
    <m/>
    <m/>
    <m/>
    <m/>
    <m/>
    <n v="5000"/>
    <n v="5000"/>
    <n v="5000"/>
    <m/>
    <x v="0"/>
    <m/>
    <m/>
    <m/>
    <m/>
    <m/>
  </r>
  <r>
    <n v="1969"/>
    <x v="43"/>
    <s v="264-5748006"/>
    <s v="POCITOS"/>
    <n v="10074"/>
    <n v="1"/>
    <n v="5000"/>
    <n v="0"/>
    <m/>
    <m/>
    <m/>
    <m/>
    <m/>
    <n v="5000"/>
    <n v="5000"/>
    <n v="5000"/>
    <m/>
    <x v="0"/>
    <m/>
    <m/>
    <m/>
    <m/>
    <m/>
  </r>
  <r>
    <n v="1970"/>
    <x v="44"/>
    <s v="264-444234"/>
    <s v="SANTA LUCIA"/>
    <n v="10075"/>
    <n v="1"/>
    <n v="10000"/>
    <n v="0"/>
    <m/>
    <m/>
    <m/>
    <m/>
    <m/>
    <n v="10000"/>
    <n v="10000"/>
    <n v="10000"/>
    <m/>
    <x v="0"/>
    <m/>
    <m/>
    <m/>
    <m/>
    <m/>
  </r>
  <r>
    <n v="1972"/>
    <x v="45"/>
    <s v="264-5517590"/>
    <s v="SAN JUAN"/>
    <n v="10077"/>
    <n v="1"/>
    <n v="12000"/>
    <n v="0"/>
    <m/>
    <m/>
    <m/>
    <m/>
    <m/>
    <n v="12000"/>
    <n v="12000"/>
    <n v="12000"/>
    <m/>
    <x v="0"/>
    <m/>
    <m/>
    <m/>
    <m/>
    <m/>
  </r>
  <r>
    <n v="1974"/>
    <x v="46"/>
    <s v="264-5721504"/>
    <s v="POCITOS"/>
    <n v="10079"/>
    <n v="1"/>
    <n v="6000"/>
    <n v="0"/>
    <m/>
    <m/>
    <m/>
    <m/>
    <m/>
    <n v="6000"/>
    <n v="6000"/>
    <n v="6000"/>
    <m/>
    <x v="0"/>
    <m/>
    <m/>
    <m/>
    <m/>
    <m/>
  </r>
  <r>
    <n v="1977"/>
    <x v="47"/>
    <s v="264-4589393"/>
    <s v="RAWSON"/>
    <n v="10082"/>
    <n v="1"/>
    <n v="15000"/>
    <n v="0"/>
    <m/>
    <m/>
    <m/>
    <m/>
    <m/>
    <n v="15000"/>
    <n v="15000"/>
    <n v="15000"/>
    <m/>
    <x v="0"/>
    <m/>
    <m/>
    <m/>
    <m/>
    <m/>
  </r>
  <r>
    <n v="1978"/>
    <x v="48"/>
    <s v="264-5187475"/>
    <s v="SAN JUAN"/>
    <n v="10083"/>
    <n v="1"/>
    <n v="8500"/>
    <n v="0"/>
    <m/>
    <m/>
    <m/>
    <m/>
    <m/>
    <n v="8500"/>
    <n v="8500"/>
    <n v="8500"/>
    <m/>
    <x v="0"/>
    <m/>
    <m/>
    <m/>
    <m/>
    <m/>
  </r>
  <r>
    <n v="1979"/>
    <x v="49"/>
    <s v="264-6609328"/>
    <s v="SANTA LUCIA"/>
    <n v="10088"/>
    <n v="1"/>
    <n v="10000"/>
    <n v="0"/>
    <m/>
    <m/>
    <m/>
    <m/>
    <m/>
    <n v="10000"/>
    <n v="10000"/>
    <n v="10000"/>
    <m/>
    <x v="0"/>
    <m/>
    <m/>
    <m/>
    <m/>
    <m/>
  </r>
  <r>
    <n v="1980"/>
    <x v="50"/>
    <s v="264-5134199"/>
    <s v="SAN JUAN"/>
    <n v="10089"/>
    <n v="1"/>
    <n v="12000"/>
    <n v="0"/>
    <m/>
    <m/>
    <m/>
    <m/>
    <m/>
    <n v="12000"/>
    <n v="12000"/>
    <n v="12000"/>
    <m/>
    <x v="0"/>
    <m/>
    <m/>
    <m/>
    <m/>
    <m/>
  </r>
  <r>
    <n v="1983"/>
    <x v="51"/>
    <s v="264-5431502"/>
    <s v="RAWSON"/>
    <n v="10092"/>
    <n v="1"/>
    <n v="5000"/>
    <n v="0"/>
    <m/>
    <m/>
    <m/>
    <m/>
    <m/>
    <n v="5000"/>
    <n v="5000"/>
    <n v="5000"/>
    <m/>
    <x v="0"/>
    <m/>
    <m/>
    <m/>
    <m/>
    <m/>
  </r>
  <r>
    <n v="1985"/>
    <x v="52"/>
    <s v="264-4564515"/>
    <s v="SAN JUAN"/>
    <n v="10176"/>
    <n v="1"/>
    <n v="7000"/>
    <n v="0"/>
    <m/>
    <m/>
    <m/>
    <m/>
    <m/>
    <n v="7000"/>
    <n v="7000"/>
    <n v="7000"/>
    <m/>
    <x v="0"/>
    <m/>
    <m/>
    <m/>
    <m/>
    <m/>
  </r>
  <r>
    <n v="1986"/>
    <x v="53"/>
    <s v="264-5859961"/>
    <s v="SAN JUAN"/>
    <n v="10179"/>
    <n v="1"/>
    <n v="10000"/>
    <n v="0"/>
    <m/>
    <m/>
    <m/>
    <m/>
    <m/>
    <n v="10000"/>
    <n v="10000"/>
    <n v="10000"/>
    <m/>
    <x v="0"/>
    <m/>
    <m/>
    <m/>
    <m/>
    <m/>
  </r>
  <r>
    <n v="1987"/>
    <x v="54"/>
    <s v="264-5780335"/>
    <s v="MARQUESADO"/>
    <n v="10180"/>
    <n v="1"/>
    <n v="10000"/>
    <n v="0"/>
    <m/>
    <m/>
    <m/>
    <m/>
    <m/>
    <n v="10000"/>
    <n v="10000"/>
    <n v="10000"/>
    <m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B5" firstHeaderRow="1" firstDataRow="1" firstDataCol="1" rowPageCount="1" colPageCount="1"/>
  <pivotFields count="23">
    <pivotField showAll="0"/>
    <pivotField axis="axisPage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Row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2">
    <i>
      <x v="15"/>
    </i>
    <i t="grand">
      <x/>
    </i>
  </rowItems>
  <colItems count="1">
    <i/>
  </colItems>
  <pageFields count="1">
    <pageField fld="1" hier="0"/>
  </pageField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4" indent="0" outline="1" outlineData="1" multipleFieldFilters="0">
  <location ref="A3:C60" firstHeaderRow="1" firstDataRow="2" firstDataCol="1"/>
  <pivotFields count="23">
    <pivotField showAll="0"/>
    <pivotField axis="axisRow" showAll="0">
      <items count="361">
        <item m="1" x="155"/>
        <item m="1" x="246"/>
        <item m="1" x="120"/>
        <item m="1" x="282"/>
        <item m="1" x="244"/>
        <item m="1" x="339"/>
        <item m="1" x="316"/>
        <item m="1" x="113"/>
        <item m="1" x="195"/>
        <item m="1" x="117"/>
        <item m="1" x="108"/>
        <item m="1" x="307"/>
        <item m="1" x="59"/>
        <item m="1" x="182"/>
        <item m="1" x="126"/>
        <item m="1" x="202"/>
        <item m="1" x="349"/>
        <item m="1" x="204"/>
        <item m="1" x="289"/>
        <item m="1" x="236"/>
        <item m="1" x="200"/>
        <item m="1" x="130"/>
        <item m="1" x="321"/>
        <item m="1" x="311"/>
        <item m="1" x="320"/>
        <item m="1" x="55"/>
        <item m="1" x="233"/>
        <item m="1" x="100"/>
        <item m="1" x="358"/>
        <item m="1" x="104"/>
        <item m="1" x="348"/>
        <item m="1" x="229"/>
        <item m="1" x="270"/>
        <item m="1" x="284"/>
        <item m="1" x="294"/>
        <item m="1" x="243"/>
        <item m="1" x="286"/>
        <item m="1" x="197"/>
        <item m="1" x="357"/>
        <item m="1" x="355"/>
        <item m="1" x="201"/>
        <item m="1" x="72"/>
        <item m="1" x="145"/>
        <item m="1" x="337"/>
        <item m="1" x="95"/>
        <item m="1" x="194"/>
        <item m="1" x="164"/>
        <item m="1" x="249"/>
        <item m="1" x="91"/>
        <item m="1" x="149"/>
        <item m="1" x="161"/>
        <item m="1" x="114"/>
        <item m="1" x="116"/>
        <item m="1" x="212"/>
        <item m="1" x="80"/>
        <item m="1" x="279"/>
        <item m="1" x="196"/>
        <item m="1" x="352"/>
        <item m="1" x="90"/>
        <item m="1" x="269"/>
        <item m="1" x="209"/>
        <item m="1" x="186"/>
        <item m="1" x="211"/>
        <item m="1" x="119"/>
        <item m="1" x="189"/>
        <item m="1" x="131"/>
        <item m="1" x="57"/>
        <item m="1" x="143"/>
        <item m="1" x="159"/>
        <item m="1" x="62"/>
        <item m="1" x="162"/>
        <item m="1" x="73"/>
        <item m="1" x="115"/>
        <item m="1" x="323"/>
        <item m="1" x="225"/>
        <item m="1" x="240"/>
        <item m="1" x="70"/>
        <item m="1" x="347"/>
        <item m="1" x="257"/>
        <item m="1" x="147"/>
        <item m="1" x="213"/>
        <item m="1" x="341"/>
        <item m="1" x="163"/>
        <item m="1" x="176"/>
        <item m="1" x="92"/>
        <item m="1" x="178"/>
        <item m="1" x="217"/>
        <item m="1" x="278"/>
        <item m="1" x="267"/>
        <item m="1" x="232"/>
        <item m="1" x="310"/>
        <item m="1" x="207"/>
        <item m="1" x="314"/>
        <item m="1" x="107"/>
        <item m="1" x="303"/>
        <item m="1" x="125"/>
        <item m="1" x="121"/>
        <item m="1" x="276"/>
        <item m="1" x="253"/>
        <item m="1" x="331"/>
        <item m="1" x="111"/>
        <item m="1" x="340"/>
        <item m="1" x="208"/>
        <item m="1" x="285"/>
        <item m="1" x="226"/>
        <item m="1" x="133"/>
        <item m="1" x="81"/>
        <item m="1" x="109"/>
        <item m="1" x="156"/>
        <item m="1" x="177"/>
        <item m="1" x="151"/>
        <item m="1" x="99"/>
        <item m="1" x="206"/>
        <item m="1" x="122"/>
        <item m="1" x="309"/>
        <item m="1" x="94"/>
        <item m="1" x="292"/>
        <item m="1" x="280"/>
        <item m="1" x="96"/>
        <item m="1" x="223"/>
        <item m="1" x="214"/>
        <item m="1" x="66"/>
        <item m="1" x="138"/>
        <item m="1" x="85"/>
        <item m="1" x="242"/>
        <item m="1" x="185"/>
        <item m="1" x="89"/>
        <item m="1" x="61"/>
        <item m="1" x="190"/>
        <item m="1" x="291"/>
        <item m="1" x="332"/>
        <item m="1" x="172"/>
        <item m="1" x="334"/>
        <item m="1" x="343"/>
        <item m="1" x="277"/>
        <item m="1" x="260"/>
        <item m="1" x="76"/>
        <item m="1" x="154"/>
        <item m="1" x="315"/>
        <item m="1" x="187"/>
        <item m="1" x="268"/>
        <item m="1" x="68"/>
        <item m="1" x="350"/>
        <item m="1" x="353"/>
        <item m="1" x="168"/>
        <item m="1" x="262"/>
        <item m="1" x="336"/>
        <item m="1" x="174"/>
        <item m="1" x="136"/>
        <item m="1" x="128"/>
        <item m="1" x="67"/>
        <item m="1" x="110"/>
        <item m="1" x="132"/>
        <item m="1" x="319"/>
        <item m="1" x="335"/>
        <item m="1" x="142"/>
        <item m="1" x="272"/>
        <item m="1" x="88"/>
        <item m="1" x="112"/>
        <item m="1" x="158"/>
        <item m="1" x="359"/>
        <item m="1" x="210"/>
        <item m="1" x="141"/>
        <item m="1" x="265"/>
        <item m="1" x="293"/>
        <item m="1" x="245"/>
        <item m="1" x="139"/>
        <item m="1" x="102"/>
        <item m="1" x="250"/>
        <item m="1" x="297"/>
        <item m="1" x="302"/>
        <item m="1" x="238"/>
        <item m="1" x="216"/>
        <item m="1" x="150"/>
        <item m="1" x="274"/>
        <item m="1" x="296"/>
        <item m="1" x="342"/>
        <item m="1" x="205"/>
        <item m="1" x="317"/>
        <item m="1" x="231"/>
        <item m="1" x="124"/>
        <item m="1" x="188"/>
        <item m="1" x="199"/>
        <item m="1" x="237"/>
        <item m="1" x="330"/>
        <item m="1" x="180"/>
        <item m="1" x="300"/>
        <item m="1" x="69"/>
        <item m="1" x="129"/>
        <item m="1" x="78"/>
        <item m="1" x="228"/>
        <item m="1" x="192"/>
        <item m="1" x="230"/>
        <item m="1" x="322"/>
        <item m="1" x="183"/>
        <item m="1" x="160"/>
        <item m="1" x="273"/>
        <item m="1" x="247"/>
        <item m="1" x="75"/>
        <item m="1" x="306"/>
        <item m="1" x="299"/>
        <item m="1" x="64"/>
        <item m="1" x="275"/>
        <item m="1" x="324"/>
        <item m="1" x="215"/>
        <item m="1" x="134"/>
        <item m="1" x="264"/>
        <item m="1" x="356"/>
        <item m="1" x="239"/>
        <item m="1" x="256"/>
        <item m="1" x="144"/>
        <item m="1" x="97"/>
        <item m="1" x="338"/>
        <item m="1" x="191"/>
        <item m="1" x="157"/>
        <item m="1" x="105"/>
        <item m="1" x="333"/>
        <item m="1" x="169"/>
        <item m="1" x="98"/>
        <item m="1" x="305"/>
        <item m="1" x="290"/>
        <item m="1" x="203"/>
        <item m="1" x="170"/>
        <item m="1" x="83"/>
        <item m="1" x="227"/>
        <item m="1" x="175"/>
        <item m="1" x="60"/>
        <item m="1" x="165"/>
        <item m="1" x="344"/>
        <item m="1" x="312"/>
        <item m="1" x="288"/>
        <item m="1" x="140"/>
        <item m="1" x="326"/>
        <item m="1" x="218"/>
        <item m="1" x="224"/>
        <item m="1" x="318"/>
        <item m="1" x="103"/>
        <item m="1" x="181"/>
        <item m="1" x="106"/>
        <item m="1" x="221"/>
        <item m="1" x="295"/>
        <item m="1" x="328"/>
        <item m="1" x="354"/>
        <item m="1" x="266"/>
        <item m="1" x="71"/>
        <item m="1" x="241"/>
        <item m="1" x="86"/>
        <item m="1" x="235"/>
        <item m="1" x="259"/>
        <item m="1" x="118"/>
        <item m="1" x="258"/>
        <item m="1" x="58"/>
        <item m="1" x="179"/>
        <item m="1" x="219"/>
        <item m="1" x="271"/>
        <item m="1" x="65"/>
        <item m="1" x="220"/>
        <item m="1" x="222"/>
        <item m="1" x="146"/>
        <item m="1" x="251"/>
        <item m="1" x="137"/>
        <item m="1" x="304"/>
        <item m="1" x="263"/>
        <item m="1" x="234"/>
        <item m="1" x="153"/>
        <item m="1" x="84"/>
        <item m="1" x="313"/>
        <item m="1" x="127"/>
        <item m="1" x="148"/>
        <item m="1" x="152"/>
        <item m="1" x="166"/>
        <item m="1" x="261"/>
        <item m="1" x="171"/>
        <item m="1" x="74"/>
        <item m="1" x="281"/>
        <item m="1" x="184"/>
        <item m="1" x="77"/>
        <item m="1" x="193"/>
        <item m="1" x="79"/>
        <item m="1" x="283"/>
        <item m="1" x="56"/>
        <item m="1" x="346"/>
        <item m="1" x="287"/>
        <item m="1" x="82"/>
        <item m="1" x="327"/>
        <item m="1" x="93"/>
        <item m="1" x="123"/>
        <item m="1" x="329"/>
        <item m="1" x="254"/>
        <item m="1" x="198"/>
        <item m="1" x="87"/>
        <item m="1" x="135"/>
        <item m="1" x="298"/>
        <item m="1" x="345"/>
        <item m="1" x="173"/>
        <item m="1" x="63"/>
        <item m="1" x="101"/>
        <item m="1" x="255"/>
        <item m="1" x="248"/>
        <item m="1" x="301"/>
        <item m="1" x="308"/>
        <item m="1" x="167"/>
        <item m="1" x="252"/>
        <item m="1" x="351"/>
        <item m="1" x="3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showAll="0"/>
    <pivotField showAll="0"/>
    <pivotField showAll="0"/>
    <pivotField showAll="0"/>
    <pivotField showAll="0"/>
    <pivotField numFmtId="170" showAll="0"/>
    <pivotField showAll="0"/>
    <pivotField showAll="0"/>
    <pivotField showAll="0"/>
    <pivotField showAll="0"/>
    <pivotField showAll="0"/>
    <pivotField dataField="1" numFmtId="3" showAll="0"/>
    <pivotField numFmtId="3" showAll="0"/>
    <pivotField numFmtId="3" showAll="0"/>
    <pivotField showAll="0"/>
    <pivotField axis="axisCol" showAll="0">
      <items count="19">
        <item m="1" x="9"/>
        <item m="1" x="17"/>
        <item m="1" x="6"/>
        <item m="1" x="14"/>
        <item m="1" x="3"/>
        <item m="1" x="1"/>
        <item m="1" x="8"/>
        <item m="1" x="15"/>
        <item m="1" x="5"/>
        <item m="1" x="13"/>
        <item m="1" x="10"/>
        <item m="1" x="12"/>
        <item m="1" x="11"/>
        <item m="1" x="2"/>
        <item m="1" x="16"/>
        <item x="0"/>
        <item m="1" x="4"/>
        <item m="1"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6"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 t="grand">
      <x/>
    </i>
  </rowItems>
  <colFields count="1">
    <field x="17"/>
  </colFields>
  <colItems count="2">
    <i>
      <x v="15"/>
    </i>
    <i t="grand">
      <x/>
    </i>
  </colItems>
  <dataFields count="1">
    <dataField name="Suma de CON MORA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7030A0"/>
  </sheetPr>
  <dimension ref="A1:IV184"/>
  <sheetViews>
    <sheetView tabSelected="1" topLeftCell="A79" zoomScale="70" zoomScaleNormal="70" workbookViewId="0">
      <selection activeCell="C15" sqref="C15"/>
    </sheetView>
  </sheetViews>
  <sheetFormatPr baseColWidth="10" defaultRowHeight="12.75" x14ac:dyDescent="0.2"/>
  <cols>
    <col min="1" max="1" width="10" customWidth="1"/>
    <col min="2" max="2" width="45" bestFit="1" customWidth="1"/>
    <col min="3" max="3" width="19.5703125" style="15" customWidth="1"/>
    <col min="4" max="4" width="18.42578125" customWidth="1"/>
    <col min="6" max="6" width="12.7109375" customWidth="1"/>
    <col min="7" max="7" width="10.7109375" customWidth="1"/>
    <col min="8" max="8" width="14.28515625" style="9" customWidth="1"/>
    <col min="15" max="15" width="13.5703125" customWidth="1"/>
    <col min="16" max="16" width="19.42578125" customWidth="1"/>
    <col min="17" max="17" width="13.140625" customWidth="1"/>
    <col min="18" max="18" width="13.140625" style="22" customWidth="1"/>
    <col min="19" max="19" width="15.28515625" customWidth="1"/>
    <col min="20" max="20" width="10.28515625" style="8" bestFit="1" customWidth="1"/>
    <col min="21" max="21" width="8.85546875" style="9" customWidth="1"/>
    <col min="22" max="23" width="37.5703125" customWidth="1"/>
    <col min="24" max="25" width="9.28515625" customWidth="1"/>
    <col min="26" max="26" width="12.28515625" bestFit="1" customWidth="1"/>
    <col min="27" max="27" width="8.85546875" customWidth="1"/>
    <col min="28" max="29" width="10.5703125" customWidth="1"/>
    <col min="30" max="30" width="11.7109375" customWidth="1"/>
    <col min="31" max="31" width="9.5703125" customWidth="1"/>
    <col min="32" max="32" width="6.28515625" customWidth="1"/>
    <col min="33" max="33" width="61" style="57" customWidth="1"/>
    <col min="34" max="34" width="11.42578125" hidden="1" customWidth="1"/>
    <col min="35" max="35" width="10.28515625" hidden="1" customWidth="1"/>
    <col min="36" max="36" width="10.140625" hidden="1" customWidth="1"/>
    <col min="37" max="37" width="10.5703125" hidden="1" customWidth="1"/>
    <col min="38" max="38" width="10" hidden="1" customWidth="1"/>
    <col min="39" max="39" width="9.7109375" hidden="1" customWidth="1"/>
    <col min="40" max="40" width="7.140625" hidden="1" customWidth="1"/>
    <col min="41" max="41" width="10.28515625" hidden="1" customWidth="1"/>
    <col min="42" max="42" width="10" hidden="1" customWidth="1"/>
    <col min="43" max="43" width="9.7109375" hidden="1" customWidth="1"/>
    <col min="44" max="44" width="6.140625" hidden="1" customWidth="1"/>
    <col min="45" max="45" width="10.28515625" hidden="1" customWidth="1"/>
    <col min="46" max="46" width="10" hidden="1" customWidth="1"/>
    <col min="47" max="47" width="12.7109375" hidden="1" customWidth="1"/>
    <col min="48" max="48" width="10" hidden="1" customWidth="1"/>
    <col min="49" max="49" width="14.7109375" hidden="1" customWidth="1"/>
    <col min="50" max="50" width="10" hidden="1" customWidth="1"/>
    <col min="51" max="51" width="9.5703125" hidden="1" customWidth="1"/>
    <col min="52" max="52" width="9.42578125" hidden="1" customWidth="1"/>
    <col min="53" max="53" width="7.42578125" hidden="1" customWidth="1"/>
    <col min="54" max="54" width="14.42578125" hidden="1" customWidth="1"/>
    <col min="55" max="55" width="10" hidden="1" customWidth="1"/>
    <col min="56" max="56" width="9.5703125" hidden="1" customWidth="1"/>
    <col min="57" max="57" width="7.42578125" hidden="1" customWidth="1"/>
    <col min="58" max="58" width="9.42578125" hidden="1" customWidth="1"/>
  </cols>
  <sheetData>
    <row r="1" spans="1:256" ht="24" thickBot="1" x14ac:dyDescent="0.4">
      <c r="A1" s="130">
        <v>7</v>
      </c>
      <c r="B1" s="126" t="str">
        <f>IF(A1&lt;&gt;0,VLOOKUP(A1,COB!A1:B9,2),"COBRADOR INEXISTENTE")</f>
        <v>MEDIOS ELECTRONICOS</v>
      </c>
      <c r="C1" s="127"/>
      <c r="D1" s="129" t="s">
        <v>520</v>
      </c>
      <c r="E1" s="125">
        <v>2026</v>
      </c>
      <c r="F1" s="129" t="s">
        <v>26</v>
      </c>
      <c r="H1"/>
      <c r="I1" s="9" t="s">
        <v>69</v>
      </c>
      <c r="S1" s="110"/>
      <c r="V1" s="110"/>
      <c r="W1" s="110"/>
      <c r="AI1" t="s">
        <v>84</v>
      </c>
      <c r="AS1" t="s">
        <v>80</v>
      </c>
      <c r="AU1" t="s">
        <v>82</v>
      </c>
    </row>
    <row r="2" spans="1:256" ht="14.25" thickTop="1" thickBot="1" x14ac:dyDescent="0.25">
      <c r="E2" s="1"/>
      <c r="F2" s="1"/>
      <c r="G2" s="224" t="s">
        <v>21</v>
      </c>
      <c r="H2" s="224"/>
      <c r="I2" s="225" t="s">
        <v>48</v>
      </c>
      <c r="J2" s="225"/>
      <c r="K2" s="225"/>
      <c r="L2" s="225"/>
      <c r="M2" s="225"/>
      <c r="N2" s="58" t="s">
        <v>95</v>
      </c>
      <c r="O2" s="2" t="s">
        <v>8</v>
      </c>
      <c r="P2" s="2" t="s">
        <v>71</v>
      </c>
      <c r="Q2" s="226" t="s">
        <v>107</v>
      </c>
      <c r="R2" s="227"/>
      <c r="S2" s="227"/>
      <c r="V2" s="112"/>
      <c r="W2" s="112"/>
      <c r="Z2" s="58" t="s">
        <v>119</v>
      </c>
      <c r="AA2" s="52"/>
      <c r="AB2" s="53" t="s">
        <v>33</v>
      </c>
      <c r="AC2" s="54" t="s">
        <v>34</v>
      </c>
      <c r="AD2" s="55"/>
      <c r="AE2" s="56" t="s">
        <v>35</v>
      </c>
      <c r="AF2" s="52"/>
      <c r="AH2" s="6" t="s">
        <v>26</v>
      </c>
      <c r="AI2" t="s">
        <v>85</v>
      </c>
      <c r="AS2" t="s">
        <v>81</v>
      </c>
      <c r="AU2" t="s">
        <v>83</v>
      </c>
      <c r="AY2" t="s">
        <v>57</v>
      </c>
      <c r="AZ2" t="s">
        <v>56</v>
      </c>
      <c r="BA2" t="s">
        <v>55</v>
      </c>
      <c r="BD2" t="s">
        <v>57</v>
      </c>
      <c r="BE2" t="s">
        <v>55</v>
      </c>
      <c r="BF2" t="s">
        <v>56</v>
      </c>
    </row>
    <row r="3" spans="1:256" ht="15" customHeight="1" thickTop="1" thickBot="1" x14ac:dyDescent="0.25">
      <c r="A3" s="2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2" t="s">
        <v>24</v>
      </c>
      <c r="H3" s="115" t="s">
        <v>70</v>
      </c>
      <c r="I3" s="2" t="s">
        <v>7</v>
      </c>
      <c r="J3" s="58" t="s">
        <v>54</v>
      </c>
      <c r="K3" s="58" t="s">
        <v>47</v>
      </c>
      <c r="L3" s="185" t="s">
        <v>129</v>
      </c>
      <c r="M3" s="58" t="s">
        <v>131</v>
      </c>
      <c r="N3" s="58" t="s">
        <v>96</v>
      </c>
      <c r="O3" s="2" t="s">
        <v>97</v>
      </c>
      <c r="P3" s="2" t="s">
        <v>94</v>
      </c>
      <c r="Q3" s="2" t="s">
        <v>7</v>
      </c>
      <c r="R3" s="111" t="s">
        <v>36</v>
      </c>
      <c r="S3" s="111" t="s">
        <v>113</v>
      </c>
      <c r="T3" s="2" t="s">
        <v>9</v>
      </c>
      <c r="U3" s="2" t="s">
        <v>42</v>
      </c>
      <c r="V3" s="111" t="s">
        <v>10</v>
      </c>
      <c r="W3" s="175" t="s">
        <v>112</v>
      </c>
      <c r="X3" s="2" t="s">
        <v>79</v>
      </c>
      <c r="Y3" s="2" t="s">
        <v>132</v>
      </c>
      <c r="Z3" s="58" t="s">
        <v>66</v>
      </c>
      <c r="AA3" s="58" t="s">
        <v>36</v>
      </c>
      <c r="AB3" s="59" t="s">
        <v>37</v>
      </c>
      <c r="AC3" s="59" t="s">
        <v>38</v>
      </c>
      <c r="AD3" s="59" t="s">
        <v>39</v>
      </c>
      <c r="AE3" s="60" t="s">
        <v>40</v>
      </c>
      <c r="AF3" s="58" t="s">
        <v>41</v>
      </c>
      <c r="AG3" s="61" t="s">
        <v>10</v>
      </c>
      <c r="AH3" s="6" t="s">
        <v>14</v>
      </c>
      <c r="AI3" s="7" t="s">
        <v>11</v>
      </c>
      <c r="AJ3" s="8" t="s">
        <v>12</v>
      </c>
      <c r="AK3" s="9" t="s">
        <v>13</v>
      </c>
      <c r="AL3" s="9" t="s">
        <v>14</v>
      </c>
      <c r="AM3" s="9" t="s">
        <v>45</v>
      </c>
      <c r="AN3" s="9" t="s">
        <v>15</v>
      </c>
      <c r="AO3" s="9" t="s">
        <v>16</v>
      </c>
      <c r="AP3" s="9" t="s">
        <v>14</v>
      </c>
      <c r="AQ3" s="9" t="s">
        <v>45</v>
      </c>
      <c r="AR3" s="9" t="s">
        <v>15</v>
      </c>
      <c r="AS3" s="148" t="s">
        <v>17</v>
      </c>
      <c r="AT3" s="148" t="s">
        <v>14</v>
      </c>
      <c r="AU3" s="149" t="s">
        <v>86</v>
      </c>
      <c r="AV3" s="149" t="s">
        <v>87</v>
      </c>
      <c r="AW3" s="9" t="s">
        <v>19</v>
      </c>
      <c r="AX3" s="9" t="s">
        <v>14</v>
      </c>
      <c r="AY3" s="9" t="s">
        <v>15</v>
      </c>
      <c r="AZ3" s="9"/>
      <c r="BA3" s="9" t="s">
        <v>15</v>
      </c>
      <c r="BB3" s="9" t="s">
        <v>20</v>
      </c>
      <c r="BC3" s="9" t="s">
        <v>14</v>
      </c>
      <c r="BD3" s="9" t="s">
        <v>15</v>
      </c>
      <c r="BE3" s="9"/>
      <c r="BF3" s="9" t="s">
        <v>15</v>
      </c>
    </row>
    <row r="4" spans="1:256" s="201" customFormat="1" ht="15" thickTop="1" x14ac:dyDescent="0.2">
      <c r="A4" s="10">
        <v>816</v>
      </c>
      <c r="B4" s="11" t="s">
        <v>223</v>
      </c>
      <c r="C4" s="105" t="s">
        <v>224</v>
      </c>
      <c r="D4" s="11" t="s">
        <v>225</v>
      </c>
      <c r="E4" s="12">
        <v>9287</v>
      </c>
      <c r="F4" s="202">
        <v>93</v>
      </c>
      <c r="G4" s="11">
        <v>40000</v>
      </c>
      <c r="H4" s="116">
        <v>0</v>
      </c>
      <c r="I4" s="192"/>
      <c r="J4" s="204"/>
      <c r="K4" s="193"/>
      <c r="L4" s="193"/>
      <c r="M4" s="193">
        <v>40000</v>
      </c>
      <c r="N4" s="203">
        <f t="shared" ref="N4:N35" si="0">IF(H4&gt;0,G4+H4-I4-J4-K4-L4-M4,G4-I4-J4-K4-L4-M4)</f>
        <v>0</v>
      </c>
      <c r="O4" s="203">
        <f t="shared" ref="O4:O35" si="1">G4+H4-J4-I4-K4-L4-M4</f>
        <v>0</v>
      </c>
      <c r="P4" s="203">
        <f t="shared" ref="P4:P35" si="2">IF(G4+H4&lt;0,0,G4+H4)</f>
        <v>40000</v>
      </c>
      <c r="Q4" s="214">
        <v>46237</v>
      </c>
      <c r="R4" s="219"/>
      <c r="S4" s="217">
        <v>46205</v>
      </c>
      <c r="T4" s="205"/>
      <c r="U4" s="205"/>
      <c r="V4" s="215" t="s">
        <v>521</v>
      </c>
      <c r="W4" s="212"/>
      <c r="X4" s="10">
        <v>7</v>
      </c>
      <c r="Y4" s="10">
        <v>7</v>
      </c>
      <c r="Z4" s="213">
        <f t="shared" ref="Z4:Z35" si="3">IF(N4&lt;0,0,N4)</f>
        <v>0</v>
      </c>
      <c r="AA4" s="62"/>
      <c r="AB4" s="62"/>
      <c r="AC4" s="62"/>
      <c r="AD4" s="62"/>
      <c r="AE4" s="62"/>
      <c r="AF4" s="63"/>
      <c r="AG4" s="64"/>
      <c r="AH4" s="6">
        <v>1</v>
      </c>
      <c r="AI4">
        <f t="shared" ref="AI4:AI35" si="4">IF(F4&lt;=6,15,25)</f>
        <v>25</v>
      </c>
      <c r="AJ4">
        <f t="shared" ref="AJ4:AJ35" si="5">IF(O4&lt;&gt;0,25,15)</f>
        <v>15</v>
      </c>
      <c r="AK4">
        <f t="shared" ref="AK4:AK35" si="6">IF(AI4-T4=24,1,0)</f>
        <v>0</v>
      </c>
      <c r="AL4">
        <f t="shared" ref="AL4:AL35" si="7">IF(AH4-AK4=AH4,0,AH4)</f>
        <v>0</v>
      </c>
      <c r="AM4">
        <f t="shared" ref="AM4:AM35" si="8">IF(AK4&lt;&gt;0,U4,0)</f>
        <v>0</v>
      </c>
      <c r="AN4">
        <f t="shared" ref="AN4:AN35" si="9">IF(AK4=1,O4,0)</f>
        <v>0</v>
      </c>
      <c r="AO4">
        <f t="shared" ref="AO4:AO35" si="10">IF(AI4-T4=14,1,0)</f>
        <v>0</v>
      </c>
      <c r="AP4">
        <f t="shared" ref="AP4:AP35" si="11">IF(AH4-AO4=AH4,0,AH4)</f>
        <v>0</v>
      </c>
      <c r="AQ4">
        <f t="shared" ref="AQ4:AQ35" si="12">IF(AO4&lt;&gt;0,U4,0)</f>
        <v>0</v>
      </c>
      <c r="AR4">
        <f t="shared" ref="AR4:AR35" si="13">IF(AO4=1,O4,0)</f>
        <v>0</v>
      </c>
      <c r="AS4">
        <f t="shared" ref="AS4:AS35" si="14">IF(SUM(I4:M4)&lt;&gt;0,1,0)</f>
        <v>1</v>
      </c>
      <c r="AT4">
        <f t="shared" ref="AT4:AT35" si="15">AS4</f>
        <v>1</v>
      </c>
      <c r="AU4">
        <f t="shared" ref="AU4:AU35" si="16">IF(O4&gt;0,1,0)</f>
        <v>0</v>
      </c>
      <c r="AV4">
        <f t="shared" ref="AV4:AV35" si="17">IF(AK4+AO4+AU4=1,AU4,0)</f>
        <v>0</v>
      </c>
      <c r="AW4">
        <f t="shared" ref="AW4:AW35" si="18">IF(AI4-AV4=24,1,0)</f>
        <v>0</v>
      </c>
      <c r="AX4">
        <f t="shared" ref="AX4:AX35" si="19">IF(AH4-AW4=AH4,0,AH4)</f>
        <v>0</v>
      </c>
      <c r="AY4">
        <f t="shared" ref="AY4:AY35" si="20">IF(AW4=1,O4,0)</f>
        <v>0</v>
      </c>
      <c r="AZ4">
        <f t="shared" ref="AZ4:AZ35" si="21">IF(AY4-BA4&lt;&gt;0,AY4,0)</f>
        <v>0</v>
      </c>
      <c r="BA4">
        <f t="shared" ref="BA4:BA35" si="22">IF(AY4&lt;0,AY4,0)</f>
        <v>0</v>
      </c>
      <c r="BB4">
        <f t="shared" ref="BB4:BB35" si="23">IF(AI4-AV4=14,1,0)</f>
        <v>0</v>
      </c>
      <c r="BC4">
        <f t="shared" ref="BC4:BC35" si="24">IF(AH4-BB4=AH4,0,AH4)</f>
        <v>0</v>
      </c>
      <c r="BD4">
        <f t="shared" ref="BD4:BD35" si="25">IF(BB4=1,O4,0)</f>
        <v>0</v>
      </c>
      <c r="BE4">
        <f t="shared" ref="BE4:BE35" si="26">IF(BD4&lt;0,BD4,0)</f>
        <v>0</v>
      </c>
      <c r="BF4">
        <f t="shared" ref="BF4:BF35" si="27">IF(BD4-BE4&lt;&gt;0,BD4,0)</f>
        <v>0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s="201" customFormat="1" ht="14.25" x14ac:dyDescent="0.2">
      <c r="A5" s="10">
        <v>823</v>
      </c>
      <c r="B5" s="11" t="s">
        <v>226</v>
      </c>
      <c r="C5" s="105" t="s">
        <v>227</v>
      </c>
      <c r="D5" s="11" t="s">
        <v>222</v>
      </c>
      <c r="E5" s="12">
        <v>9375</v>
      </c>
      <c r="F5" s="202">
        <v>93</v>
      </c>
      <c r="G5" s="11">
        <v>30000</v>
      </c>
      <c r="H5" s="116">
        <v>-3500</v>
      </c>
      <c r="I5" s="192"/>
      <c r="J5" s="204"/>
      <c r="K5" s="193"/>
      <c r="L5" s="193"/>
      <c r="M5" s="193">
        <v>30000</v>
      </c>
      <c r="N5" s="203">
        <f t="shared" si="0"/>
        <v>0</v>
      </c>
      <c r="O5" s="203">
        <f t="shared" si="1"/>
        <v>-3500</v>
      </c>
      <c r="P5" s="203">
        <f t="shared" si="2"/>
        <v>26500</v>
      </c>
      <c r="Q5" s="214">
        <v>46265</v>
      </c>
      <c r="R5" s="219">
        <v>46265</v>
      </c>
      <c r="S5" s="217">
        <v>46234</v>
      </c>
      <c r="T5" s="205"/>
      <c r="U5" s="205"/>
      <c r="V5" s="215" t="s">
        <v>521</v>
      </c>
      <c r="W5" s="212"/>
      <c r="X5" s="10">
        <v>7</v>
      </c>
      <c r="Y5" s="10">
        <v>7</v>
      </c>
      <c r="Z5" s="213">
        <f t="shared" si="3"/>
        <v>0</v>
      </c>
      <c r="AA5" s="62"/>
      <c r="AB5" s="62"/>
      <c r="AC5" s="62"/>
      <c r="AD5" s="62"/>
      <c r="AE5" s="62"/>
      <c r="AF5" s="63"/>
      <c r="AG5" s="64"/>
      <c r="AH5" s="6">
        <v>1</v>
      </c>
      <c r="AI5">
        <f t="shared" si="4"/>
        <v>25</v>
      </c>
      <c r="AJ5">
        <f t="shared" si="5"/>
        <v>25</v>
      </c>
      <c r="AK5">
        <f t="shared" si="6"/>
        <v>0</v>
      </c>
      <c r="AL5">
        <f t="shared" si="7"/>
        <v>0</v>
      </c>
      <c r="AM5">
        <f t="shared" si="8"/>
        <v>0</v>
      </c>
      <c r="AN5">
        <f t="shared" si="9"/>
        <v>0</v>
      </c>
      <c r="AO5">
        <f t="shared" si="10"/>
        <v>0</v>
      </c>
      <c r="AP5">
        <f t="shared" si="11"/>
        <v>0</v>
      </c>
      <c r="AQ5">
        <f t="shared" si="12"/>
        <v>0</v>
      </c>
      <c r="AR5">
        <f t="shared" si="13"/>
        <v>0</v>
      </c>
      <c r="AS5">
        <f t="shared" si="14"/>
        <v>1</v>
      </c>
      <c r="AT5">
        <f t="shared" si="15"/>
        <v>1</v>
      </c>
      <c r="AU5">
        <f t="shared" si="16"/>
        <v>0</v>
      </c>
      <c r="AV5">
        <f t="shared" si="17"/>
        <v>0</v>
      </c>
      <c r="AW5">
        <f t="shared" si="18"/>
        <v>0</v>
      </c>
      <c r="AX5">
        <f t="shared" si="19"/>
        <v>0</v>
      </c>
      <c r="AY5">
        <f t="shared" si="20"/>
        <v>0</v>
      </c>
      <c r="AZ5">
        <f t="shared" si="21"/>
        <v>0</v>
      </c>
      <c r="BA5">
        <f t="shared" si="22"/>
        <v>0</v>
      </c>
      <c r="BB5">
        <f t="shared" si="23"/>
        <v>0</v>
      </c>
      <c r="BC5">
        <f t="shared" si="24"/>
        <v>0</v>
      </c>
      <c r="BD5">
        <f t="shared" si="25"/>
        <v>0</v>
      </c>
      <c r="BE5">
        <f t="shared" si="26"/>
        <v>0</v>
      </c>
      <c r="BF5">
        <f t="shared" si="27"/>
        <v>0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201" customFormat="1" ht="14.25" x14ac:dyDescent="0.2">
      <c r="A6" s="10">
        <v>834</v>
      </c>
      <c r="B6" s="11" t="s">
        <v>309</v>
      </c>
      <c r="C6" s="105">
        <v>2644442152</v>
      </c>
      <c r="D6" s="11" t="s">
        <v>222</v>
      </c>
      <c r="E6" s="12">
        <v>9034</v>
      </c>
      <c r="F6" s="202">
        <v>93</v>
      </c>
      <c r="G6" s="11">
        <v>60000</v>
      </c>
      <c r="H6" s="116">
        <v>-4000</v>
      </c>
      <c r="I6" s="192"/>
      <c r="J6" s="204"/>
      <c r="K6" s="193"/>
      <c r="L6" s="193"/>
      <c r="M6" s="193">
        <v>60000</v>
      </c>
      <c r="N6" s="203">
        <f t="shared" si="0"/>
        <v>0</v>
      </c>
      <c r="O6" s="203">
        <f t="shared" si="1"/>
        <v>-4000</v>
      </c>
      <c r="P6" s="203">
        <f t="shared" si="2"/>
        <v>56000</v>
      </c>
      <c r="Q6" s="214">
        <v>46265</v>
      </c>
      <c r="R6" s="219">
        <v>46265</v>
      </c>
      <c r="S6" s="217">
        <v>46234</v>
      </c>
      <c r="T6" s="205"/>
      <c r="U6" s="205"/>
      <c r="V6" s="215" t="s">
        <v>521</v>
      </c>
      <c r="W6" s="212"/>
      <c r="X6" s="10">
        <v>7</v>
      </c>
      <c r="Y6" s="10">
        <v>7</v>
      </c>
      <c r="Z6" s="213">
        <f t="shared" si="3"/>
        <v>0</v>
      </c>
      <c r="AA6" s="62"/>
      <c r="AB6" s="62"/>
      <c r="AC6" s="62"/>
      <c r="AD6" s="62"/>
      <c r="AE6" s="62"/>
      <c r="AF6" s="63"/>
      <c r="AG6" s="64"/>
      <c r="AH6" s="6">
        <v>1</v>
      </c>
      <c r="AI6">
        <f t="shared" si="4"/>
        <v>25</v>
      </c>
      <c r="AJ6">
        <f t="shared" si="5"/>
        <v>25</v>
      </c>
      <c r="AK6">
        <f t="shared" si="6"/>
        <v>0</v>
      </c>
      <c r="AL6">
        <f t="shared" si="7"/>
        <v>0</v>
      </c>
      <c r="AM6">
        <f t="shared" si="8"/>
        <v>0</v>
      </c>
      <c r="AN6">
        <f t="shared" si="9"/>
        <v>0</v>
      </c>
      <c r="AO6">
        <f t="shared" si="10"/>
        <v>0</v>
      </c>
      <c r="AP6">
        <f t="shared" si="11"/>
        <v>0</v>
      </c>
      <c r="AQ6">
        <f t="shared" si="12"/>
        <v>0</v>
      </c>
      <c r="AR6">
        <f t="shared" si="13"/>
        <v>0</v>
      </c>
      <c r="AS6">
        <f t="shared" si="14"/>
        <v>1</v>
      </c>
      <c r="AT6">
        <f t="shared" si="15"/>
        <v>1</v>
      </c>
      <c r="AU6">
        <f t="shared" si="16"/>
        <v>0</v>
      </c>
      <c r="AV6">
        <f t="shared" si="17"/>
        <v>0</v>
      </c>
      <c r="AW6">
        <f t="shared" si="18"/>
        <v>0</v>
      </c>
      <c r="AX6">
        <f t="shared" si="19"/>
        <v>0</v>
      </c>
      <c r="AY6">
        <f t="shared" si="20"/>
        <v>0</v>
      </c>
      <c r="AZ6">
        <f t="shared" si="21"/>
        <v>0</v>
      </c>
      <c r="BA6">
        <f t="shared" si="22"/>
        <v>0</v>
      </c>
      <c r="BB6">
        <f t="shared" si="23"/>
        <v>0</v>
      </c>
      <c r="BC6">
        <f t="shared" si="24"/>
        <v>0</v>
      </c>
      <c r="BD6">
        <f t="shared" si="25"/>
        <v>0</v>
      </c>
      <c r="BE6">
        <f t="shared" si="26"/>
        <v>0</v>
      </c>
      <c r="BF6">
        <f t="shared" si="27"/>
        <v>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201" customFormat="1" ht="14.25" x14ac:dyDescent="0.2">
      <c r="A7" s="10">
        <v>1186</v>
      </c>
      <c r="B7" s="11" t="s">
        <v>310</v>
      </c>
      <c r="C7" s="105" t="s">
        <v>311</v>
      </c>
      <c r="D7" s="11" t="s">
        <v>106</v>
      </c>
      <c r="E7" s="12">
        <v>8984</v>
      </c>
      <c r="F7" s="202">
        <v>84</v>
      </c>
      <c r="G7" s="11">
        <v>80000</v>
      </c>
      <c r="H7" s="116">
        <v>-24000</v>
      </c>
      <c r="I7" s="192"/>
      <c r="J7" s="204"/>
      <c r="K7" s="193"/>
      <c r="L7" s="193"/>
      <c r="M7" s="193">
        <v>80000</v>
      </c>
      <c r="N7" s="203">
        <f t="shared" si="0"/>
        <v>0</v>
      </c>
      <c r="O7" s="203">
        <f t="shared" si="1"/>
        <v>-24000</v>
      </c>
      <c r="P7" s="203">
        <f t="shared" si="2"/>
        <v>56000</v>
      </c>
      <c r="Q7" s="214">
        <v>46237</v>
      </c>
      <c r="R7" s="219">
        <v>46237</v>
      </c>
      <c r="S7" s="217">
        <v>46211</v>
      </c>
      <c r="T7" s="205"/>
      <c r="U7" s="205"/>
      <c r="V7" s="215" t="s">
        <v>521</v>
      </c>
      <c r="W7" s="212"/>
      <c r="X7" s="10">
        <v>7</v>
      </c>
      <c r="Y7" s="10">
        <v>7</v>
      </c>
      <c r="Z7" s="213">
        <f t="shared" si="3"/>
        <v>0</v>
      </c>
      <c r="AA7" s="62"/>
      <c r="AB7" s="62"/>
      <c r="AC7" s="62"/>
      <c r="AD7" s="62"/>
      <c r="AE7" s="62"/>
      <c r="AF7" s="63"/>
      <c r="AG7" s="64"/>
      <c r="AH7" s="6">
        <v>1</v>
      </c>
      <c r="AI7">
        <f t="shared" si="4"/>
        <v>25</v>
      </c>
      <c r="AJ7">
        <f t="shared" si="5"/>
        <v>25</v>
      </c>
      <c r="AK7">
        <f t="shared" si="6"/>
        <v>0</v>
      </c>
      <c r="AL7">
        <f t="shared" si="7"/>
        <v>0</v>
      </c>
      <c r="AM7">
        <f t="shared" si="8"/>
        <v>0</v>
      </c>
      <c r="AN7">
        <f t="shared" si="9"/>
        <v>0</v>
      </c>
      <c r="AO7">
        <f t="shared" si="10"/>
        <v>0</v>
      </c>
      <c r="AP7">
        <f t="shared" si="11"/>
        <v>0</v>
      </c>
      <c r="AQ7">
        <f t="shared" si="12"/>
        <v>0</v>
      </c>
      <c r="AR7">
        <f t="shared" si="13"/>
        <v>0</v>
      </c>
      <c r="AS7">
        <f t="shared" si="14"/>
        <v>1</v>
      </c>
      <c r="AT7">
        <f t="shared" si="15"/>
        <v>1</v>
      </c>
      <c r="AU7">
        <f t="shared" si="16"/>
        <v>0</v>
      </c>
      <c r="AV7">
        <f t="shared" si="17"/>
        <v>0</v>
      </c>
      <c r="AW7">
        <f t="shared" si="18"/>
        <v>0</v>
      </c>
      <c r="AX7">
        <f t="shared" si="19"/>
        <v>0</v>
      </c>
      <c r="AY7">
        <f t="shared" si="20"/>
        <v>0</v>
      </c>
      <c r="AZ7">
        <f t="shared" si="21"/>
        <v>0</v>
      </c>
      <c r="BA7">
        <f t="shared" si="22"/>
        <v>0</v>
      </c>
      <c r="BB7">
        <f t="shared" si="23"/>
        <v>0</v>
      </c>
      <c r="BC7">
        <f t="shared" si="24"/>
        <v>0</v>
      </c>
      <c r="BD7">
        <f t="shared" si="25"/>
        <v>0</v>
      </c>
      <c r="BE7">
        <f t="shared" si="26"/>
        <v>0</v>
      </c>
      <c r="BF7">
        <f t="shared" si="27"/>
        <v>0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s="201" customFormat="1" ht="14.25" x14ac:dyDescent="0.2">
      <c r="A8" s="10">
        <v>1417</v>
      </c>
      <c r="B8" s="11" t="s">
        <v>312</v>
      </c>
      <c r="C8" s="105" t="s">
        <v>311</v>
      </c>
      <c r="D8" s="11" t="s">
        <v>106</v>
      </c>
      <c r="E8" s="12">
        <v>8539</v>
      </c>
      <c r="F8" s="202">
        <v>77</v>
      </c>
      <c r="G8" s="11">
        <v>80000</v>
      </c>
      <c r="H8" s="116">
        <v>-6000</v>
      </c>
      <c r="I8" s="192"/>
      <c r="J8" s="204"/>
      <c r="K8" s="193"/>
      <c r="L8" s="193"/>
      <c r="M8" s="193">
        <v>80000</v>
      </c>
      <c r="N8" s="203">
        <f t="shared" si="0"/>
        <v>0</v>
      </c>
      <c r="O8" s="203">
        <f t="shared" si="1"/>
        <v>-6000</v>
      </c>
      <c r="P8" s="203">
        <f t="shared" si="2"/>
        <v>74000</v>
      </c>
      <c r="Q8" s="214">
        <v>46237</v>
      </c>
      <c r="R8" s="219">
        <v>46237</v>
      </c>
      <c r="S8" s="217">
        <v>46211</v>
      </c>
      <c r="T8" s="205"/>
      <c r="U8" s="205"/>
      <c r="V8" s="215" t="s">
        <v>521</v>
      </c>
      <c r="W8" s="212"/>
      <c r="X8" s="10">
        <v>7</v>
      </c>
      <c r="Y8" s="10">
        <v>7</v>
      </c>
      <c r="Z8" s="213">
        <f t="shared" si="3"/>
        <v>0</v>
      </c>
      <c r="AA8" s="62"/>
      <c r="AB8" s="62"/>
      <c r="AC8" s="62"/>
      <c r="AD8" s="62"/>
      <c r="AE8" s="62"/>
      <c r="AF8" s="63"/>
      <c r="AG8" s="64"/>
      <c r="AH8" s="6">
        <v>1</v>
      </c>
      <c r="AI8">
        <f t="shared" si="4"/>
        <v>25</v>
      </c>
      <c r="AJ8">
        <f t="shared" si="5"/>
        <v>25</v>
      </c>
      <c r="AK8">
        <f t="shared" si="6"/>
        <v>0</v>
      </c>
      <c r="AL8">
        <f t="shared" si="7"/>
        <v>0</v>
      </c>
      <c r="AM8">
        <f t="shared" si="8"/>
        <v>0</v>
      </c>
      <c r="AN8">
        <f t="shared" si="9"/>
        <v>0</v>
      </c>
      <c r="AO8">
        <f t="shared" si="10"/>
        <v>0</v>
      </c>
      <c r="AP8">
        <f t="shared" si="11"/>
        <v>0</v>
      </c>
      <c r="AQ8">
        <f t="shared" si="12"/>
        <v>0</v>
      </c>
      <c r="AR8">
        <f t="shared" si="13"/>
        <v>0</v>
      </c>
      <c r="AS8">
        <f t="shared" si="14"/>
        <v>1</v>
      </c>
      <c r="AT8">
        <f t="shared" si="15"/>
        <v>1</v>
      </c>
      <c r="AU8">
        <f t="shared" si="16"/>
        <v>0</v>
      </c>
      <c r="AV8">
        <f t="shared" si="17"/>
        <v>0</v>
      </c>
      <c r="AW8">
        <f t="shared" si="18"/>
        <v>0</v>
      </c>
      <c r="AX8">
        <f t="shared" si="19"/>
        <v>0</v>
      </c>
      <c r="AY8">
        <f t="shared" si="20"/>
        <v>0</v>
      </c>
      <c r="AZ8">
        <f t="shared" si="21"/>
        <v>0</v>
      </c>
      <c r="BA8">
        <f t="shared" si="22"/>
        <v>0</v>
      </c>
      <c r="BB8">
        <f t="shared" si="23"/>
        <v>0</v>
      </c>
      <c r="BC8">
        <f t="shared" si="24"/>
        <v>0</v>
      </c>
      <c r="BD8">
        <f t="shared" si="25"/>
        <v>0</v>
      </c>
      <c r="BE8">
        <f t="shared" si="26"/>
        <v>0</v>
      </c>
      <c r="BF8">
        <f t="shared" si="27"/>
        <v>0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s="201" customFormat="1" ht="14.25" x14ac:dyDescent="0.2">
      <c r="A9" s="10">
        <v>1457</v>
      </c>
      <c r="B9" s="11" t="s">
        <v>228</v>
      </c>
      <c r="C9" s="105" t="s">
        <v>229</v>
      </c>
      <c r="D9" s="11" t="s">
        <v>218</v>
      </c>
      <c r="E9" s="12">
        <v>8864</v>
      </c>
      <c r="F9" s="202">
        <v>76</v>
      </c>
      <c r="G9" s="11">
        <v>60000</v>
      </c>
      <c r="H9" s="116">
        <v>-15000</v>
      </c>
      <c r="I9" s="192"/>
      <c r="J9" s="204"/>
      <c r="K9" s="193"/>
      <c r="L9" s="193"/>
      <c r="M9" s="193">
        <v>60000</v>
      </c>
      <c r="N9" s="203">
        <f t="shared" si="0"/>
        <v>0</v>
      </c>
      <c r="O9" s="203">
        <f t="shared" si="1"/>
        <v>-15000</v>
      </c>
      <c r="P9" s="203">
        <f t="shared" si="2"/>
        <v>45000</v>
      </c>
      <c r="Q9" s="214">
        <v>46265</v>
      </c>
      <c r="R9" s="219">
        <v>46265</v>
      </c>
      <c r="S9" s="217">
        <v>46234</v>
      </c>
      <c r="T9" s="205"/>
      <c r="U9" s="205"/>
      <c r="V9" s="215" t="s">
        <v>521</v>
      </c>
      <c r="W9" s="212"/>
      <c r="X9" s="10">
        <v>7</v>
      </c>
      <c r="Y9" s="10">
        <v>7</v>
      </c>
      <c r="Z9" s="213">
        <f t="shared" si="3"/>
        <v>0</v>
      </c>
      <c r="AA9" s="62"/>
      <c r="AB9" s="62"/>
      <c r="AC9" s="62"/>
      <c r="AD9" s="62"/>
      <c r="AE9" s="62"/>
      <c r="AF9" s="63"/>
      <c r="AG9" s="64"/>
      <c r="AH9" s="6">
        <v>1</v>
      </c>
      <c r="AI9">
        <f t="shared" si="4"/>
        <v>25</v>
      </c>
      <c r="AJ9">
        <f t="shared" si="5"/>
        <v>25</v>
      </c>
      <c r="AK9">
        <f t="shared" si="6"/>
        <v>0</v>
      </c>
      <c r="AL9">
        <f t="shared" si="7"/>
        <v>0</v>
      </c>
      <c r="AM9">
        <f t="shared" si="8"/>
        <v>0</v>
      </c>
      <c r="AN9">
        <f t="shared" si="9"/>
        <v>0</v>
      </c>
      <c r="AO9">
        <f t="shared" si="10"/>
        <v>0</v>
      </c>
      <c r="AP9">
        <f t="shared" si="11"/>
        <v>0</v>
      </c>
      <c r="AQ9">
        <f t="shared" si="12"/>
        <v>0</v>
      </c>
      <c r="AR9">
        <f t="shared" si="13"/>
        <v>0</v>
      </c>
      <c r="AS9">
        <f t="shared" si="14"/>
        <v>1</v>
      </c>
      <c r="AT9">
        <f t="shared" si="15"/>
        <v>1</v>
      </c>
      <c r="AU9">
        <f t="shared" si="16"/>
        <v>0</v>
      </c>
      <c r="AV9">
        <f t="shared" si="17"/>
        <v>0</v>
      </c>
      <c r="AW9">
        <f t="shared" si="18"/>
        <v>0</v>
      </c>
      <c r="AX9">
        <f t="shared" si="19"/>
        <v>0</v>
      </c>
      <c r="AY9">
        <f t="shared" si="20"/>
        <v>0</v>
      </c>
      <c r="AZ9">
        <f t="shared" si="21"/>
        <v>0</v>
      </c>
      <c r="BA9">
        <f t="shared" si="22"/>
        <v>0</v>
      </c>
      <c r="BB9">
        <f t="shared" si="23"/>
        <v>0</v>
      </c>
      <c r="BC9">
        <f t="shared" si="24"/>
        <v>0</v>
      </c>
      <c r="BD9">
        <f t="shared" si="25"/>
        <v>0</v>
      </c>
      <c r="BE9">
        <f t="shared" si="26"/>
        <v>0</v>
      </c>
      <c r="BF9">
        <f t="shared" si="27"/>
        <v>0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s="201" customFormat="1" ht="14.25" x14ac:dyDescent="0.2">
      <c r="A10" s="10">
        <v>1597</v>
      </c>
      <c r="B10" s="11" t="s">
        <v>313</v>
      </c>
      <c r="C10" s="105" t="s">
        <v>314</v>
      </c>
      <c r="D10" s="11" t="s">
        <v>105</v>
      </c>
      <c r="E10" s="12">
        <v>9625</v>
      </c>
      <c r="F10" s="202">
        <v>73</v>
      </c>
      <c r="G10" s="11">
        <v>60000</v>
      </c>
      <c r="H10" s="116">
        <v>0</v>
      </c>
      <c r="I10" s="192"/>
      <c r="J10" s="204"/>
      <c r="K10" s="193"/>
      <c r="L10" s="193"/>
      <c r="M10" s="193">
        <v>60000</v>
      </c>
      <c r="N10" s="203">
        <f t="shared" si="0"/>
        <v>0</v>
      </c>
      <c r="O10" s="203">
        <f t="shared" si="1"/>
        <v>0</v>
      </c>
      <c r="P10" s="203">
        <f t="shared" si="2"/>
        <v>60000</v>
      </c>
      <c r="Q10" s="214">
        <v>46265</v>
      </c>
      <c r="R10" s="219">
        <v>46265</v>
      </c>
      <c r="S10" s="217">
        <v>46234</v>
      </c>
      <c r="T10" s="205"/>
      <c r="U10" s="205"/>
      <c r="V10" s="215" t="s">
        <v>521</v>
      </c>
      <c r="W10" s="212"/>
      <c r="X10" s="10">
        <v>7</v>
      </c>
      <c r="Y10" s="10">
        <v>7</v>
      </c>
      <c r="Z10" s="213">
        <f t="shared" si="3"/>
        <v>0</v>
      </c>
      <c r="AA10" s="62"/>
      <c r="AB10" s="62"/>
      <c r="AC10" s="62"/>
      <c r="AD10" s="62"/>
      <c r="AE10" s="62"/>
      <c r="AF10" s="63"/>
      <c r="AG10" s="64"/>
      <c r="AH10" s="6">
        <v>1</v>
      </c>
      <c r="AI10">
        <f t="shared" si="4"/>
        <v>25</v>
      </c>
      <c r="AJ10">
        <f t="shared" si="5"/>
        <v>15</v>
      </c>
      <c r="AK10">
        <f t="shared" si="6"/>
        <v>0</v>
      </c>
      <c r="AL10">
        <f t="shared" si="7"/>
        <v>0</v>
      </c>
      <c r="AM10">
        <f t="shared" si="8"/>
        <v>0</v>
      </c>
      <c r="AN10">
        <f t="shared" si="9"/>
        <v>0</v>
      </c>
      <c r="AO10">
        <f t="shared" si="10"/>
        <v>0</v>
      </c>
      <c r="AP10">
        <f t="shared" si="11"/>
        <v>0</v>
      </c>
      <c r="AQ10">
        <f t="shared" si="12"/>
        <v>0</v>
      </c>
      <c r="AR10">
        <f t="shared" si="13"/>
        <v>0</v>
      </c>
      <c r="AS10">
        <f t="shared" si="14"/>
        <v>1</v>
      </c>
      <c r="AT10">
        <f t="shared" si="15"/>
        <v>1</v>
      </c>
      <c r="AU10">
        <f t="shared" si="16"/>
        <v>0</v>
      </c>
      <c r="AV10">
        <f t="shared" si="17"/>
        <v>0</v>
      </c>
      <c r="AW10">
        <f t="shared" si="18"/>
        <v>0</v>
      </c>
      <c r="AX10">
        <f t="shared" si="19"/>
        <v>0</v>
      </c>
      <c r="AY10">
        <f t="shared" si="20"/>
        <v>0</v>
      </c>
      <c r="AZ10">
        <f t="shared" si="21"/>
        <v>0</v>
      </c>
      <c r="BA10">
        <f t="shared" si="22"/>
        <v>0</v>
      </c>
      <c r="BB10">
        <f t="shared" si="23"/>
        <v>0</v>
      </c>
      <c r="BC10">
        <f t="shared" si="24"/>
        <v>0</v>
      </c>
      <c r="BD10">
        <f t="shared" si="25"/>
        <v>0</v>
      </c>
      <c r="BE10">
        <f t="shared" si="26"/>
        <v>0</v>
      </c>
      <c r="BF10">
        <f t="shared" si="27"/>
        <v>0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201" customFormat="1" ht="14.25" x14ac:dyDescent="0.2">
      <c r="A11" s="10">
        <v>1601</v>
      </c>
      <c r="B11" s="11" t="s">
        <v>315</v>
      </c>
      <c r="C11" s="105" t="s">
        <v>316</v>
      </c>
      <c r="D11" s="11" t="s">
        <v>170</v>
      </c>
      <c r="E11" s="12">
        <v>9594</v>
      </c>
      <c r="F11" s="202">
        <v>73</v>
      </c>
      <c r="G11" s="11">
        <v>80000</v>
      </c>
      <c r="H11" s="116">
        <v>0</v>
      </c>
      <c r="I11" s="192"/>
      <c r="J11" s="204"/>
      <c r="K11" s="193"/>
      <c r="L11" s="193"/>
      <c r="M11" s="193">
        <v>80000</v>
      </c>
      <c r="N11" s="203">
        <f t="shared" si="0"/>
        <v>0</v>
      </c>
      <c r="O11" s="203">
        <f t="shared" si="1"/>
        <v>0</v>
      </c>
      <c r="P11" s="203">
        <f t="shared" si="2"/>
        <v>80000</v>
      </c>
      <c r="Q11" s="214">
        <v>46238</v>
      </c>
      <c r="R11" s="219">
        <v>46238</v>
      </c>
      <c r="S11" s="217">
        <v>46209</v>
      </c>
      <c r="T11" s="205"/>
      <c r="U11" s="205"/>
      <c r="V11" s="215" t="s">
        <v>521</v>
      </c>
      <c r="W11" s="212"/>
      <c r="X11" s="10">
        <v>7</v>
      </c>
      <c r="Y11" s="10">
        <v>7</v>
      </c>
      <c r="Z11" s="213">
        <f t="shared" si="3"/>
        <v>0</v>
      </c>
      <c r="AA11" s="62"/>
      <c r="AB11" s="62"/>
      <c r="AC11" s="62"/>
      <c r="AD11" s="62"/>
      <c r="AE11" s="62"/>
      <c r="AF11" s="63"/>
      <c r="AG11" s="64"/>
      <c r="AH11" s="6">
        <v>1</v>
      </c>
      <c r="AI11">
        <f t="shared" si="4"/>
        <v>25</v>
      </c>
      <c r="AJ11">
        <f t="shared" si="5"/>
        <v>15</v>
      </c>
      <c r="AK11">
        <f t="shared" si="6"/>
        <v>0</v>
      </c>
      <c r="AL11">
        <f t="shared" si="7"/>
        <v>0</v>
      </c>
      <c r="AM11">
        <f t="shared" si="8"/>
        <v>0</v>
      </c>
      <c r="AN11">
        <f t="shared" si="9"/>
        <v>0</v>
      </c>
      <c r="AO11">
        <f t="shared" si="10"/>
        <v>0</v>
      </c>
      <c r="AP11">
        <f t="shared" si="11"/>
        <v>0</v>
      </c>
      <c r="AQ11">
        <f t="shared" si="12"/>
        <v>0</v>
      </c>
      <c r="AR11">
        <f t="shared" si="13"/>
        <v>0</v>
      </c>
      <c r="AS11">
        <f t="shared" si="14"/>
        <v>1</v>
      </c>
      <c r="AT11">
        <f t="shared" si="15"/>
        <v>1</v>
      </c>
      <c r="AU11">
        <f t="shared" si="16"/>
        <v>0</v>
      </c>
      <c r="AV11">
        <f t="shared" si="17"/>
        <v>0</v>
      </c>
      <c r="AW11">
        <f t="shared" si="18"/>
        <v>0</v>
      </c>
      <c r="AX11">
        <f t="shared" si="19"/>
        <v>0</v>
      </c>
      <c r="AY11">
        <f t="shared" si="20"/>
        <v>0</v>
      </c>
      <c r="AZ11">
        <f t="shared" si="21"/>
        <v>0</v>
      </c>
      <c r="BA11">
        <f t="shared" si="22"/>
        <v>0</v>
      </c>
      <c r="BB11">
        <f t="shared" si="23"/>
        <v>0</v>
      </c>
      <c r="BC11">
        <f t="shared" si="24"/>
        <v>0</v>
      </c>
      <c r="BD11">
        <f t="shared" si="25"/>
        <v>0</v>
      </c>
      <c r="BE11">
        <f t="shared" si="26"/>
        <v>0</v>
      </c>
      <c r="BF11">
        <f t="shared" si="27"/>
        <v>0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s="201" customFormat="1" ht="14.25" x14ac:dyDescent="0.2">
      <c r="A12" s="10">
        <v>1671</v>
      </c>
      <c r="B12" s="11" t="s">
        <v>219</v>
      </c>
      <c r="C12" s="105">
        <v>2645414691</v>
      </c>
      <c r="D12" s="11" t="s">
        <v>105</v>
      </c>
      <c r="E12" s="12">
        <v>9740</v>
      </c>
      <c r="F12" s="202">
        <v>73</v>
      </c>
      <c r="G12" s="11">
        <v>30000</v>
      </c>
      <c r="H12" s="116">
        <v>-32000</v>
      </c>
      <c r="I12" s="192"/>
      <c r="J12" s="204"/>
      <c r="K12" s="193"/>
      <c r="L12" s="193"/>
      <c r="M12" s="193">
        <v>30000</v>
      </c>
      <c r="N12" s="203">
        <f t="shared" si="0"/>
        <v>0</v>
      </c>
      <c r="O12" s="203">
        <f t="shared" si="1"/>
        <v>-32000</v>
      </c>
      <c r="P12" s="203">
        <f t="shared" si="2"/>
        <v>0</v>
      </c>
      <c r="Q12" s="214">
        <v>46265</v>
      </c>
      <c r="R12" s="219">
        <v>46265</v>
      </c>
      <c r="S12" s="217">
        <v>46234</v>
      </c>
      <c r="T12" s="205"/>
      <c r="U12" s="205"/>
      <c r="V12" s="215" t="s">
        <v>521</v>
      </c>
      <c r="W12" s="212"/>
      <c r="X12" s="10">
        <v>7</v>
      </c>
      <c r="Y12" s="10">
        <v>7</v>
      </c>
      <c r="Z12" s="213">
        <f t="shared" si="3"/>
        <v>0</v>
      </c>
      <c r="AA12" s="62"/>
      <c r="AB12" s="62"/>
      <c r="AC12" s="62"/>
      <c r="AD12" s="62"/>
      <c r="AE12" s="62"/>
      <c r="AF12" s="63"/>
      <c r="AG12" s="64"/>
      <c r="AH12" s="6">
        <v>1</v>
      </c>
      <c r="AI12">
        <f t="shared" si="4"/>
        <v>25</v>
      </c>
      <c r="AJ12">
        <f t="shared" si="5"/>
        <v>25</v>
      </c>
      <c r="AK12">
        <f t="shared" si="6"/>
        <v>0</v>
      </c>
      <c r="AL12">
        <f t="shared" si="7"/>
        <v>0</v>
      </c>
      <c r="AM12">
        <f t="shared" si="8"/>
        <v>0</v>
      </c>
      <c r="AN12">
        <f t="shared" si="9"/>
        <v>0</v>
      </c>
      <c r="AO12">
        <f t="shared" si="10"/>
        <v>0</v>
      </c>
      <c r="AP12">
        <f t="shared" si="11"/>
        <v>0</v>
      </c>
      <c r="AQ12">
        <f t="shared" si="12"/>
        <v>0</v>
      </c>
      <c r="AR12">
        <f t="shared" si="13"/>
        <v>0</v>
      </c>
      <c r="AS12">
        <f t="shared" si="14"/>
        <v>1</v>
      </c>
      <c r="AT12">
        <f t="shared" si="15"/>
        <v>1</v>
      </c>
      <c r="AU12">
        <f t="shared" si="16"/>
        <v>0</v>
      </c>
      <c r="AV12">
        <f t="shared" si="17"/>
        <v>0</v>
      </c>
      <c r="AW12">
        <f t="shared" si="18"/>
        <v>0</v>
      </c>
      <c r="AX12">
        <f t="shared" si="19"/>
        <v>0</v>
      </c>
      <c r="AY12">
        <f t="shared" si="20"/>
        <v>0</v>
      </c>
      <c r="AZ12">
        <f t="shared" si="21"/>
        <v>0</v>
      </c>
      <c r="BA12">
        <f t="shared" si="22"/>
        <v>0</v>
      </c>
      <c r="BB12">
        <f t="shared" si="23"/>
        <v>0</v>
      </c>
      <c r="BC12">
        <f t="shared" si="24"/>
        <v>0</v>
      </c>
      <c r="BD12">
        <f t="shared" si="25"/>
        <v>0</v>
      </c>
      <c r="BE12">
        <f t="shared" si="26"/>
        <v>0</v>
      </c>
      <c r="BF12">
        <f t="shared" si="27"/>
        <v>0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s="201" customFormat="1" ht="14.25" x14ac:dyDescent="0.2">
      <c r="A13" s="10">
        <v>1791</v>
      </c>
      <c r="B13" s="11" t="s">
        <v>317</v>
      </c>
      <c r="C13" s="105" t="s">
        <v>318</v>
      </c>
      <c r="D13" s="11" t="s">
        <v>154</v>
      </c>
      <c r="E13" s="12">
        <v>9908</v>
      </c>
      <c r="F13" s="202">
        <v>71</v>
      </c>
      <c r="G13" s="11">
        <v>60000</v>
      </c>
      <c r="H13" s="116">
        <v>-15000</v>
      </c>
      <c r="I13" s="192"/>
      <c r="J13" s="204"/>
      <c r="K13" s="193"/>
      <c r="L13" s="193"/>
      <c r="M13" s="193">
        <v>60000</v>
      </c>
      <c r="N13" s="203">
        <f t="shared" si="0"/>
        <v>0</v>
      </c>
      <c r="O13" s="203">
        <f t="shared" si="1"/>
        <v>-15000</v>
      </c>
      <c r="P13" s="203">
        <f t="shared" si="2"/>
        <v>45000</v>
      </c>
      <c r="Q13" s="214">
        <v>46259</v>
      </c>
      <c r="R13" s="219">
        <v>46252</v>
      </c>
      <c r="S13" s="217">
        <v>46223</v>
      </c>
      <c r="T13" s="205"/>
      <c r="U13" s="205"/>
      <c r="V13" s="215" t="s">
        <v>526</v>
      </c>
      <c r="W13" s="212"/>
      <c r="X13" s="10">
        <v>7</v>
      </c>
      <c r="Y13" s="10">
        <v>7</v>
      </c>
      <c r="Z13" s="213">
        <f t="shared" si="3"/>
        <v>0</v>
      </c>
      <c r="AA13" s="62"/>
      <c r="AB13" s="62"/>
      <c r="AC13" s="62"/>
      <c r="AD13" s="62"/>
      <c r="AE13" s="62"/>
      <c r="AF13" s="63"/>
      <c r="AG13" s="64"/>
      <c r="AH13" s="6">
        <v>1</v>
      </c>
      <c r="AI13">
        <f t="shared" si="4"/>
        <v>25</v>
      </c>
      <c r="AJ13">
        <f t="shared" si="5"/>
        <v>25</v>
      </c>
      <c r="AK13">
        <f t="shared" si="6"/>
        <v>0</v>
      </c>
      <c r="AL13">
        <f t="shared" si="7"/>
        <v>0</v>
      </c>
      <c r="AM13">
        <f t="shared" si="8"/>
        <v>0</v>
      </c>
      <c r="AN13">
        <f t="shared" si="9"/>
        <v>0</v>
      </c>
      <c r="AO13">
        <f t="shared" si="10"/>
        <v>0</v>
      </c>
      <c r="AP13">
        <f t="shared" si="11"/>
        <v>0</v>
      </c>
      <c r="AQ13">
        <f t="shared" si="12"/>
        <v>0</v>
      </c>
      <c r="AR13">
        <f t="shared" si="13"/>
        <v>0</v>
      </c>
      <c r="AS13">
        <f t="shared" si="14"/>
        <v>1</v>
      </c>
      <c r="AT13">
        <f t="shared" si="15"/>
        <v>1</v>
      </c>
      <c r="AU13">
        <f t="shared" si="16"/>
        <v>0</v>
      </c>
      <c r="AV13">
        <f t="shared" si="17"/>
        <v>0</v>
      </c>
      <c r="AW13">
        <f t="shared" si="18"/>
        <v>0</v>
      </c>
      <c r="AX13">
        <f t="shared" si="19"/>
        <v>0</v>
      </c>
      <c r="AY13">
        <f t="shared" si="20"/>
        <v>0</v>
      </c>
      <c r="AZ13">
        <f t="shared" si="21"/>
        <v>0</v>
      </c>
      <c r="BA13">
        <f t="shared" si="22"/>
        <v>0</v>
      </c>
      <c r="BB13">
        <f t="shared" si="23"/>
        <v>0</v>
      </c>
      <c r="BC13">
        <f t="shared" si="24"/>
        <v>0</v>
      </c>
      <c r="BD13">
        <f t="shared" si="25"/>
        <v>0</v>
      </c>
      <c r="BE13">
        <f t="shared" si="26"/>
        <v>0</v>
      </c>
      <c r="BF13">
        <f t="shared" si="27"/>
        <v>0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s="201" customFormat="1" ht="14.25" x14ac:dyDescent="0.2">
      <c r="A14" s="10">
        <v>1829</v>
      </c>
      <c r="B14" s="11" t="s">
        <v>230</v>
      </c>
      <c r="C14" s="105">
        <v>2644112914</v>
      </c>
      <c r="D14" s="11" t="s">
        <v>222</v>
      </c>
      <c r="E14" s="12">
        <v>9936</v>
      </c>
      <c r="F14" s="202">
        <v>70</v>
      </c>
      <c r="G14" s="11">
        <v>300000</v>
      </c>
      <c r="H14" s="116">
        <v>-5000</v>
      </c>
      <c r="I14" s="192"/>
      <c r="J14" s="204"/>
      <c r="K14" s="193"/>
      <c r="L14" s="193"/>
      <c r="M14" s="193">
        <v>300000</v>
      </c>
      <c r="N14" s="203">
        <f t="shared" si="0"/>
        <v>0</v>
      </c>
      <c r="O14" s="203">
        <f t="shared" si="1"/>
        <v>-5000</v>
      </c>
      <c r="P14" s="203">
        <f t="shared" si="2"/>
        <v>295000</v>
      </c>
      <c r="Q14" s="214">
        <v>46255</v>
      </c>
      <c r="R14" s="219">
        <v>46255</v>
      </c>
      <c r="S14" s="217">
        <v>46234</v>
      </c>
      <c r="T14" s="205"/>
      <c r="U14" s="205"/>
      <c r="V14" s="215" t="s">
        <v>521</v>
      </c>
      <c r="W14" s="212"/>
      <c r="X14" s="10">
        <v>7</v>
      </c>
      <c r="Y14" s="10">
        <v>7</v>
      </c>
      <c r="Z14" s="213">
        <f t="shared" si="3"/>
        <v>0</v>
      </c>
      <c r="AA14" s="62"/>
      <c r="AB14" s="62"/>
      <c r="AC14" s="62"/>
      <c r="AD14" s="62"/>
      <c r="AE14" s="62"/>
      <c r="AF14" s="63"/>
      <c r="AG14" s="64"/>
      <c r="AH14" s="6">
        <v>1</v>
      </c>
      <c r="AI14">
        <f t="shared" si="4"/>
        <v>25</v>
      </c>
      <c r="AJ14">
        <f t="shared" si="5"/>
        <v>25</v>
      </c>
      <c r="AK14">
        <f t="shared" si="6"/>
        <v>0</v>
      </c>
      <c r="AL14">
        <f t="shared" si="7"/>
        <v>0</v>
      </c>
      <c r="AM14">
        <f t="shared" si="8"/>
        <v>0</v>
      </c>
      <c r="AN14">
        <f t="shared" si="9"/>
        <v>0</v>
      </c>
      <c r="AO14">
        <f t="shared" si="10"/>
        <v>0</v>
      </c>
      <c r="AP14">
        <f t="shared" si="11"/>
        <v>0</v>
      </c>
      <c r="AQ14">
        <f t="shared" si="12"/>
        <v>0</v>
      </c>
      <c r="AR14">
        <f t="shared" si="13"/>
        <v>0</v>
      </c>
      <c r="AS14">
        <f t="shared" si="14"/>
        <v>1</v>
      </c>
      <c r="AT14">
        <f t="shared" si="15"/>
        <v>1</v>
      </c>
      <c r="AU14">
        <f t="shared" si="16"/>
        <v>0</v>
      </c>
      <c r="AV14">
        <f t="shared" si="17"/>
        <v>0</v>
      </c>
      <c r="AW14">
        <f t="shared" si="18"/>
        <v>0</v>
      </c>
      <c r="AX14">
        <f t="shared" si="19"/>
        <v>0</v>
      </c>
      <c r="AY14">
        <f t="shared" si="20"/>
        <v>0</v>
      </c>
      <c r="AZ14">
        <f t="shared" si="21"/>
        <v>0</v>
      </c>
      <c r="BA14">
        <f t="shared" si="22"/>
        <v>0</v>
      </c>
      <c r="BB14">
        <f t="shared" si="23"/>
        <v>0</v>
      </c>
      <c r="BC14">
        <f t="shared" si="24"/>
        <v>0</v>
      </c>
      <c r="BD14">
        <f t="shared" si="25"/>
        <v>0</v>
      </c>
      <c r="BE14">
        <f t="shared" si="26"/>
        <v>0</v>
      </c>
      <c r="BF14">
        <f t="shared" si="27"/>
        <v>0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s="201" customFormat="1" ht="14.25" x14ac:dyDescent="0.2">
      <c r="A15" s="10">
        <v>1870</v>
      </c>
      <c r="B15" s="11" t="s">
        <v>240</v>
      </c>
      <c r="C15" s="105" t="s">
        <v>241</v>
      </c>
      <c r="D15" s="11" t="s">
        <v>106</v>
      </c>
      <c r="E15" s="12">
        <v>9889</v>
      </c>
      <c r="F15" s="202">
        <v>69</v>
      </c>
      <c r="G15" s="11">
        <v>40000</v>
      </c>
      <c r="H15" s="116">
        <v>0</v>
      </c>
      <c r="I15" s="192">
        <v>40000</v>
      </c>
      <c r="J15" s="204"/>
      <c r="K15" s="193"/>
      <c r="L15" s="193"/>
      <c r="M15" s="193"/>
      <c r="N15" s="203">
        <f t="shared" si="0"/>
        <v>0</v>
      </c>
      <c r="O15" s="203">
        <f t="shared" si="1"/>
        <v>0</v>
      </c>
      <c r="P15" s="203">
        <f t="shared" si="2"/>
        <v>40000</v>
      </c>
      <c r="Q15" s="214">
        <v>46245</v>
      </c>
      <c r="R15" s="219">
        <v>46245</v>
      </c>
      <c r="S15" s="217">
        <v>46225</v>
      </c>
      <c r="T15" s="205"/>
      <c r="U15" s="205"/>
      <c r="V15" s="215" t="s">
        <v>525</v>
      </c>
      <c r="W15" s="212"/>
      <c r="X15" s="10">
        <v>7</v>
      </c>
      <c r="Y15" s="10">
        <v>7</v>
      </c>
      <c r="Z15" s="213">
        <f t="shared" si="3"/>
        <v>0</v>
      </c>
      <c r="AA15" s="62"/>
      <c r="AB15" s="62"/>
      <c r="AC15" s="62"/>
      <c r="AD15" s="62"/>
      <c r="AE15" s="62"/>
      <c r="AF15" s="63"/>
      <c r="AG15" s="64"/>
      <c r="AH15" s="6">
        <v>1</v>
      </c>
      <c r="AI15">
        <f t="shared" si="4"/>
        <v>25</v>
      </c>
      <c r="AJ15">
        <f t="shared" si="5"/>
        <v>15</v>
      </c>
      <c r="AK15">
        <f t="shared" si="6"/>
        <v>0</v>
      </c>
      <c r="AL15">
        <f t="shared" si="7"/>
        <v>0</v>
      </c>
      <c r="AM15">
        <f t="shared" si="8"/>
        <v>0</v>
      </c>
      <c r="AN15">
        <f t="shared" si="9"/>
        <v>0</v>
      </c>
      <c r="AO15">
        <f t="shared" si="10"/>
        <v>0</v>
      </c>
      <c r="AP15">
        <f t="shared" si="11"/>
        <v>0</v>
      </c>
      <c r="AQ15">
        <f t="shared" si="12"/>
        <v>0</v>
      </c>
      <c r="AR15">
        <f t="shared" si="13"/>
        <v>0</v>
      </c>
      <c r="AS15">
        <f t="shared" si="14"/>
        <v>1</v>
      </c>
      <c r="AT15">
        <f t="shared" si="15"/>
        <v>1</v>
      </c>
      <c r="AU15">
        <f t="shared" si="16"/>
        <v>0</v>
      </c>
      <c r="AV15">
        <f t="shared" si="17"/>
        <v>0</v>
      </c>
      <c r="AW15">
        <f t="shared" si="18"/>
        <v>0</v>
      </c>
      <c r="AX15">
        <f t="shared" si="19"/>
        <v>0</v>
      </c>
      <c r="AY15">
        <f t="shared" si="20"/>
        <v>0</v>
      </c>
      <c r="AZ15">
        <f t="shared" si="21"/>
        <v>0</v>
      </c>
      <c r="BA15">
        <f t="shared" si="22"/>
        <v>0</v>
      </c>
      <c r="BB15">
        <f t="shared" si="23"/>
        <v>0</v>
      </c>
      <c r="BC15">
        <f t="shared" si="24"/>
        <v>0</v>
      </c>
      <c r="BD15">
        <f t="shared" si="25"/>
        <v>0</v>
      </c>
      <c r="BE15">
        <f t="shared" si="26"/>
        <v>0</v>
      </c>
      <c r="BF15">
        <f t="shared" si="27"/>
        <v>0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01" customFormat="1" ht="14.25" x14ac:dyDescent="0.2">
      <c r="A16" s="10">
        <v>1871</v>
      </c>
      <c r="B16" s="11" t="s">
        <v>220</v>
      </c>
      <c r="C16" s="105" t="s">
        <v>221</v>
      </c>
      <c r="D16" s="11" t="s">
        <v>218</v>
      </c>
      <c r="E16" s="12">
        <v>9891</v>
      </c>
      <c r="F16" s="202">
        <v>69</v>
      </c>
      <c r="G16" s="11">
        <v>35000</v>
      </c>
      <c r="H16" s="116">
        <v>0</v>
      </c>
      <c r="I16" s="192"/>
      <c r="J16" s="204"/>
      <c r="K16" s="193"/>
      <c r="L16" s="193"/>
      <c r="M16" s="193">
        <v>35000</v>
      </c>
      <c r="N16" s="203">
        <f t="shared" si="0"/>
        <v>0</v>
      </c>
      <c r="O16" s="203">
        <f t="shared" si="1"/>
        <v>0</v>
      </c>
      <c r="P16" s="203">
        <f t="shared" si="2"/>
        <v>35000</v>
      </c>
      <c r="Q16" s="214">
        <v>46265</v>
      </c>
      <c r="R16" s="219">
        <v>46265</v>
      </c>
      <c r="S16" s="217">
        <v>46234</v>
      </c>
      <c r="T16" s="205"/>
      <c r="U16" s="205"/>
      <c r="V16" s="215" t="s">
        <v>521</v>
      </c>
      <c r="W16" s="212"/>
      <c r="X16" s="10">
        <v>7</v>
      </c>
      <c r="Y16" s="10">
        <v>7</v>
      </c>
      <c r="Z16" s="213">
        <f t="shared" si="3"/>
        <v>0</v>
      </c>
      <c r="AA16" s="62"/>
      <c r="AB16" s="62"/>
      <c r="AC16" s="62"/>
      <c r="AD16" s="62"/>
      <c r="AE16" s="62"/>
      <c r="AF16" s="63"/>
      <c r="AG16" s="64"/>
      <c r="AH16" s="6">
        <v>1</v>
      </c>
      <c r="AI16">
        <f t="shared" si="4"/>
        <v>25</v>
      </c>
      <c r="AJ16">
        <f t="shared" si="5"/>
        <v>15</v>
      </c>
      <c r="AK16">
        <f t="shared" si="6"/>
        <v>0</v>
      </c>
      <c r="AL16">
        <f t="shared" si="7"/>
        <v>0</v>
      </c>
      <c r="AM16">
        <f t="shared" si="8"/>
        <v>0</v>
      </c>
      <c r="AN16">
        <f t="shared" si="9"/>
        <v>0</v>
      </c>
      <c r="AO16">
        <f t="shared" si="10"/>
        <v>0</v>
      </c>
      <c r="AP16">
        <f t="shared" si="11"/>
        <v>0</v>
      </c>
      <c r="AQ16">
        <f t="shared" si="12"/>
        <v>0</v>
      </c>
      <c r="AR16">
        <f t="shared" si="13"/>
        <v>0</v>
      </c>
      <c r="AS16">
        <f t="shared" si="14"/>
        <v>1</v>
      </c>
      <c r="AT16">
        <f t="shared" si="15"/>
        <v>1</v>
      </c>
      <c r="AU16">
        <f t="shared" si="16"/>
        <v>0</v>
      </c>
      <c r="AV16">
        <f t="shared" si="17"/>
        <v>0</v>
      </c>
      <c r="AW16">
        <f t="shared" si="18"/>
        <v>0</v>
      </c>
      <c r="AX16">
        <f t="shared" si="19"/>
        <v>0</v>
      </c>
      <c r="AY16">
        <f t="shared" si="20"/>
        <v>0</v>
      </c>
      <c r="AZ16">
        <f t="shared" si="21"/>
        <v>0</v>
      </c>
      <c r="BA16">
        <f t="shared" si="22"/>
        <v>0</v>
      </c>
      <c r="BB16">
        <f t="shared" si="23"/>
        <v>0</v>
      </c>
      <c r="BC16">
        <f t="shared" si="24"/>
        <v>0</v>
      </c>
      <c r="BD16">
        <f t="shared" si="25"/>
        <v>0</v>
      </c>
      <c r="BE16">
        <f t="shared" si="26"/>
        <v>0</v>
      </c>
      <c r="BF16">
        <f t="shared" si="27"/>
        <v>0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s="201" customFormat="1" ht="14.25" x14ac:dyDescent="0.2">
      <c r="A17" s="10">
        <v>1900</v>
      </c>
      <c r="B17" s="11" t="s">
        <v>319</v>
      </c>
      <c r="C17" s="105" t="s">
        <v>320</v>
      </c>
      <c r="D17" s="11" t="s">
        <v>154</v>
      </c>
      <c r="E17" s="12">
        <v>10012</v>
      </c>
      <c r="F17" s="202">
        <v>69</v>
      </c>
      <c r="G17" s="11">
        <v>60000</v>
      </c>
      <c r="H17" s="116">
        <v>-60000</v>
      </c>
      <c r="I17" s="192"/>
      <c r="J17" s="204"/>
      <c r="K17" s="193"/>
      <c r="L17" s="193"/>
      <c r="M17" s="193">
        <v>60000</v>
      </c>
      <c r="N17" s="203">
        <f t="shared" si="0"/>
        <v>0</v>
      </c>
      <c r="O17" s="203">
        <f t="shared" si="1"/>
        <v>-60000</v>
      </c>
      <c r="P17" s="203">
        <f t="shared" si="2"/>
        <v>0</v>
      </c>
      <c r="Q17" s="214">
        <v>46265</v>
      </c>
      <c r="R17" s="219">
        <v>46265</v>
      </c>
      <c r="S17" s="217">
        <v>46234</v>
      </c>
      <c r="T17" s="205"/>
      <c r="U17" s="205"/>
      <c r="V17" s="215" t="s">
        <v>521</v>
      </c>
      <c r="W17" s="212"/>
      <c r="X17" s="10">
        <v>7</v>
      </c>
      <c r="Y17" s="10">
        <v>7</v>
      </c>
      <c r="Z17" s="213">
        <f t="shared" si="3"/>
        <v>0</v>
      </c>
      <c r="AA17" s="62"/>
      <c r="AB17" s="62"/>
      <c r="AC17" s="62"/>
      <c r="AD17" s="62"/>
      <c r="AE17" s="62"/>
      <c r="AF17" s="63"/>
      <c r="AG17" s="64"/>
      <c r="AH17" s="6">
        <v>1</v>
      </c>
      <c r="AI17">
        <f t="shared" si="4"/>
        <v>25</v>
      </c>
      <c r="AJ17">
        <f t="shared" si="5"/>
        <v>25</v>
      </c>
      <c r="AK17">
        <f t="shared" si="6"/>
        <v>0</v>
      </c>
      <c r="AL17">
        <f t="shared" si="7"/>
        <v>0</v>
      </c>
      <c r="AM17">
        <f t="shared" si="8"/>
        <v>0</v>
      </c>
      <c r="AN17">
        <f t="shared" si="9"/>
        <v>0</v>
      </c>
      <c r="AO17">
        <f t="shared" si="10"/>
        <v>0</v>
      </c>
      <c r="AP17">
        <f t="shared" si="11"/>
        <v>0</v>
      </c>
      <c r="AQ17">
        <f t="shared" si="12"/>
        <v>0</v>
      </c>
      <c r="AR17">
        <f t="shared" si="13"/>
        <v>0</v>
      </c>
      <c r="AS17">
        <f t="shared" si="14"/>
        <v>1</v>
      </c>
      <c r="AT17">
        <f t="shared" si="15"/>
        <v>1</v>
      </c>
      <c r="AU17">
        <f t="shared" si="16"/>
        <v>0</v>
      </c>
      <c r="AV17">
        <f t="shared" si="17"/>
        <v>0</v>
      </c>
      <c r="AW17">
        <f t="shared" si="18"/>
        <v>0</v>
      </c>
      <c r="AX17">
        <f t="shared" si="19"/>
        <v>0</v>
      </c>
      <c r="AY17">
        <f t="shared" si="20"/>
        <v>0</v>
      </c>
      <c r="AZ17">
        <f t="shared" si="21"/>
        <v>0</v>
      </c>
      <c r="BA17">
        <f t="shared" si="22"/>
        <v>0</v>
      </c>
      <c r="BB17">
        <f t="shared" si="23"/>
        <v>0</v>
      </c>
      <c r="BC17">
        <f t="shared" si="24"/>
        <v>0</v>
      </c>
      <c r="BD17">
        <f t="shared" si="25"/>
        <v>0</v>
      </c>
      <c r="BE17">
        <f t="shared" si="26"/>
        <v>0</v>
      </c>
      <c r="BF17">
        <f t="shared" si="27"/>
        <v>0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201" customFormat="1" ht="14.25" x14ac:dyDescent="0.2">
      <c r="A18" s="10">
        <v>1954</v>
      </c>
      <c r="B18" s="11" t="s">
        <v>185</v>
      </c>
      <c r="C18" s="105" t="s">
        <v>186</v>
      </c>
      <c r="D18" s="11" t="s">
        <v>187</v>
      </c>
      <c r="E18" s="12">
        <v>10045</v>
      </c>
      <c r="F18" s="202">
        <v>67</v>
      </c>
      <c r="G18" s="11">
        <v>50000</v>
      </c>
      <c r="H18" s="116">
        <v>-30000</v>
      </c>
      <c r="I18" s="192"/>
      <c r="J18" s="204"/>
      <c r="K18" s="193"/>
      <c r="L18" s="193"/>
      <c r="M18" s="193">
        <v>50000</v>
      </c>
      <c r="N18" s="203">
        <f t="shared" si="0"/>
        <v>0</v>
      </c>
      <c r="O18" s="203">
        <f t="shared" si="1"/>
        <v>-30000</v>
      </c>
      <c r="P18" s="203">
        <f t="shared" si="2"/>
        <v>20000</v>
      </c>
      <c r="Q18" s="214">
        <v>46237</v>
      </c>
      <c r="R18" s="219">
        <v>46237</v>
      </c>
      <c r="S18" s="217">
        <v>46204</v>
      </c>
      <c r="T18" s="205"/>
      <c r="U18" s="205"/>
      <c r="V18" s="215" t="s">
        <v>521</v>
      </c>
      <c r="W18" s="212"/>
      <c r="X18" s="10">
        <v>7</v>
      </c>
      <c r="Y18" s="10">
        <v>7</v>
      </c>
      <c r="Z18" s="213">
        <f t="shared" si="3"/>
        <v>0</v>
      </c>
      <c r="AA18" s="62"/>
      <c r="AB18" s="62"/>
      <c r="AC18" s="62"/>
      <c r="AD18" s="62"/>
      <c r="AE18" s="62"/>
      <c r="AF18" s="63"/>
      <c r="AG18" s="64"/>
      <c r="AH18" s="6">
        <v>1</v>
      </c>
      <c r="AI18">
        <f t="shared" si="4"/>
        <v>25</v>
      </c>
      <c r="AJ18">
        <f t="shared" si="5"/>
        <v>25</v>
      </c>
      <c r="AK18">
        <f t="shared" si="6"/>
        <v>0</v>
      </c>
      <c r="AL18">
        <f t="shared" si="7"/>
        <v>0</v>
      </c>
      <c r="AM18">
        <f t="shared" si="8"/>
        <v>0</v>
      </c>
      <c r="AN18">
        <f t="shared" si="9"/>
        <v>0</v>
      </c>
      <c r="AO18">
        <f t="shared" si="10"/>
        <v>0</v>
      </c>
      <c r="AP18">
        <f t="shared" si="11"/>
        <v>0</v>
      </c>
      <c r="AQ18">
        <f t="shared" si="12"/>
        <v>0</v>
      </c>
      <c r="AR18">
        <f t="shared" si="13"/>
        <v>0</v>
      </c>
      <c r="AS18">
        <f t="shared" si="14"/>
        <v>1</v>
      </c>
      <c r="AT18">
        <f t="shared" si="15"/>
        <v>1</v>
      </c>
      <c r="AU18">
        <f t="shared" si="16"/>
        <v>0</v>
      </c>
      <c r="AV18">
        <f t="shared" si="17"/>
        <v>0</v>
      </c>
      <c r="AW18">
        <f t="shared" si="18"/>
        <v>0</v>
      </c>
      <c r="AX18">
        <f t="shared" si="19"/>
        <v>0</v>
      </c>
      <c r="AY18">
        <f t="shared" si="20"/>
        <v>0</v>
      </c>
      <c r="AZ18">
        <f t="shared" si="21"/>
        <v>0</v>
      </c>
      <c r="BA18">
        <f t="shared" si="22"/>
        <v>0</v>
      </c>
      <c r="BB18">
        <f t="shared" si="23"/>
        <v>0</v>
      </c>
      <c r="BC18">
        <f t="shared" si="24"/>
        <v>0</v>
      </c>
      <c r="BD18">
        <f t="shared" si="25"/>
        <v>0</v>
      </c>
      <c r="BE18">
        <f t="shared" si="26"/>
        <v>0</v>
      </c>
      <c r="BF18">
        <f t="shared" si="27"/>
        <v>0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s="201" customFormat="1" ht="14.25" x14ac:dyDescent="0.2">
      <c r="A19" s="10">
        <v>1999</v>
      </c>
      <c r="B19" s="11" t="s">
        <v>321</v>
      </c>
      <c r="C19" s="105" t="s">
        <v>322</v>
      </c>
      <c r="D19" s="11" t="s">
        <v>106</v>
      </c>
      <c r="E19" s="12">
        <v>10192</v>
      </c>
      <c r="F19" s="202">
        <v>66</v>
      </c>
      <c r="G19" s="11">
        <v>60000</v>
      </c>
      <c r="H19" s="116">
        <v>-75000</v>
      </c>
      <c r="I19" s="192"/>
      <c r="J19" s="204"/>
      <c r="K19" s="193"/>
      <c r="L19" s="193"/>
      <c r="M19" s="193">
        <v>120000</v>
      </c>
      <c r="N19" s="203">
        <f t="shared" si="0"/>
        <v>-60000</v>
      </c>
      <c r="O19" s="203">
        <f t="shared" si="1"/>
        <v>-135000</v>
      </c>
      <c r="P19" s="203">
        <f t="shared" si="2"/>
        <v>0</v>
      </c>
      <c r="Q19" s="214">
        <v>46265</v>
      </c>
      <c r="R19" s="219">
        <v>46244</v>
      </c>
      <c r="S19" s="217">
        <v>46213</v>
      </c>
      <c r="T19" s="205"/>
      <c r="U19" s="205"/>
      <c r="V19" s="215" t="s">
        <v>521</v>
      </c>
      <c r="W19" s="212" t="s">
        <v>534</v>
      </c>
      <c r="X19" s="10">
        <v>7</v>
      </c>
      <c r="Y19" s="10">
        <v>7</v>
      </c>
      <c r="Z19" s="213">
        <f t="shared" si="3"/>
        <v>0</v>
      </c>
      <c r="AA19" s="62"/>
      <c r="AB19" s="62"/>
      <c r="AC19" s="62"/>
      <c r="AD19" s="62"/>
      <c r="AE19" s="62"/>
      <c r="AF19" s="63"/>
      <c r="AG19" s="64"/>
      <c r="AH19" s="6">
        <v>1</v>
      </c>
      <c r="AI19">
        <f t="shared" si="4"/>
        <v>25</v>
      </c>
      <c r="AJ19">
        <f t="shared" si="5"/>
        <v>25</v>
      </c>
      <c r="AK19">
        <f t="shared" si="6"/>
        <v>0</v>
      </c>
      <c r="AL19">
        <f t="shared" si="7"/>
        <v>0</v>
      </c>
      <c r="AM19">
        <f t="shared" si="8"/>
        <v>0</v>
      </c>
      <c r="AN19">
        <f t="shared" si="9"/>
        <v>0</v>
      </c>
      <c r="AO19">
        <f t="shared" si="10"/>
        <v>0</v>
      </c>
      <c r="AP19">
        <f t="shared" si="11"/>
        <v>0</v>
      </c>
      <c r="AQ19">
        <f t="shared" si="12"/>
        <v>0</v>
      </c>
      <c r="AR19">
        <f t="shared" si="13"/>
        <v>0</v>
      </c>
      <c r="AS19">
        <f t="shared" si="14"/>
        <v>1</v>
      </c>
      <c r="AT19">
        <f t="shared" si="15"/>
        <v>1</v>
      </c>
      <c r="AU19">
        <f t="shared" si="16"/>
        <v>0</v>
      </c>
      <c r="AV19">
        <f t="shared" si="17"/>
        <v>0</v>
      </c>
      <c r="AW19">
        <f t="shared" si="18"/>
        <v>0</v>
      </c>
      <c r="AX19">
        <f t="shared" si="19"/>
        <v>0</v>
      </c>
      <c r="AY19">
        <f t="shared" si="20"/>
        <v>0</v>
      </c>
      <c r="AZ19">
        <f t="shared" si="21"/>
        <v>0</v>
      </c>
      <c r="BA19">
        <f t="shared" si="22"/>
        <v>0</v>
      </c>
      <c r="BB19">
        <f t="shared" si="23"/>
        <v>0</v>
      </c>
      <c r="BC19">
        <f t="shared" si="24"/>
        <v>0</v>
      </c>
      <c r="BD19">
        <f t="shared" si="25"/>
        <v>0</v>
      </c>
      <c r="BE19">
        <f t="shared" si="26"/>
        <v>0</v>
      </c>
      <c r="BF19">
        <f t="shared" si="27"/>
        <v>0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s="201" customFormat="1" ht="14.25" x14ac:dyDescent="0.2">
      <c r="A20" s="10">
        <v>2010</v>
      </c>
      <c r="B20" s="11" t="s">
        <v>211</v>
      </c>
      <c r="C20" s="105" t="s">
        <v>212</v>
      </c>
      <c r="D20" s="11" t="s">
        <v>170</v>
      </c>
      <c r="E20" s="12">
        <v>10206</v>
      </c>
      <c r="F20" s="202">
        <v>66</v>
      </c>
      <c r="G20" s="11">
        <v>30000</v>
      </c>
      <c r="H20" s="116">
        <v>-28000</v>
      </c>
      <c r="I20" s="192"/>
      <c r="J20" s="204"/>
      <c r="K20" s="193"/>
      <c r="L20" s="193"/>
      <c r="M20" s="193">
        <v>30000</v>
      </c>
      <c r="N20" s="203">
        <f t="shared" si="0"/>
        <v>0</v>
      </c>
      <c r="O20" s="203">
        <f t="shared" si="1"/>
        <v>-28000</v>
      </c>
      <c r="P20" s="203">
        <f t="shared" si="2"/>
        <v>2000</v>
      </c>
      <c r="Q20" s="214">
        <v>46265</v>
      </c>
      <c r="R20" s="219">
        <v>46265</v>
      </c>
      <c r="S20" s="217">
        <v>46234</v>
      </c>
      <c r="T20" s="205"/>
      <c r="U20" s="205"/>
      <c r="V20" s="215" t="s">
        <v>521</v>
      </c>
      <c r="W20" s="212"/>
      <c r="X20" s="10">
        <v>7</v>
      </c>
      <c r="Y20" s="10">
        <v>7</v>
      </c>
      <c r="Z20" s="213">
        <f t="shared" si="3"/>
        <v>0</v>
      </c>
      <c r="AA20" s="62"/>
      <c r="AB20" s="62"/>
      <c r="AC20" s="62"/>
      <c r="AD20" s="62"/>
      <c r="AE20" s="62"/>
      <c r="AF20" s="63"/>
      <c r="AG20" s="64"/>
      <c r="AH20" s="6">
        <v>1</v>
      </c>
      <c r="AI20">
        <f t="shared" si="4"/>
        <v>25</v>
      </c>
      <c r="AJ20">
        <f t="shared" si="5"/>
        <v>25</v>
      </c>
      <c r="AK20">
        <f t="shared" si="6"/>
        <v>0</v>
      </c>
      <c r="AL20">
        <f t="shared" si="7"/>
        <v>0</v>
      </c>
      <c r="AM20">
        <f t="shared" si="8"/>
        <v>0</v>
      </c>
      <c r="AN20">
        <f t="shared" si="9"/>
        <v>0</v>
      </c>
      <c r="AO20">
        <f t="shared" si="10"/>
        <v>0</v>
      </c>
      <c r="AP20">
        <f t="shared" si="11"/>
        <v>0</v>
      </c>
      <c r="AQ20">
        <f t="shared" si="12"/>
        <v>0</v>
      </c>
      <c r="AR20">
        <f t="shared" si="13"/>
        <v>0</v>
      </c>
      <c r="AS20">
        <f t="shared" si="14"/>
        <v>1</v>
      </c>
      <c r="AT20">
        <f t="shared" si="15"/>
        <v>1</v>
      </c>
      <c r="AU20">
        <f t="shared" si="16"/>
        <v>0</v>
      </c>
      <c r="AV20">
        <f t="shared" si="17"/>
        <v>0</v>
      </c>
      <c r="AW20">
        <f t="shared" si="18"/>
        <v>0</v>
      </c>
      <c r="AX20">
        <f t="shared" si="19"/>
        <v>0</v>
      </c>
      <c r="AY20">
        <f t="shared" si="20"/>
        <v>0</v>
      </c>
      <c r="AZ20">
        <f t="shared" si="21"/>
        <v>0</v>
      </c>
      <c r="BA20">
        <f t="shared" si="22"/>
        <v>0</v>
      </c>
      <c r="BB20">
        <f t="shared" si="23"/>
        <v>0</v>
      </c>
      <c r="BC20">
        <f t="shared" si="24"/>
        <v>0</v>
      </c>
      <c r="BD20">
        <f t="shared" si="25"/>
        <v>0</v>
      </c>
      <c r="BE20">
        <f t="shared" si="26"/>
        <v>0</v>
      </c>
      <c r="BF20">
        <f t="shared" si="27"/>
        <v>0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201" customFormat="1" ht="14.25" x14ac:dyDescent="0.2">
      <c r="A21" s="10">
        <v>2015</v>
      </c>
      <c r="B21" s="11" t="s">
        <v>213</v>
      </c>
      <c r="C21" s="105" t="s">
        <v>214</v>
      </c>
      <c r="D21" s="11" t="s">
        <v>215</v>
      </c>
      <c r="E21" s="12">
        <v>10189</v>
      </c>
      <c r="F21" s="202">
        <v>66</v>
      </c>
      <c r="G21" s="11">
        <v>70000</v>
      </c>
      <c r="H21" s="116">
        <v>-118000</v>
      </c>
      <c r="I21" s="192"/>
      <c r="J21" s="204"/>
      <c r="K21" s="193"/>
      <c r="L21" s="193"/>
      <c r="M21" s="193"/>
      <c r="N21" s="203">
        <f t="shared" si="0"/>
        <v>70000</v>
      </c>
      <c r="O21" s="203">
        <f t="shared" si="1"/>
        <v>-48000</v>
      </c>
      <c r="P21" s="203">
        <f t="shared" si="2"/>
        <v>0</v>
      </c>
      <c r="Q21" s="214"/>
      <c r="R21" s="219"/>
      <c r="S21" s="217">
        <v>70000</v>
      </c>
      <c r="T21" s="205">
        <v>1</v>
      </c>
      <c r="U21" s="205">
        <v>1</v>
      </c>
      <c r="V21" s="215" t="s">
        <v>523</v>
      </c>
      <c r="W21" s="212"/>
      <c r="X21" s="10">
        <v>7</v>
      </c>
      <c r="Y21" s="10">
        <v>7</v>
      </c>
      <c r="Z21" s="213">
        <f t="shared" si="3"/>
        <v>70000</v>
      </c>
      <c r="AA21" s="62"/>
      <c r="AB21" s="62"/>
      <c r="AC21" s="62"/>
      <c r="AD21" s="62"/>
      <c r="AE21" s="62"/>
      <c r="AF21" s="63"/>
      <c r="AG21" s="64"/>
      <c r="AH21" s="6">
        <v>1</v>
      </c>
      <c r="AI21">
        <f t="shared" si="4"/>
        <v>25</v>
      </c>
      <c r="AJ21">
        <f t="shared" si="5"/>
        <v>25</v>
      </c>
      <c r="AK21">
        <f t="shared" si="6"/>
        <v>1</v>
      </c>
      <c r="AL21">
        <f t="shared" si="7"/>
        <v>1</v>
      </c>
      <c r="AM21">
        <f t="shared" si="8"/>
        <v>1</v>
      </c>
      <c r="AN21">
        <f t="shared" si="9"/>
        <v>-48000</v>
      </c>
      <c r="AO21">
        <f t="shared" si="10"/>
        <v>0</v>
      </c>
      <c r="AP21">
        <f t="shared" si="11"/>
        <v>0</v>
      </c>
      <c r="AQ21">
        <f t="shared" si="12"/>
        <v>0</v>
      </c>
      <c r="AR21">
        <f t="shared" si="13"/>
        <v>0</v>
      </c>
      <c r="AS21">
        <f t="shared" si="14"/>
        <v>0</v>
      </c>
      <c r="AT21">
        <f t="shared" si="15"/>
        <v>0</v>
      </c>
      <c r="AU21">
        <f t="shared" si="16"/>
        <v>0</v>
      </c>
      <c r="AV21">
        <f t="shared" si="17"/>
        <v>0</v>
      </c>
      <c r="AW21">
        <f t="shared" si="18"/>
        <v>0</v>
      </c>
      <c r="AX21">
        <f t="shared" si="19"/>
        <v>0</v>
      </c>
      <c r="AY21">
        <f t="shared" si="20"/>
        <v>0</v>
      </c>
      <c r="AZ21">
        <f t="shared" si="21"/>
        <v>0</v>
      </c>
      <c r="BA21">
        <f t="shared" si="22"/>
        <v>0</v>
      </c>
      <c r="BB21">
        <f t="shared" si="23"/>
        <v>0</v>
      </c>
      <c r="BC21">
        <f t="shared" si="24"/>
        <v>0</v>
      </c>
      <c r="BD21">
        <f t="shared" si="25"/>
        <v>0</v>
      </c>
      <c r="BE21">
        <f t="shared" si="26"/>
        <v>0</v>
      </c>
      <c r="BF21">
        <f t="shared" si="27"/>
        <v>0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s="201" customFormat="1" ht="14.25" x14ac:dyDescent="0.2">
      <c r="A22" s="10">
        <v>2024</v>
      </c>
      <c r="B22" s="11" t="s">
        <v>242</v>
      </c>
      <c r="C22" s="105" t="s">
        <v>243</v>
      </c>
      <c r="D22" s="11" t="s">
        <v>105</v>
      </c>
      <c r="E22" s="12">
        <v>10095</v>
      </c>
      <c r="F22" s="202">
        <v>66</v>
      </c>
      <c r="G22" s="11">
        <v>30000</v>
      </c>
      <c r="H22" s="116">
        <v>-24000</v>
      </c>
      <c r="I22" s="192"/>
      <c r="J22" s="204"/>
      <c r="K22" s="193"/>
      <c r="L22" s="193"/>
      <c r="M22" s="193">
        <v>30000</v>
      </c>
      <c r="N22" s="203">
        <f t="shared" si="0"/>
        <v>0</v>
      </c>
      <c r="O22" s="203">
        <f t="shared" si="1"/>
        <v>-24000</v>
      </c>
      <c r="P22" s="203">
        <f t="shared" si="2"/>
        <v>6000</v>
      </c>
      <c r="Q22" s="214">
        <v>46239</v>
      </c>
      <c r="R22" s="219">
        <v>46240</v>
      </c>
      <c r="S22" s="217">
        <v>46209</v>
      </c>
      <c r="T22" s="205"/>
      <c r="U22" s="205"/>
      <c r="V22" s="215" t="s">
        <v>521</v>
      </c>
      <c r="W22" s="212"/>
      <c r="X22" s="10">
        <v>7</v>
      </c>
      <c r="Y22" s="10">
        <v>7</v>
      </c>
      <c r="Z22" s="213">
        <f t="shared" si="3"/>
        <v>0</v>
      </c>
      <c r="AA22" s="62"/>
      <c r="AB22" s="62"/>
      <c r="AC22" s="62"/>
      <c r="AD22" s="62"/>
      <c r="AE22" s="62"/>
      <c r="AF22" s="63"/>
      <c r="AG22" s="64"/>
      <c r="AH22" s="6">
        <v>1</v>
      </c>
      <c r="AI22">
        <f t="shared" si="4"/>
        <v>25</v>
      </c>
      <c r="AJ22">
        <f t="shared" si="5"/>
        <v>25</v>
      </c>
      <c r="AK22">
        <f t="shared" si="6"/>
        <v>0</v>
      </c>
      <c r="AL22">
        <f t="shared" si="7"/>
        <v>0</v>
      </c>
      <c r="AM22">
        <f t="shared" si="8"/>
        <v>0</v>
      </c>
      <c r="AN22">
        <f t="shared" si="9"/>
        <v>0</v>
      </c>
      <c r="AO22">
        <f t="shared" si="10"/>
        <v>0</v>
      </c>
      <c r="AP22">
        <f t="shared" si="11"/>
        <v>0</v>
      </c>
      <c r="AQ22">
        <f t="shared" si="12"/>
        <v>0</v>
      </c>
      <c r="AR22">
        <f t="shared" si="13"/>
        <v>0</v>
      </c>
      <c r="AS22">
        <f t="shared" si="14"/>
        <v>1</v>
      </c>
      <c r="AT22">
        <f t="shared" si="15"/>
        <v>1</v>
      </c>
      <c r="AU22">
        <f t="shared" si="16"/>
        <v>0</v>
      </c>
      <c r="AV22">
        <f t="shared" si="17"/>
        <v>0</v>
      </c>
      <c r="AW22">
        <f t="shared" si="18"/>
        <v>0</v>
      </c>
      <c r="AX22">
        <f t="shared" si="19"/>
        <v>0</v>
      </c>
      <c r="AY22">
        <f t="shared" si="20"/>
        <v>0</v>
      </c>
      <c r="AZ22">
        <f t="shared" si="21"/>
        <v>0</v>
      </c>
      <c r="BA22">
        <f t="shared" si="22"/>
        <v>0</v>
      </c>
      <c r="BB22">
        <f t="shared" si="23"/>
        <v>0</v>
      </c>
      <c r="BC22">
        <f t="shared" si="24"/>
        <v>0</v>
      </c>
      <c r="BD22">
        <f t="shared" si="25"/>
        <v>0</v>
      </c>
      <c r="BE22">
        <f t="shared" si="26"/>
        <v>0</v>
      </c>
      <c r="BF22">
        <f t="shared" si="27"/>
        <v>0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s="201" customFormat="1" ht="14.25" x14ac:dyDescent="0.2">
      <c r="A23" s="10">
        <v>2095</v>
      </c>
      <c r="B23" s="11" t="s">
        <v>323</v>
      </c>
      <c r="C23" s="105" t="s">
        <v>324</v>
      </c>
      <c r="D23" s="11" t="s">
        <v>325</v>
      </c>
      <c r="E23" s="12">
        <v>10288</v>
      </c>
      <c r="F23" s="202">
        <v>64</v>
      </c>
      <c r="G23" s="11">
        <v>65000</v>
      </c>
      <c r="H23" s="116">
        <v>0</v>
      </c>
      <c r="I23" s="192"/>
      <c r="J23" s="204"/>
      <c r="K23" s="193"/>
      <c r="L23" s="193"/>
      <c r="M23" s="193">
        <v>65000</v>
      </c>
      <c r="N23" s="203">
        <f t="shared" si="0"/>
        <v>0</v>
      </c>
      <c r="O23" s="203">
        <f t="shared" si="1"/>
        <v>0</v>
      </c>
      <c r="P23" s="203">
        <f t="shared" si="2"/>
        <v>65000</v>
      </c>
      <c r="Q23" s="214">
        <v>46241</v>
      </c>
      <c r="R23" s="219">
        <v>46241</v>
      </c>
      <c r="S23" s="217">
        <v>46211</v>
      </c>
      <c r="T23" s="205"/>
      <c r="U23" s="205"/>
      <c r="V23" s="215" t="s">
        <v>521</v>
      </c>
      <c r="W23" s="212"/>
      <c r="X23" s="10">
        <v>7</v>
      </c>
      <c r="Y23" s="10">
        <v>7</v>
      </c>
      <c r="Z23" s="213">
        <f t="shared" si="3"/>
        <v>0</v>
      </c>
      <c r="AA23" s="62"/>
      <c r="AB23" s="62"/>
      <c r="AC23" s="62"/>
      <c r="AD23" s="62"/>
      <c r="AE23" s="62"/>
      <c r="AF23" s="63"/>
      <c r="AG23" s="64"/>
      <c r="AH23" s="6">
        <v>1</v>
      </c>
      <c r="AI23">
        <f t="shared" si="4"/>
        <v>25</v>
      </c>
      <c r="AJ23">
        <f t="shared" si="5"/>
        <v>15</v>
      </c>
      <c r="AK23">
        <f t="shared" si="6"/>
        <v>0</v>
      </c>
      <c r="AL23">
        <f t="shared" si="7"/>
        <v>0</v>
      </c>
      <c r="AM23">
        <f t="shared" si="8"/>
        <v>0</v>
      </c>
      <c r="AN23">
        <f t="shared" si="9"/>
        <v>0</v>
      </c>
      <c r="AO23">
        <f t="shared" si="10"/>
        <v>0</v>
      </c>
      <c r="AP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1</v>
      </c>
      <c r="AT23">
        <f t="shared" si="15"/>
        <v>1</v>
      </c>
      <c r="AU23">
        <f t="shared" si="16"/>
        <v>0</v>
      </c>
      <c r="AV23">
        <f t="shared" si="17"/>
        <v>0</v>
      </c>
      <c r="AW23">
        <f t="shared" si="18"/>
        <v>0</v>
      </c>
      <c r="AX23">
        <f t="shared" si="19"/>
        <v>0</v>
      </c>
      <c r="AY23">
        <f t="shared" si="20"/>
        <v>0</v>
      </c>
      <c r="AZ23">
        <f t="shared" si="21"/>
        <v>0</v>
      </c>
      <c r="BA23">
        <f t="shared" si="22"/>
        <v>0</v>
      </c>
      <c r="BB23">
        <f t="shared" si="23"/>
        <v>0</v>
      </c>
      <c r="BC23">
        <f t="shared" si="24"/>
        <v>0</v>
      </c>
      <c r="BD23">
        <f t="shared" si="25"/>
        <v>0</v>
      </c>
      <c r="BE23">
        <f t="shared" si="26"/>
        <v>0</v>
      </c>
      <c r="BF23">
        <f t="shared" si="27"/>
        <v>0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s="201" customFormat="1" ht="14.25" x14ac:dyDescent="0.2">
      <c r="A24" s="10">
        <v>2119</v>
      </c>
      <c r="B24" s="11" t="s">
        <v>231</v>
      </c>
      <c r="C24" s="105" t="s">
        <v>232</v>
      </c>
      <c r="D24" s="11" t="s">
        <v>154</v>
      </c>
      <c r="E24" s="12">
        <v>10430</v>
      </c>
      <c r="F24" s="202">
        <v>63</v>
      </c>
      <c r="G24" s="11">
        <v>30000</v>
      </c>
      <c r="H24" s="116">
        <v>0</v>
      </c>
      <c r="I24" s="192"/>
      <c r="J24" s="204"/>
      <c r="K24" s="193"/>
      <c r="L24" s="193"/>
      <c r="M24" s="193">
        <v>30000</v>
      </c>
      <c r="N24" s="203">
        <f t="shared" si="0"/>
        <v>0</v>
      </c>
      <c r="O24" s="203">
        <f t="shared" si="1"/>
        <v>0</v>
      </c>
      <c r="P24" s="203">
        <f t="shared" si="2"/>
        <v>30000</v>
      </c>
      <c r="Q24" s="214">
        <v>46239</v>
      </c>
      <c r="R24" s="219">
        <v>46239</v>
      </c>
      <c r="S24" s="217">
        <v>46176</v>
      </c>
      <c r="T24" s="205"/>
      <c r="U24" s="205"/>
      <c r="V24" s="215" t="s">
        <v>521</v>
      </c>
      <c r="W24" s="212"/>
      <c r="X24" s="10">
        <v>7</v>
      </c>
      <c r="Y24" s="10">
        <v>7</v>
      </c>
      <c r="Z24" s="213">
        <f t="shared" si="3"/>
        <v>0</v>
      </c>
      <c r="AA24" s="62"/>
      <c r="AB24" s="62"/>
      <c r="AC24" s="62"/>
      <c r="AD24" s="62"/>
      <c r="AE24" s="62"/>
      <c r="AF24" s="63"/>
      <c r="AG24" s="64"/>
      <c r="AH24" s="6">
        <v>1</v>
      </c>
      <c r="AI24">
        <f t="shared" si="4"/>
        <v>25</v>
      </c>
      <c r="AJ24">
        <f t="shared" si="5"/>
        <v>15</v>
      </c>
      <c r="AK24">
        <f t="shared" si="6"/>
        <v>0</v>
      </c>
      <c r="AL24">
        <f t="shared" si="7"/>
        <v>0</v>
      </c>
      <c r="AM24">
        <f t="shared" si="8"/>
        <v>0</v>
      </c>
      <c r="AN24">
        <f t="shared" si="9"/>
        <v>0</v>
      </c>
      <c r="AO24">
        <f t="shared" si="10"/>
        <v>0</v>
      </c>
      <c r="AP24">
        <f t="shared" si="11"/>
        <v>0</v>
      </c>
      <c r="AQ24">
        <f t="shared" si="12"/>
        <v>0</v>
      </c>
      <c r="AR24">
        <f t="shared" si="13"/>
        <v>0</v>
      </c>
      <c r="AS24">
        <f t="shared" si="14"/>
        <v>1</v>
      </c>
      <c r="AT24">
        <f t="shared" si="15"/>
        <v>1</v>
      </c>
      <c r="AU24">
        <f t="shared" si="16"/>
        <v>0</v>
      </c>
      <c r="AV24">
        <f t="shared" si="17"/>
        <v>0</v>
      </c>
      <c r="AW24">
        <f t="shared" si="18"/>
        <v>0</v>
      </c>
      <c r="AX24">
        <f t="shared" si="19"/>
        <v>0</v>
      </c>
      <c r="AY24">
        <f t="shared" si="20"/>
        <v>0</v>
      </c>
      <c r="AZ24">
        <f t="shared" si="21"/>
        <v>0</v>
      </c>
      <c r="BA24">
        <f t="shared" si="22"/>
        <v>0</v>
      </c>
      <c r="BB24">
        <f t="shared" si="23"/>
        <v>0</v>
      </c>
      <c r="BC24">
        <f t="shared" si="24"/>
        <v>0</v>
      </c>
      <c r="BD24">
        <f t="shared" si="25"/>
        <v>0</v>
      </c>
      <c r="BE24">
        <f t="shared" si="26"/>
        <v>0</v>
      </c>
      <c r="BF24">
        <f t="shared" si="27"/>
        <v>0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s="201" customFormat="1" ht="14.25" x14ac:dyDescent="0.2">
      <c r="A25" s="10">
        <v>2120</v>
      </c>
      <c r="B25" s="11" t="s">
        <v>265</v>
      </c>
      <c r="C25" s="105" t="s">
        <v>266</v>
      </c>
      <c r="D25" s="11" t="s">
        <v>154</v>
      </c>
      <c r="E25" s="12">
        <v>10281</v>
      </c>
      <c r="F25" s="202">
        <v>63</v>
      </c>
      <c r="G25" s="11">
        <v>500000</v>
      </c>
      <c r="H25" s="116">
        <v>-80000</v>
      </c>
      <c r="I25" s="192"/>
      <c r="J25" s="204"/>
      <c r="K25" s="193"/>
      <c r="L25" s="193"/>
      <c r="M25" s="193">
        <v>500000</v>
      </c>
      <c r="N25" s="203">
        <f t="shared" si="0"/>
        <v>0</v>
      </c>
      <c r="O25" s="203">
        <f t="shared" si="1"/>
        <v>-80000</v>
      </c>
      <c r="P25" s="203">
        <f t="shared" si="2"/>
        <v>420000</v>
      </c>
      <c r="Q25" s="214">
        <v>46209</v>
      </c>
      <c r="R25" s="219">
        <v>46208</v>
      </c>
      <c r="S25" s="217">
        <v>46176</v>
      </c>
      <c r="T25" s="205"/>
      <c r="U25" s="205"/>
      <c r="V25" s="215" t="s">
        <v>521</v>
      </c>
      <c r="W25" s="212"/>
      <c r="X25" s="10">
        <v>7</v>
      </c>
      <c r="Y25" s="10">
        <v>7</v>
      </c>
      <c r="Z25" s="213">
        <f t="shared" si="3"/>
        <v>0</v>
      </c>
      <c r="AA25" s="62"/>
      <c r="AB25" s="62"/>
      <c r="AC25" s="62"/>
      <c r="AD25" s="62"/>
      <c r="AE25" s="62"/>
      <c r="AF25" s="63"/>
      <c r="AG25" s="64"/>
      <c r="AH25" s="6">
        <v>1</v>
      </c>
      <c r="AI25">
        <f t="shared" si="4"/>
        <v>25</v>
      </c>
      <c r="AJ25">
        <f t="shared" si="5"/>
        <v>25</v>
      </c>
      <c r="AK25">
        <f t="shared" si="6"/>
        <v>0</v>
      </c>
      <c r="AL25">
        <f t="shared" si="7"/>
        <v>0</v>
      </c>
      <c r="AM25">
        <f t="shared" si="8"/>
        <v>0</v>
      </c>
      <c r="AN25">
        <f t="shared" si="9"/>
        <v>0</v>
      </c>
      <c r="AO25">
        <f t="shared" si="10"/>
        <v>0</v>
      </c>
      <c r="AP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1</v>
      </c>
      <c r="AT25">
        <f t="shared" si="15"/>
        <v>1</v>
      </c>
      <c r="AU25">
        <f t="shared" si="16"/>
        <v>0</v>
      </c>
      <c r="AV25">
        <f t="shared" si="17"/>
        <v>0</v>
      </c>
      <c r="AW25">
        <f t="shared" si="18"/>
        <v>0</v>
      </c>
      <c r="AX25">
        <f t="shared" si="19"/>
        <v>0</v>
      </c>
      <c r="AY25">
        <f t="shared" si="20"/>
        <v>0</v>
      </c>
      <c r="AZ25">
        <f t="shared" si="21"/>
        <v>0</v>
      </c>
      <c r="BA25">
        <f t="shared" si="22"/>
        <v>0</v>
      </c>
      <c r="BB25">
        <f t="shared" si="23"/>
        <v>0</v>
      </c>
      <c r="BC25">
        <f t="shared" si="24"/>
        <v>0</v>
      </c>
      <c r="BD25">
        <f t="shared" si="25"/>
        <v>0</v>
      </c>
      <c r="BE25">
        <f t="shared" si="26"/>
        <v>0</v>
      </c>
      <c r="BF25">
        <f t="shared" si="27"/>
        <v>0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201" customFormat="1" ht="14.25" x14ac:dyDescent="0.2">
      <c r="A26" s="10">
        <v>2207</v>
      </c>
      <c r="B26" s="11" t="s">
        <v>326</v>
      </c>
      <c r="C26" s="105">
        <v>2644656518</v>
      </c>
      <c r="D26" s="11" t="s">
        <v>105</v>
      </c>
      <c r="E26" s="12">
        <v>10449</v>
      </c>
      <c r="F26" s="202">
        <v>61</v>
      </c>
      <c r="G26" s="11">
        <v>60000</v>
      </c>
      <c r="H26" s="116">
        <v>0</v>
      </c>
      <c r="I26" s="192"/>
      <c r="J26" s="204"/>
      <c r="K26" s="193"/>
      <c r="L26" s="193"/>
      <c r="M26" s="193">
        <v>60000</v>
      </c>
      <c r="N26" s="203">
        <f t="shared" si="0"/>
        <v>0</v>
      </c>
      <c r="O26" s="203">
        <f t="shared" si="1"/>
        <v>0</v>
      </c>
      <c r="P26" s="203">
        <f t="shared" si="2"/>
        <v>60000</v>
      </c>
      <c r="Q26" s="214">
        <v>46245</v>
      </c>
      <c r="R26" s="219">
        <v>46245</v>
      </c>
      <c r="S26" s="217">
        <v>46209</v>
      </c>
      <c r="T26" s="205"/>
      <c r="U26" s="205"/>
      <c r="V26" s="215" t="s">
        <v>262</v>
      </c>
      <c r="W26" s="212"/>
      <c r="X26" s="10">
        <v>7</v>
      </c>
      <c r="Y26" s="10">
        <v>7</v>
      </c>
      <c r="Z26" s="213">
        <f t="shared" si="3"/>
        <v>0</v>
      </c>
      <c r="AA26" s="62"/>
      <c r="AB26" s="62"/>
      <c r="AC26" s="62"/>
      <c r="AD26" s="62"/>
      <c r="AE26" s="62"/>
      <c r="AF26" s="63"/>
      <c r="AG26" s="64"/>
      <c r="AH26" s="6">
        <v>1</v>
      </c>
      <c r="AI26">
        <f t="shared" si="4"/>
        <v>25</v>
      </c>
      <c r="AJ26">
        <f t="shared" si="5"/>
        <v>15</v>
      </c>
      <c r="AK26">
        <f t="shared" si="6"/>
        <v>0</v>
      </c>
      <c r="AL26">
        <f t="shared" si="7"/>
        <v>0</v>
      </c>
      <c r="AM26">
        <f t="shared" si="8"/>
        <v>0</v>
      </c>
      <c r="AN26">
        <f t="shared" si="9"/>
        <v>0</v>
      </c>
      <c r="AO26">
        <f t="shared" si="10"/>
        <v>0</v>
      </c>
      <c r="AP26">
        <f t="shared" si="11"/>
        <v>0</v>
      </c>
      <c r="AQ26">
        <f t="shared" si="12"/>
        <v>0</v>
      </c>
      <c r="AR26">
        <f t="shared" si="13"/>
        <v>0</v>
      </c>
      <c r="AS26">
        <f t="shared" si="14"/>
        <v>1</v>
      </c>
      <c r="AT26">
        <f t="shared" si="15"/>
        <v>1</v>
      </c>
      <c r="AU26">
        <f t="shared" si="16"/>
        <v>0</v>
      </c>
      <c r="AV26">
        <f t="shared" si="17"/>
        <v>0</v>
      </c>
      <c r="AW26">
        <f t="shared" si="18"/>
        <v>0</v>
      </c>
      <c r="AX26">
        <f t="shared" si="19"/>
        <v>0</v>
      </c>
      <c r="AY26">
        <f t="shared" si="20"/>
        <v>0</v>
      </c>
      <c r="AZ26">
        <f t="shared" si="21"/>
        <v>0</v>
      </c>
      <c r="BA26">
        <f t="shared" si="22"/>
        <v>0</v>
      </c>
      <c r="BB26">
        <f t="shared" si="23"/>
        <v>0</v>
      </c>
      <c r="BC26">
        <f t="shared" si="24"/>
        <v>0</v>
      </c>
      <c r="BD26">
        <f t="shared" si="25"/>
        <v>0</v>
      </c>
      <c r="BE26">
        <f t="shared" si="26"/>
        <v>0</v>
      </c>
      <c r="BF26">
        <f t="shared" si="27"/>
        <v>0</v>
      </c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201" customFormat="1" ht="14.25" x14ac:dyDescent="0.2">
      <c r="A27" s="10">
        <v>2326</v>
      </c>
      <c r="B27" s="11" t="s">
        <v>327</v>
      </c>
      <c r="C27" s="105" t="s">
        <v>328</v>
      </c>
      <c r="D27" s="11" t="s">
        <v>105</v>
      </c>
      <c r="E27" s="12">
        <v>11089</v>
      </c>
      <c r="F27" s="202">
        <v>59</v>
      </c>
      <c r="G27" s="11">
        <v>60000</v>
      </c>
      <c r="H27" s="116">
        <v>-10000</v>
      </c>
      <c r="I27" s="192"/>
      <c r="J27" s="204"/>
      <c r="K27" s="193"/>
      <c r="L27" s="193"/>
      <c r="M27" s="193">
        <v>60000</v>
      </c>
      <c r="N27" s="203">
        <f t="shared" si="0"/>
        <v>0</v>
      </c>
      <c r="O27" s="203">
        <f t="shared" si="1"/>
        <v>-10000</v>
      </c>
      <c r="P27" s="203">
        <f t="shared" si="2"/>
        <v>50000</v>
      </c>
      <c r="Q27" s="214">
        <v>46245</v>
      </c>
      <c r="R27" s="219">
        <v>46244</v>
      </c>
      <c r="S27" s="217">
        <v>46213</v>
      </c>
      <c r="T27" s="205"/>
      <c r="U27" s="205"/>
      <c r="V27" s="215" t="s">
        <v>521</v>
      </c>
      <c r="W27" s="212"/>
      <c r="X27" s="10">
        <v>7</v>
      </c>
      <c r="Y27" s="10">
        <v>7</v>
      </c>
      <c r="Z27" s="213">
        <f t="shared" si="3"/>
        <v>0</v>
      </c>
      <c r="AA27" s="62"/>
      <c r="AB27" s="62"/>
      <c r="AC27" s="62"/>
      <c r="AD27" s="62"/>
      <c r="AE27" s="62"/>
      <c r="AF27" s="63"/>
      <c r="AG27" s="64"/>
      <c r="AH27" s="6">
        <v>1</v>
      </c>
      <c r="AI27">
        <f t="shared" si="4"/>
        <v>25</v>
      </c>
      <c r="AJ27">
        <f t="shared" si="5"/>
        <v>25</v>
      </c>
      <c r="AK27">
        <f t="shared" si="6"/>
        <v>0</v>
      </c>
      <c r="AL27">
        <f t="shared" si="7"/>
        <v>0</v>
      </c>
      <c r="AM27">
        <f t="shared" si="8"/>
        <v>0</v>
      </c>
      <c r="AN27">
        <f t="shared" si="9"/>
        <v>0</v>
      </c>
      <c r="AO27">
        <f t="shared" si="10"/>
        <v>0</v>
      </c>
      <c r="AP27">
        <f t="shared" si="11"/>
        <v>0</v>
      </c>
      <c r="AQ27">
        <f t="shared" si="12"/>
        <v>0</v>
      </c>
      <c r="AR27">
        <f t="shared" si="13"/>
        <v>0</v>
      </c>
      <c r="AS27">
        <f t="shared" si="14"/>
        <v>1</v>
      </c>
      <c r="AT27">
        <f t="shared" si="15"/>
        <v>1</v>
      </c>
      <c r="AU27">
        <f t="shared" si="16"/>
        <v>0</v>
      </c>
      <c r="AV27">
        <f t="shared" si="17"/>
        <v>0</v>
      </c>
      <c r="AW27">
        <f t="shared" si="18"/>
        <v>0</v>
      </c>
      <c r="AX27">
        <f t="shared" si="19"/>
        <v>0</v>
      </c>
      <c r="AY27">
        <f t="shared" si="20"/>
        <v>0</v>
      </c>
      <c r="AZ27">
        <f t="shared" si="21"/>
        <v>0</v>
      </c>
      <c r="BA27">
        <f t="shared" si="22"/>
        <v>0</v>
      </c>
      <c r="BB27">
        <f t="shared" si="23"/>
        <v>0</v>
      </c>
      <c r="BC27">
        <f t="shared" si="24"/>
        <v>0</v>
      </c>
      <c r="BD27">
        <f t="shared" si="25"/>
        <v>0</v>
      </c>
      <c r="BE27">
        <f t="shared" si="26"/>
        <v>0</v>
      </c>
      <c r="BF27">
        <f t="shared" si="27"/>
        <v>0</v>
      </c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s="201" customFormat="1" ht="14.25" x14ac:dyDescent="0.2">
      <c r="A28" s="10">
        <v>2339</v>
      </c>
      <c r="B28" s="11" t="s">
        <v>329</v>
      </c>
      <c r="C28" s="105" t="s">
        <v>330</v>
      </c>
      <c r="D28" s="11" t="s">
        <v>157</v>
      </c>
      <c r="E28" s="12">
        <v>11193</v>
      </c>
      <c r="F28" s="202">
        <v>59</v>
      </c>
      <c r="G28" s="11">
        <v>60000</v>
      </c>
      <c r="H28" s="116">
        <v>0</v>
      </c>
      <c r="I28" s="192"/>
      <c r="J28" s="204"/>
      <c r="K28" s="193"/>
      <c r="L28" s="193"/>
      <c r="M28" s="193">
        <v>60000</v>
      </c>
      <c r="N28" s="203">
        <f t="shared" si="0"/>
        <v>0</v>
      </c>
      <c r="O28" s="203">
        <f t="shared" si="1"/>
        <v>0</v>
      </c>
      <c r="P28" s="203">
        <f t="shared" si="2"/>
        <v>60000</v>
      </c>
      <c r="Q28" s="214">
        <v>46259</v>
      </c>
      <c r="R28" s="219">
        <v>46264</v>
      </c>
      <c r="S28" s="217">
        <v>46233</v>
      </c>
      <c r="T28" s="205"/>
      <c r="U28" s="205"/>
      <c r="V28" s="215" t="s">
        <v>526</v>
      </c>
      <c r="W28" s="212"/>
      <c r="X28" s="10">
        <v>7</v>
      </c>
      <c r="Y28" s="10">
        <v>7</v>
      </c>
      <c r="Z28" s="213">
        <f t="shared" si="3"/>
        <v>0</v>
      </c>
      <c r="AA28" s="62"/>
      <c r="AB28" s="62"/>
      <c r="AC28" s="62"/>
      <c r="AD28" s="62"/>
      <c r="AE28" s="62"/>
      <c r="AF28" s="63"/>
      <c r="AG28" s="64"/>
      <c r="AH28" s="6">
        <v>1</v>
      </c>
      <c r="AI28">
        <f t="shared" si="4"/>
        <v>25</v>
      </c>
      <c r="AJ28">
        <f t="shared" si="5"/>
        <v>15</v>
      </c>
      <c r="AK28">
        <f t="shared" si="6"/>
        <v>0</v>
      </c>
      <c r="AL28">
        <f t="shared" si="7"/>
        <v>0</v>
      </c>
      <c r="AM28">
        <f t="shared" si="8"/>
        <v>0</v>
      </c>
      <c r="AN28">
        <f t="shared" si="9"/>
        <v>0</v>
      </c>
      <c r="AO28">
        <f t="shared" si="10"/>
        <v>0</v>
      </c>
      <c r="AP28">
        <f t="shared" si="11"/>
        <v>0</v>
      </c>
      <c r="AQ28">
        <f t="shared" si="12"/>
        <v>0</v>
      </c>
      <c r="AR28">
        <f t="shared" si="13"/>
        <v>0</v>
      </c>
      <c r="AS28">
        <f t="shared" si="14"/>
        <v>1</v>
      </c>
      <c r="AT28">
        <f t="shared" si="15"/>
        <v>1</v>
      </c>
      <c r="AU28">
        <f t="shared" si="16"/>
        <v>0</v>
      </c>
      <c r="AV28">
        <f t="shared" si="17"/>
        <v>0</v>
      </c>
      <c r="AW28">
        <f t="shared" si="18"/>
        <v>0</v>
      </c>
      <c r="AX28">
        <f t="shared" si="19"/>
        <v>0</v>
      </c>
      <c r="AY28">
        <f t="shared" si="20"/>
        <v>0</v>
      </c>
      <c r="AZ28">
        <f t="shared" si="21"/>
        <v>0</v>
      </c>
      <c r="BA28">
        <f t="shared" si="22"/>
        <v>0</v>
      </c>
      <c r="BB28">
        <f t="shared" si="23"/>
        <v>0</v>
      </c>
      <c r="BC28">
        <f t="shared" si="24"/>
        <v>0</v>
      </c>
      <c r="BD28">
        <f t="shared" si="25"/>
        <v>0</v>
      </c>
      <c r="BE28">
        <f t="shared" si="26"/>
        <v>0</v>
      </c>
      <c r="BF28">
        <f t="shared" si="27"/>
        <v>0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s="201" customFormat="1" ht="14.25" x14ac:dyDescent="0.2">
      <c r="A29" s="10">
        <v>2360</v>
      </c>
      <c r="B29" s="11" t="s">
        <v>244</v>
      </c>
      <c r="C29" s="105" t="s">
        <v>245</v>
      </c>
      <c r="D29" s="11" t="s">
        <v>144</v>
      </c>
      <c r="E29" s="12">
        <v>11245</v>
      </c>
      <c r="F29" s="202">
        <v>59</v>
      </c>
      <c r="G29" s="11">
        <v>60000</v>
      </c>
      <c r="H29" s="116">
        <v>0</v>
      </c>
      <c r="I29" s="192"/>
      <c r="J29" s="204"/>
      <c r="K29" s="193"/>
      <c r="L29" s="193"/>
      <c r="M29" s="193">
        <v>60000</v>
      </c>
      <c r="N29" s="203">
        <f t="shared" si="0"/>
        <v>0</v>
      </c>
      <c r="O29" s="203">
        <f t="shared" si="1"/>
        <v>0</v>
      </c>
      <c r="P29" s="203">
        <f t="shared" si="2"/>
        <v>60000</v>
      </c>
      <c r="Q29" s="214">
        <v>46237</v>
      </c>
      <c r="R29" s="219">
        <v>46237</v>
      </c>
      <c r="S29" s="217">
        <v>46216</v>
      </c>
      <c r="T29" s="205"/>
      <c r="U29" s="205"/>
      <c r="V29" s="215" t="s">
        <v>521</v>
      </c>
      <c r="W29" s="212"/>
      <c r="X29" s="10">
        <v>7</v>
      </c>
      <c r="Y29" s="10">
        <v>7</v>
      </c>
      <c r="Z29" s="213">
        <f t="shared" si="3"/>
        <v>0</v>
      </c>
      <c r="AA29" s="62"/>
      <c r="AB29" s="62"/>
      <c r="AC29" s="62"/>
      <c r="AD29" s="62"/>
      <c r="AE29" s="62"/>
      <c r="AF29" s="63"/>
      <c r="AG29" s="64"/>
      <c r="AH29" s="6">
        <v>1</v>
      </c>
      <c r="AI29">
        <f t="shared" si="4"/>
        <v>25</v>
      </c>
      <c r="AJ29">
        <f t="shared" si="5"/>
        <v>15</v>
      </c>
      <c r="AK29">
        <f t="shared" si="6"/>
        <v>0</v>
      </c>
      <c r="AL29">
        <f t="shared" si="7"/>
        <v>0</v>
      </c>
      <c r="AM29">
        <f t="shared" si="8"/>
        <v>0</v>
      </c>
      <c r="AN29">
        <f t="shared" si="9"/>
        <v>0</v>
      </c>
      <c r="AO29">
        <f t="shared" si="10"/>
        <v>0</v>
      </c>
      <c r="AP29">
        <f t="shared" si="11"/>
        <v>0</v>
      </c>
      <c r="AQ29">
        <f t="shared" si="12"/>
        <v>0</v>
      </c>
      <c r="AR29">
        <f t="shared" si="13"/>
        <v>0</v>
      </c>
      <c r="AS29">
        <f t="shared" si="14"/>
        <v>1</v>
      </c>
      <c r="AT29">
        <f t="shared" si="15"/>
        <v>1</v>
      </c>
      <c r="AU29">
        <f t="shared" si="16"/>
        <v>0</v>
      </c>
      <c r="AV29">
        <f t="shared" si="17"/>
        <v>0</v>
      </c>
      <c r="AW29">
        <f t="shared" si="18"/>
        <v>0</v>
      </c>
      <c r="AX29">
        <f t="shared" si="19"/>
        <v>0</v>
      </c>
      <c r="AY29">
        <f t="shared" si="20"/>
        <v>0</v>
      </c>
      <c r="AZ29">
        <f t="shared" si="21"/>
        <v>0</v>
      </c>
      <c r="BA29">
        <f t="shared" si="22"/>
        <v>0</v>
      </c>
      <c r="BB29">
        <f t="shared" si="23"/>
        <v>0</v>
      </c>
      <c r="BC29">
        <f t="shared" si="24"/>
        <v>0</v>
      </c>
      <c r="BD29">
        <f t="shared" si="25"/>
        <v>0</v>
      </c>
      <c r="BE29">
        <f t="shared" si="26"/>
        <v>0</v>
      </c>
      <c r="BF29">
        <f t="shared" si="27"/>
        <v>0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s="201" customFormat="1" ht="14.25" x14ac:dyDescent="0.2">
      <c r="A30" s="10">
        <v>2374</v>
      </c>
      <c r="B30" s="11" t="s">
        <v>331</v>
      </c>
      <c r="C30" s="105" t="s">
        <v>332</v>
      </c>
      <c r="D30" s="11" t="s">
        <v>106</v>
      </c>
      <c r="E30" s="12">
        <v>11219</v>
      </c>
      <c r="F30" s="202">
        <v>58</v>
      </c>
      <c r="G30" s="11">
        <v>60000</v>
      </c>
      <c r="H30" s="116">
        <v>-4500</v>
      </c>
      <c r="I30" s="192"/>
      <c r="J30" s="204"/>
      <c r="K30" s="193"/>
      <c r="L30" s="193"/>
      <c r="M30" s="193">
        <v>60000</v>
      </c>
      <c r="N30" s="203">
        <f t="shared" si="0"/>
        <v>0</v>
      </c>
      <c r="O30" s="203">
        <f t="shared" si="1"/>
        <v>-4500</v>
      </c>
      <c r="P30" s="203">
        <f t="shared" si="2"/>
        <v>55500</v>
      </c>
      <c r="Q30" s="214">
        <v>46265</v>
      </c>
      <c r="R30" s="219">
        <v>46265</v>
      </c>
      <c r="S30" s="217">
        <v>46234</v>
      </c>
      <c r="T30" s="205"/>
      <c r="U30" s="205"/>
      <c r="V30" s="215" t="s">
        <v>521</v>
      </c>
      <c r="W30" s="212"/>
      <c r="X30" s="10">
        <v>7</v>
      </c>
      <c r="Y30" s="10">
        <v>7</v>
      </c>
      <c r="Z30" s="213">
        <f t="shared" si="3"/>
        <v>0</v>
      </c>
      <c r="AA30" s="62"/>
      <c r="AB30" s="62"/>
      <c r="AC30" s="62"/>
      <c r="AD30" s="62"/>
      <c r="AE30" s="62"/>
      <c r="AF30" s="63"/>
      <c r="AG30" s="64"/>
      <c r="AH30" s="6">
        <v>1</v>
      </c>
      <c r="AI30">
        <f t="shared" si="4"/>
        <v>25</v>
      </c>
      <c r="AJ30">
        <f t="shared" si="5"/>
        <v>25</v>
      </c>
      <c r="AK30">
        <f t="shared" si="6"/>
        <v>0</v>
      </c>
      <c r="AL30">
        <f t="shared" si="7"/>
        <v>0</v>
      </c>
      <c r="AM30">
        <f t="shared" si="8"/>
        <v>0</v>
      </c>
      <c r="AN30">
        <f t="shared" si="9"/>
        <v>0</v>
      </c>
      <c r="AO30">
        <f t="shared" si="10"/>
        <v>0</v>
      </c>
      <c r="AP30">
        <f t="shared" si="11"/>
        <v>0</v>
      </c>
      <c r="AQ30">
        <f t="shared" si="12"/>
        <v>0</v>
      </c>
      <c r="AR30">
        <f t="shared" si="13"/>
        <v>0</v>
      </c>
      <c r="AS30">
        <f t="shared" si="14"/>
        <v>1</v>
      </c>
      <c r="AT30">
        <f t="shared" si="15"/>
        <v>1</v>
      </c>
      <c r="AU30">
        <f t="shared" si="16"/>
        <v>0</v>
      </c>
      <c r="AV30">
        <f t="shared" si="17"/>
        <v>0</v>
      </c>
      <c r="AW30">
        <f t="shared" si="18"/>
        <v>0</v>
      </c>
      <c r="AX30">
        <f t="shared" si="19"/>
        <v>0</v>
      </c>
      <c r="AY30">
        <f t="shared" si="20"/>
        <v>0</v>
      </c>
      <c r="AZ30">
        <f t="shared" si="21"/>
        <v>0</v>
      </c>
      <c r="BA30">
        <f t="shared" si="22"/>
        <v>0</v>
      </c>
      <c r="BB30">
        <f t="shared" si="23"/>
        <v>0</v>
      </c>
      <c r="BC30">
        <f t="shared" si="24"/>
        <v>0</v>
      </c>
      <c r="BD30">
        <f t="shared" si="25"/>
        <v>0</v>
      </c>
      <c r="BE30">
        <f t="shared" si="26"/>
        <v>0</v>
      </c>
      <c r="BF30">
        <f t="shared" si="27"/>
        <v>0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201" customFormat="1" ht="14.25" x14ac:dyDescent="0.2">
      <c r="A31" s="10">
        <v>2461</v>
      </c>
      <c r="B31" s="11" t="s">
        <v>333</v>
      </c>
      <c r="C31" s="105" t="s">
        <v>334</v>
      </c>
      <c r="D31" s="11" t="s">
        <v>144</v>
      </c>
      <c r="E31" s="12">
        <v>11305</v>
      </c>
      <c r="F31" s="202">
        <v>57</v>
      </c>
      <c r="G31" s="11">
        <v>55000</v>
      </c>
      <c r="H31" s="116">
        <v>0</v>
      </c>
      <c r="I31" s="192"/>
      <c r="J31" s="204"/>
      <c r="K31" s="193"/>
      <c r="L31" s="193"/>
      <c r="M31" s="193">
        <v>55000</v>
      </c>
      <c r="N31" s="203">
        <f t="shared" si="0"/>
        <v>0</v>
      </c>
      <c r="O31" s="203">
        <f t="shared" si="1"/>
        <v>0</v>
      </c>
      <c r="P31" s="203">
        <f t="shared" si="2"/>
        <v>55000</v>
      </c>
      <c r="Q31" s="214">
        <v>46248</v>
      </c>
      <c r="R31" s="219">
        <v>46248</v>
      </c>
      <c r="S31" s="217">
        <v>46217</v>
      </c>
      <c r="T31" s="205"/>
      <c r="U31" s="205"/>
      <c r="V31" s="215" t="s">
        <v>521</v>
      </c>
      <c r="W31" s="212"/>
      <c r="X31" s="10">
        <v>7</v>
      </c>
      <c r="Y31" s="10">
        <v>7</v>
      </c>
      <c r="Z31" s="213">
        <f t="shared" si="3"/>
        <v>0</v>
      </c>
      <c r="AA31" s="62"/>
      <c r="AB31" s="62"/>
      <c r="AC31" s="62"/>
      <c r="AD31" s="62"/>
      <c r="AE31" s="62"/>
      <c r="AF31" s="63"/>
      <c r="AG31" s="64"/>
      <c r="AH31" s="6">
        <v>1</v>
      </c>
      <c r="AI31">
        <f t="shared" si="4"/>
        <v>25</v>
      </c>
      <c r="AJ31">
        <f t="shared" si="5"/>
        <v>15</v>
      </c>
      <c r="AK31">
        <f t="shared" si="6"/>
        <v>0</v>
      </c>
      <c r="AL31">
        <f t="shared" si="7"/>
        <v>0</v>
      </c>
      <c r="AM31">
        <f t="shared" si="8"/>
        <v>0</v>
      </c>
      <c r="AN31">
        <f t="shared" si="9"/>
        <v>0</v>
      </c>
      <c r="AO31">
        <f t="shared" si="10"/>
        <v>0</v>
      </c>
      <c r="AP31">
        <f t="shared" si="11"/>
        <v>0</v>
      </c>
      <c r="AQ31">
        <f t="shared" si="12"/>
        <v>0</v>
      </c>
      <c r="AR31">
        <f t="shared" si="13"/>
        <v>0</v>
      </c>
      <c r="AS31">
        <f t="shared" si="14"/>
        <v>1</v>
      </c>
      <c r="AT31">
        <f t="shared" si="15"/>
        <v>1</v>
      </c>
      <c r="AU31">
        <f t="shared" si="16"/>
        <v>0</v>
      </c>
      <c r="AV31">
        <f t="shared" si="17"/>
        <v>0</v>
      </c>
      <c r="AW31">
        <f t="shared" si="18"/>
        <v>0</v>
      </c>
      <c r="AX31">
        <f t="shared" si="19"/>
        <v>0</v>
      </c>
      <c r="AY31">
        <f t="shared" si="20"/>
        <v>0</v>
      </c>
      <c r="AZ31">
        <f t="shared" si="21"/>
        <v>0</v>
      </c>
      <c r="BA31">
        <f t="shared" si="22"/>
        <v>0</v>
      </c>
      <c r="BB31">
        <f t="shared" si="23"/>
        <v>0</v>
      </c>
      <c r="BC31">
        <f t="shared" si="24"/>
        <v>0</v>
      </c>
      <c r="BD31">
        <f t="shared" si="25"/>
        <v>0</v>
      </c>
      <c r="BE31">
        <f t="shared" si="26"/>
        <v>0</v>
      </c>
      <c r="BF31">
        <f t="shared" si="27"/>
        <v>0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201" customFormat="1" ht="14.25" x14ac:dyDescent="0.2">
      <c r="A32" s="10">
        <v>2486</v>
      </c>
      <c r="B32" s="11" t="s">
        <v>267</v>
      </c>
      <c r="C32" s="105" t="s">
        <v>268</v>
      </c>
      <c r="D32" s="11" t="s">
        <v>269</v>
      </c>
      <c r="E32" s="12">
        <v>11347</v>
      </c>
      <c r="F32" s="202">
        <v>56</v>
      </c>
      <c r="G32" s="11">
        <v>40000</v>
      </c>
      <c r="H32" s="116">
        <v>-45000</v>
      </c>
      <c r="I32" s="192"/>
      <c r="J32" s="204"/>
      <c r="K32" s="193"/>
      <c r="L32" s="193"/>
      <c r="M32" s="193">
        <v>40000</v>
      </c>
      <c r="N32" s="203">
        <f t="shared" si="0"/>
        <v>0</v>
      </c>
      <c r="O32" s="203">
        <f t="shared" si="1"/>
        <v>-45000</v>
      </c>
      <c r="P32" s="203">
        <f t="shared" si="2"/>
        <v>0</v>
      </c>
      <c r="Q32" s="214">
        <v>46246</v>
      </c>
      <c r="R32" s="219">
        <v>46246</v>
      </c>
      <c r="S32" s="217">
        <v>46216</v>
      </c>
      <c r="T32" s="205"/>
      <c r="U32" s="205"/>
      <c r="V32" s="215" t="s">
        <v>521</v>
      </c>
      <c r="W32" s="212"/>
      <c r="X32" s="10">
        <v>7</v>
      </c>
      <c r="Y32" s="10">
        <v>7</v>
      </c>
      <c r="Z32" s="213">
        <f t="shared" si="3"/>
        <v>0</v>
      </c>
      <c r="AA32" s="62"/>
      <c r="AB32" s="62"/>
      <c r="AC32" s="62"/>
      <c r="AD32" s="62"/>
      <c r="AE32" s="62"/>
      <c r="AF32" s="63"/>
      <c r="AG32" s="64"/>
      <c r="AH32" s="6">
        <v>1</v>
      </c>
      <c r="AI32">
        <f t="shared" si="4"/>
        <v>25</v>
      </c>
      <c r="AJ32">
        <f t="shared" si="5"/>
        <v>25</v>
      </c>
      <c r="AK32">
        <f t="shared" si="6"/>
        <v>0</v>
      </c>
      <c r="AL32">
        <f t="shared" si="7"/>
        <v>0</v>
      </c>
      <c r="AM32">
        <f t="shared" si="8"/>
        <v>0</v>
      </c>
      <c r="AN32">
        <f t="shared" si="9"/>
        <v>0</v>
      </c>
      <c r="AO32">
        <f t="shared" si="10"/>
        <v>0</v>
      </c>
      <c r="AP32">
        <f t="shared" si="11"/>
        <v>0</v>
      </c>
      <c r="AQ32">
        <f t="shared" si="12"/>
        <v>0</v>
      </c>
      <c r="AR32">
        <f t="shared" si="13"/>
        <v>0</v>
      </c>
      <c r="AS32">
        <f t="shared" si="14"/>
        <v>1</v>
      </c>
      <c r="AT32">
        <f t="shared" si="15"/>
        <v>1</v>
      </c>
      <c r="AU32">
        <f t="shared" si="16"/>
        <v>0</v>
      </c>
      <c r="AV32">
        <f t="shared" si="17"/>
        <v>0</v>
      </c>
      <c r="AW32">
        <f t="shared" si="18"/>
        <v>0</v>
      </c>
      <c r="AX32">
        <f t="shared" si="19"/>
        <v>0</v>
      </c>
      <c r="AY32">
        <f t="shared" si="20"/>
        <v>0</v>
      </c>
      <c r="AZ32">
        <f t="shared" si="21"/>
        <v>0</v>
      </c>
      <c r="BA32">
        <f t="shared" si="22"/>
        <v>0</v>
      </c>
      <c r="BB32">
        <f t="shared" si="23"/>
        <v>0</v>
      </c>
      <c r="BC32">
        <f t="shared" si="24"/>
        <v>0</v>
      </c>
      <c r="BD32">
        <f t="shared" si="25"/>
        <v>0</v>
      </c>
      <c r="BE32">
        <f t="shared" si="26"/>
        <v>0</v>
      </c>
      <c r="BF32">
        <f t="shared" si="27"/>
        <v>0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201" customFormat="1" ht="14.25" x14ac:dyDescent="0.2">
      <c r="A33" s="10">
        <v>2489</v>
      </c>
      <c r="B33" s="11" t="s">
        <v>335</v>
      </c>
      <c r="C33" s="105" t="s">
        <v>336</v>
      </c>
      <c r="D33" s="11" t="s">
        <v>106</v>
      </c>
      <c r="E33" s="12">
        <v>11359</v>
      </c>
      <c r="F33" s="202">
        <v>56</v>
      </c>
      <c r="G33" s="11">
        <v>150000</v>
      </c>
      <c r="H33" s="116">
        <v>-30000</v>
      </c>
      <c r="I33" s="192"/>
      <c r="J33" s="204"/>
      <c r="K33" s="193"/>
      <c r="L33" s="193"/>
      <c r="M33" s="193">
        <v>150000</v>
      </c>
      <c r="N33" s="203">
        <f t="shared" si="0"/>
        <v>0</v>
      </c>
      <c r="O33" s="203">
        <f t="shared" si="1"/>
        <v>-30000</v>
      </c>
      <c r="P33" s="203">
        <f t="shared" si="2"/>
        <v>120000</v>
      </c>
      <c r="Q33" s="214">
        <v>46261</v>
      </c>
      <c r="R33" s="219">
        <v>46261</v>
      </c>
      <c r="S33" s="217">
        <v>46227</v>
      </c>
      <c r="T33" s="205"/>
      <c r="U33" s="205"/>
      <c r="V33" s="215" t="s">
        <v>526</v>
      </c>
      <c r="W33" s="212"/>
      <c r="X33" s="10">
        <v>7</v>
      </c>
      <c r="Y33" s="10">
        <v>7</v>
      </c>
      <c r="Z33" s="213">
        <f t="shared" si="3"/>
        <v>0</v>
      </c>
      <c r="AA33" s="62"/>
      <c r="AB33" s="62"/>
      <c r="AC33" s="62"/>
      <c r="AD33" s="62"/>
      <c r="AE33" s="62"/>
      <c r="AF33" s="63"/>
      <c r="AG33" s="64"/>
      <c r="AH33" s="6">
        <v>1</v>
      </c>
      <c r="AI33">
        <f t="shared" si="4"/>
        <v>25</v>
      </c>
      <c r="AJ33">
        <f t="shared" si="5"/>
        <v>25</v>
      </c>
      <c r="AK33">
        <f t="shared" si="6"/>
        <v>0</v>
      </c>
      <c r="AL33">
        <f t="shared" si="7"/>
        <v>0</v>
      </c>
      <c r="AM33">
        <f t="shared" si="8"/>
        <v>0</v>
      </c>
      <c r="AN33">
        <f t="shared" si="9"/>
        <v>0</v>
      </c>
      <c r="AO33">
        <f t="shared" si="10"/>
        <v>0</v>
      </c>
      <c r="AP33">
        <f t="shared" si="11"/>
        <v>0</v>
      </c>
      <c r="AQ33">
        <f t="shared" si="12"/>
        <v>0</v>
      </c>
      <c r="AR33">
        <f t="shared" si="13"/>
        <v>0</v>
      </c>
      <c r="AS33">
        <f t="shared" si="14"/>
        <v>1</v>
      </c>
      <c r="AT33">
        <f t="shared" si="15"/>
        <v>1</v>
      </c>
      <c r="AU33">
        <f t="shared" si="16"/>
        <v>0</v>
      </c>
      <c r="AV33">
        <f t="shared" si="17"/>
        <v>0</v>
      </c>
      <c r="AW33">
        <f t="shared" si="18"/>
        <v>0</v>
      </c>
      <c r="AX33">
        <f t="shared" si="19"/>
        <v>0</v>
      </c>
      <c r="AY33">
        <f t="shared" si="20"/>
        <v>0</v>
      </c>
      <c r="AZ33">
        <f t="shared" si="21"/>
        <v>0</v>
      </c>
      <c r="BA33">
        <f t="shared" si="22"/>
        <v>0</v>
      </c>
      <c r="BB33">
        <f t="shared" si="23"/>
        <v>0</v>
      </c>
      <c r="BC33">
        <f t="shared" si="24"/>
        <v>0</v>
      </c>
      <c r="BD33">
        <f t="shared" si="25"/>
        <v>0</v>
      </c>
      <c r="BE33">
        <f t="shared" si="26"/>
        <v>0</v>
      </c>
      <c r="BF33">
        <f t="shared" si="27"/>
        <v>0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s="201" customFormat="1" ht="14.25" x14ac:dyDescent="0.2">
      <c r="A34" s="10">
        <v>2526</v>
      </c>
      <c r="B34" s="11" t="s">
        <v>270</v>
      </c>
      <c r="C34" s="105" t="s">
        <v>271</v>
      </c>
      <c r="D34" s="11" t="s">
        <v>272</v>
      </c>
      <c r="E34" s="12">
        <v>11399</v>
      </c>
      <c r="F34" s="202">
        <v>55</v>
      </c>
      <c r="G34" s="11">
        <v>50000</v>
      </c>
      <c r="H34" s="116">
        <v>0</v>
      </c>
      <c r="I34" s="192"/>
      <c r="J34" s="204"/>
      <c r="K34" s="193"/>
      <c r="L34" s="193"/>
      <c r="M34" s="193">
        <v>50000</v>
      </c>
      <c r="N34" s="203">
        <f t="shared" si="0"/>
        <v>0</v>
      </c>
      <c r="O34" s="203">
        <f t="shared" si="1"/>
        <v>0</v>
      </c>
      <c r="P34" s="203">
        <f t="shared" si="2"/>
        <v>50000</v>
      </c>
      <c r="Q34" s="214">
        <v>46258</v>
      </c>
      <c r="R34" s="219">
        <v>46259</v>
      </c>
      <c r="S34" s="217">
        <v>46217</v>
      </c>
      <c r="T34" s="205"/>
      <c r="U34" s="205"/>
      <c r="V34" s="215" t="s">
        <v>521</v>
      </c>
      <c r="W34" s="212"/>
      <c r="X34" s="10">
        <v>7</v>
      </c>
      <c r="Y34" s="10">
        <v>7</v>
      </c>
      <c r="Z34" s="213">
        <f t="shared" si="3"/>
        <v>0</v>
      </c>
      <c r="AA34" s="62"/>
      <c r="AB34" s="62"/>
      <c r="AC34" s="62"/>
      <c r="AD34" s="62"/>
      <c r="AE34" s="62"/>
      <c r="AF34" s="63"/>
      <c r="AG34" s="64"/>
      <c r="AH34" s="6">
        <v>1</v>
      </c>
      <c r="AI34">
        <f t="shared" si="4"/>
        <v>25</v>
      </c>
      <c r="AJ34">
        <f t="shared" si="5"/>
        <v>15</v>
      </c>
      <c r="AK34">
        <f t="shared" si="6"/>
        <v>0</v>
      </c>
      <c r="AL34">
        <f t="shared" si="7"/>
        <v>0</v>
      </c>
      <c r="AM34">
        <f t="shared" si="8"/>
        <v>0</v>
      </c>
      <c r="AN34">
        <f t="shared" si="9"/>
        <v>0</v>
      </c>
      <c r="AO34">
        <f t="shared" si="10"/>
        <v>0</v>
      </c>
      <c r="AP34">
        <f t="shared" si="11"/>
        <v>0</v>
      </c>
      <c r="AQ34">
        <f t="shared" si="12"/>
        <v>0</v>
      </c>
      <c r="AR34">
        <f t="shared" si="13"/>
        <v>0</v>
      </c>
      <c r="AS34">
        <f t="shared" si="14"/>
        <v>1</v>
      </c>
      <c r="AT34">
        <f t="shared" si="15"/>
        <v>1</v>
      </c>
      <c r="AU34">
        <f t="shared" si="16"/>
        <v>0</v>
      </c>
      <c r="AV34">
        <f t="shared" si="17"/>
        <v>0</v>
      </c>
      <c r="AW34">
        <f t="shared" si="18"/>
        <v>0</v>
      </c>
      <c r="AX34">
        <f t="shared" si="19"/>
        <v>0</v>
      </c>
      <c r="AY34">
        <f t="shared" si="20"/>
        <v>0</v>
      </c>
      <c r="AZ34">
        <f t="shared" si="21"/>
        <v>0</v>
      </c>
      <c r="BA34">
        <f t="shared" si="22"/>
        <v>0</v>
      </c>
      <c r="BB34">
        <f t="shared" si="23"/>
        <v>0</v>
      </c>
      <c r="BC34">
        <f t="shared" si="24"/>
        <v>0</v>
      </c>
      <c r="BD34">
        <f t="shared" si="25"/>
        <v>0</v>
      </c>
      <c r="BE34">
        <f t="shared" si="26"/>
        <v>0</v>
      </c>
      <c r="BF34">
        <f t="shared" si="27"/>
        <v>0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201" customFormat="1" ht="14.25" x14ac:dyDescent="0.2">
      <c r="A35" s="10">
        <v>2543</v>
      </c>
      <c r="B35" s="11" t="s">
        <v>337</v>
      </c>
      <c r="C35" s="105" t="s">
        <v>338</v>
      </c>
      <c r="D35" s="11" t="s">
        <v>106</v>
      </c>
      <c r="E35" s="12">
        <v>11367</v>
      </c>
      <c r="F35" s="202">
        <v>54</v>
      </c>
      <c r="G35" s="11">
        <v>60000</v>
      </c>
      <c r="H35" s="116">
        <v>0</v>
      </c>
      <c r="I35" s="192"/>
      <c r="J35" s="204"/>
      <c r="K35" s="193"/>
      <c r="L35" s="193"/>
      <c r="M35" s="193">
        <v>60000</v>
      </c>
      <c r="N35" s="203">
        <f t="shared" si="0"/>
        <v>0</v>
      </c>
      <c r="O35" s="203">
        <f t="shared" si="1"/>
        <v>0</v>
      </c>
      <c r="P35" s="203">
        <f t="shared" si="2"/>
        <v>60000</v>
      </c>
      <c r="Q35" s="214">
        <v>46265</v>
      </c>
      <c r="R35" s="219">
        <v>46265</v>
      </c>
      <c r="S35" s="217">
        <v>46234</v>
      </c>
      <c r="T35" s="205"/>
      <c r="U35" s="205"/>
      <c r="V35" s="215" t="s">
        <v>521</v>
      </c>
      <c r="W35" s="212"/>
      <c r="X35" s="10">
        <v>7</v>
      </c>
      <c r="Y35" s="10">
        <v>7</v>
      </c>
      <c r="Z35" s="213">
        <f t="shared" si="3"/>
        <v>0</v>
      </c>
      <c r="AA35" s="62"/>
      <c r="AB35" s="62"/>
      <c r="AC35" s="62"/>
      <c r="AD35" s="62"/>
      <c r="AE35" s="62"/>
      <c r="AF35" s="63"/>
      <c r="AG35" s="64"/>
      <c r="AH35" s="6">
        <v>1</v>
      </c>
      <c r="AI35">
        <f t="shared" si="4"/>
        <v>25</v>
      </c>
      <c r="AJ35">
        <f t="shared" si="5"/>
        <v>15</v>
      </c>
      <c r="AK35">
        <f t="shared" si="6"/>
        <v>0</v>
      </c>
      <c r="AL35">
        <f t="shared" si="7"/>
        <v>0</v>
      </c>
      <c r="AM35">
        <f t="shared" si="8"/>
        <v>0</v>
      </c>
      <c r="AN35">
        <f t="shared" si="9"/>
        <v>0</v>
      </c>
      <c r="AO35">
        <f t="shared" si="10"/>
        <v>0</v>
      </c>
      <c r="AP35">
        <f t="shared" si="11"/>
        <v>0</v>
      </c>
      <c r="AQ35">
        <f t="shared" si="12"/>
        <v>0</v>
      </c>
      <c r="AR35">
        <f t="shared" si="13"/>
        <v>0</v>
      </c>
      <c r="AS35">
        <f t="shared" si="14"/>
        <v>1</v>
      </c>
      <c r="AT35">
        <f t="shared" si="15"/>
        <v>1</v>
      </c>
      <c r="AU35">
        <f t="shared" si="16"/>
        <v>0</v>
      </c>
      <c r="AV35">
        <f t="shared" si="17"/>
        <v>0</v>
      </c>
      <c r="AW35">
        <f t="shared" si="18"/>
        <v>0</v>
      </c>
      <c r="AX35">
        <f t="shared" si="19"/>
        <v>0</v>
      </c>
      <c r="AY35">
        <f t="shared" si="20"/>
        <v>0</v>
      </c>
      <c r="AZ35">
        <f t="shared" si="21"/>
        <v>0</v>
      </c>
      <c r="BA35">
        <f t="shared" si="22"/>
        <v>0</v>
      </c>
      <c r="BB35">
        <f t="shared" si="23"/>
        <v>0</v>
      </c>
      <c r="BC35">
        <f t="shared" si="24"/>
        <v>0</v>
      </c>
      <c r="BD35">
        <f t="shared" si="25"/>
        <v>0</v>
      </c>
      <c r="BE35">
        <f t="shared" si="26"/>
        <v>0</v>
      </c>
      <c r="BF35">
        <f t="shared" si="27"/>
        <v>0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201" customFormat="1" ht="14.25" x14ac:dyDescent="0.2">
      <c r="A36" s="10">
        <v>2545</v>
      </c>
      <c r="B36" s="11" t="s">
        <v>339</v>
      </c>
      <c r="C36" s="105" t="s">
        <v>340</v>
      </c>
      <c r="D36" s="11" t="s">
        <v>222</v>
      </c>
      <c r="E36" s="12">
        <v>11371</v>
      </c>
      <c r="F36" s="202">
        <v>54</v>
      </c>
      <c r="G36" s="11">
        <v>300000</v>
      </c>
      <c r="H36" s="116">
        <v>0</v>
      </c>
      <c r="I36" s="192"/>
      <c r="J36" s="204"/>
      <c r="K36" s="193"/>
      <c r="L36" s="193"/>
      <c r="M36" s="193"/>
      <c r="N36" s="203">
        <f t="shared" ref="N36:N67" si="28">IF(H36&gt;0,G36+H36-I36-J36-K36-L36-M36,G36-I36-J36-K36-L36-M36)</f>
        <v>300000</v>
      </c>
      <c r="O36" s="203">
        <f t="shared" ref="O36:O67" si="29">G36+H36-J36-I36-K36-L36-M36</f>
        <v>300000</v>
      </c>
      <c r="P36" s="203">
        <f t="shared" ref="P36:P67" si="30">IF(G36+H36&lt;0,0,G36+H36)</f>
        <v>300000</v>
      </c>
      <c r="Q36" s="214"/>
      <c r="R36" s="219">
        <v>46259</v>
      </c>
      <c r="S36" s="217">
        <v>46217</v>
      </c>
      <c r="T36" s="205"/>
      <c r="U36" s="205"/>
      <c r="V36" s="215"/>
      <c r="W36" s="212" t="s">
        <v>535</v>
      </c>
      <c r="X36" s="10">
        <v>7</v>
      </c>
      <c r="Y36" s="10">
        <v>7</v>
      </c>
      <c r="Z36" s="213">
        <f t="shared" ref="Z36:Z67" si="31">IF(N36&lt;0,0,N36)</f>
        <v>300000</v>
      </c>
      <c r="AA36" s="62"/>
      <c r="AB36" s="62"/>
      <c r="AC36" s="62"/>
      <c r="AD36" s="62"/>
      <c r="AE36" s="62"/>
      <c r="AF36" s="63"/>
      <c r="AG36" s="64"/>
      <c r="AH36" s="6">
        <v>1</v>
      </c>
      <c r="AI36">
        <f t="shared" ref="AI36:AI67" si="32">IF(F36&lt;=6,15,25)</f>
        <v>25</v>
      </c>
      <c r="AJ36">
        <f t="shared" ref="AJ36:AJ67" si="33">IF(O36&lt;&gt;0,25,15)</f>
        <v>25</v>
      </c>
      <c r="AK36">
        <f t="shared" ref="AK36:AK67" si="34">IF(AI36-T36=24,1,0)</f>
        <v>0</v>
      </c>
      <c r="AL36">
        <f t="shared" ref="AL36:AL67" si="35">IF(AH36-AK36=AH36,0,AH36)</f>
        <v>0</v>
      </c>
      <c r="AM36">
        <f t="shared" ref="AM36:AM67" si="36">IF(AK36&lt;&gt;0,U36,0)</f>
        <v>0</v>
      </c>
      <c r="AN36">
        <f t="shared" ref="AN36:AN67" si="37">IF(AK36=1,O36,0)</f>
        <v>0</v>
      </c>
      <c r="AO36">
        <f t="shared" ref="AO36:AO67" si="38">IF(AI36-T36=14,1,0)</f>
        <v>0</v>
      </c>
      <c r="AP36">
        <f t="shared" ref="AP36:AP67" si="39">IF(AH36-AO36=AH36,0,AH36)</f>
        <v>0</v>
      </c>
      <c r="AQ36">
        <f t="shared" ref="AQ36:AQ67" si="40">IF(AO36&lt;&gt;0,U36,0)</f>
        <v>0</v>
      </c>
      <c r="AR36">
        <f t="shared" ref="AR36:AR67" si="41">IF(AO36=1,O36,0)</f>
        <v>0</v>
      </c>
      <c r="AS36">
        <f t="shared" ref="AS36:AS67" si="42">IF(SUM(I36:M36)&lt;&gt;0,1,0)</f>
        <v>0</v>
      </c>
      <c r="AT36">
        <f t="shared" ref="AT36:AT67" si="43">AS36</f>
        <v>0</v>
      </c>
      <c r="AU36">
        <f t="shared" ref="AU36:AU67" si="44">IF(O36&gt;0,1,0)</f>
        <v>1</v>
      </c>
      <c r="AV36">
        <f t="shared" ref="AV36:AV67" si="45">IF(AK36+AO36+AU36=1,AU36,0)</f>
        <v>1</v>
      </c>
      <c r="AW36">
        <f t="shared" ref="AW36:AW67" si="46">IF(AI36-AV36=24,1,0)</f>
        <v>1</v>
      </c>
      <c r="AX36">
        <f t="shared" ref="AX36:AX67" si="47">IF(AH36-AW36=AH36,0,AH36)</f>
        <v>1</v>
      </c>
      <c r="AY36">
        <f t="shared" ref="AY36:AY67" si="48">IF(AW36=1,O36,0)</f>
        <v>300000</v>
      </c>
      <c r="AZ36">
        <f t="shared" ref="AZ36:AZ67" si="49">IF(AY36-BA36&lt;&gt;0,AY36,0)</f>
        <v>300000</v>
      </c>
      <c r="BA36">
        <f t="shared" ref="BA36:BA67" si="50">IF(AY36&lt;0,AY36,0)</f>
        <v>0</v>
      </c>
      <c r="BB36">
        <f t="shared" ref="BB36:BB67" si="51">IF(AI36-AV36=14,1,0)</f>
        <v>0</v>
      </c>
      <c r="BC36">
        <f t="shared" ref="BC36:BC67" si="52">IF(AH36-BB36=AH36,0,AH36)</f>
        <v>0</v>
      </c>
      <c r="BD36">
        <f t="shared" ref="BD36:BD67" si="53">IF(BB36=1,O36,0)</f>
        <v>0</v>
      </c>
      <c r="BE36">
        <f t="shared" ref="BE36:BE67" si="54">IF(BD36&lt;0,BD36,0)</f>
        <v>0</v>
      </c>
      <c r="BF36">
        <f t="shared" ref="BF36:BF67" si="55">IF(BD36-BE36&lt;&gt;0,BD36,0)</f>
        <v>0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201" customFormat="1" ht="14.25" x14ac:dyDescent="0.2">
      <c r="A37" s="10">
        <v>2548</v>
      </c>
      <c r="B37" s="11" t="s">
        <v>341</v>
      </c>
      <c r="C37" s="105" t="s">
        <v>342</v>
      </c>
      <c r="D37" s="11" t="s">
        <v>106</v>
      </c>
      <c r="E37" s="12">
        <v>11381</v>
      </c>
      <c r="F37" s="202">
        <v>54</v>
      </c>
      <c r="G37" s="11">
        <v>60000</v>
      </c>
      <c r="H37" s="116">
        <v>-10000</v>
      </c>
      <c r="I37" s="192"/>
      <c r="J37" s="204"/>
      <c r="K37" s="193"/>
      <c r="L37" s="193"/>
      <c r="M37" s="193">
        <v>60000</v>
      </c>
      <c r="N37" s="203">
        <f t="shared" si="28"/>
        <v>0</v>
      </c>
      <c r="O37" s="203">
        <f t="shared" si="29"/>
        <v>-10000</v>
      </c>
      <c r="P37" s="203">
        <f t="shared" si="30"/>
        <v>50000</v>
      </c>
      <c r="Q37" s="214">
        <v>46251</v>
      </c>
      <c r="R37" s="219">
        <v>46251</v>
      </c>
      <c r="S37" s="217">
        <v>46223</v>
      </c>
      <c r="T37" s="205"/>
      <c r="U37" s="205"/>
      <c r="V37" s="215" t="s">
        <v>521</v>
      </c>
      <c r="W37" s="212"/>
      <c r="X37" s="10">
        <v>7</v>
      </c>
      <c r="Y37" s="10">
        <v>7</v>
      </c>
      <c r="Z37" s="213">
        <f t="shared" si="31"/>
        <v>0</v>
      </c>
      <c r="AA37" s="62"/>
      <c r="AB37" s="62"/>
      <c r="AC37" s="62"/>
      <c r="AD37" s="62"/>
      <c r="AE37" s="62"/>
      <c r="AF37" s="63"/>
      <c r="AG37" s="64"/>
      <c r="AH37" s="6">
        <v>1</v>
      </c>
      <c r="AI37">
        <f t="shared" si="32"/>
        <v>25</v>
      </c>
      <c r="AJ37">
        <f t="shared" si="33"/>
        <v>25</v>
      </c>
      <c r="AK37">
        <f t="shared" si="34"/>
        <v>0</v>
      </c>
      <c r="AL37">
        <f t="shared" si="35"/>
        <v>0</v>
      </c>
      <c r="AM37">
        <f t="shared" si="36"/>
        <v>0</v>
      </c>
      <c r="AN37">
        <f t="shared" si="37"/>
        <v>0</v>
      </c>
      <c r="AO37">
        <f t="shared" si="38"/>
        <v>0</v>
      </c>
      <c r="AP37">
        <f t="shared" si="39"/>
        <v>0</v>
      </c>
      <c r="AQ37">
        <f t="shared" si="40"/>
        <v>0</v>
      </c>
      <c r="AR37">
        <f t="shared" si="41"/>
        <v>0</v>
      </c>
      <c r="AS37">
        <f t="shared" si="42"/>
        <v>1</v>
      </c>
      <c r="AT37">
        <f t="shared" si="43"/>
        <v>1</v>
      </c>
      <c r="AU37">
        <f t="shared" si="44"/>
        <v>0</v>
      </c>
      <c r="AV37">
        <f t="shared" si="45"/>
        <v>0</v>
      </c>
      <c r="AW37">
        <f t="shared" si="46"/>
        <v>0</v>
      </c>
      <c r="AX37">
        <f t="shared" si="47"/>
        <v>0</v>
      </c>
      <c r="AY37">
        <f t="shared" si="48"/>
        <v>0</v>
      </c>
      <c r="AZ37">
        <f t="shared" si="49"/>
        <v>0</v>
      </c>
      <c r="BA37">
        <f t="shared" si="50"/>
        <v>0</v>
      </c>
      <c r="BB37">
        <f t="shared" si="51"/>
        <v>0</v>
      </c>
      <c r="BC37">
        <f t="shared" si="52"/>
        <v>0</v>
      </c>
      <c r="BD37">
        <f t="shared" si="53"/>
        <v>0</v>
      </c>
      <c r="BE37">
        <f t="shared" si="54"/>
        <v>0</v>
      </c>
      <c r="BF37">
        <f t="shared" si="55"/>
        <v>0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201" customFormat="1" ht="14.25" x14ac:dyDescent="0.2">
      <c r="A38" s="10">
        <v>2549</v>
      </c>
      <c r="B38" s="11" t="s">
        <v>343</v>
      </c>
      <c r="C38" s="105" t="s">
        <v>344</v>
      </c>
      <c r="D38" s="11" t="s">
        <v>105</v>
      </c>
      <c r="E38" s="12">
        <v>11382</v>
      </c>
      <c r="F38" s="202">
        <v>54</v>
      </c>
      <c r="G38" s="11">
        <v>60000</v>
      </c>
      <c r="H38" s="116">
        <v>-24000</v>
      </c>
      <c r="I38" s="192"/>
      <c r="J38" s="204"/>
      <c r="K38" s="193"/>
      <c r="L38" s="193"/>
      <c r="M38" s="193">
        <v>60000</v>
      </c>
      <c r="N38" s="203">
        <f t="shared" si="28"/>
        <v>0</v>
      </c>
      <c r="O38" s="203">
        <f t="shared" si="29"/>
        <v>-24000</v>
      </c>
      <c r="P38" s="203">
        <f t="shared" si="30"/>
        <v>36000</v>
      </c>
      <c r="Q38" s="214">
        <v>46247</v>
      </c>
      <c r="R38" s="219">
        <v>46247</v>
      </c>
      <c r="S38" s="217">
        <v>46211</v>
      </c>
      <c r="T38" s="205"/>
      <c r="U38" s="205"/>
      <c r="V38" s="215" t="s">
        <v>521</v>
      </c>
      <c r="W38" s="212"/>
      <c r="X38" s="10">
        <v>7</v>
      </c>
      <c r="Y38" s="10">
        <v>7</v>
      </c>
      <c r="Z38" s="213">
        <f t="shared" si="31"/>
        <v>0</v>
      </c>
      <c r="AA38" s="62"/>
      <c r="AB38" s="62"/>
      <c r="AC38" s="62"/>
      <c r="AD38" s="62"/>
      <c r="AE38" s="62"/>
      <c r="AF38" s="63"/>
      <c r="AG38" s="64"/>
      <c r="AH38" s="6">
        <v>1</v>
      </c>
      <c r="AI38">
        <f t="shared" si="32"/>
        <v>25</v>
      </c>
      <c r="AJ38">
        <f t="shared" si="33"/>
        <v>25</v>
      </c>
      <c r="AK38">
        <f t="shared" si="34"/>
        <v>0</v>
      </c>
      <c r="AL38">
        <f t="shared" si="35"/>
        <v>0</v>
      </c>
      <c r="AM38">
        <f t="shared" si="36"/>
        <v>0</v>
      </c>
      <c r="AN38">
        <f t="shared" si="37"/>
        <v>0</v>
      </c>
      <c r="AO38">
        <f t="shared" si="38"/>
        <v>0</v>
      </c>
      <c r="AP38">
        <f t="shared" si="39"/>
        <v>0</v>
      </c>
      <c r="AQ38">
        <f t="shared" si="40"/>
        <v>0</v>
      </c>
      <c r="AR38">
        <f t="shared" si="41"/>
        <v>0</v>
      </c>
      <c r="AS38">
        <f t="shared" si="42"/>
        <v>1</v>
      </c>
      <c r="AT38">
        <f t="shared" si="43"/>
        <v>1</v>
      </c>
      <c r="AU38">
        <f t="shared" si="44"/>
        <v>0</v>
      </c>
      <c r="AV38">
        <f t="shared" si="45"/>
        <v>0</v>
      </c>
      <c r="AW38">
        <f t="shared" si="46"/>
        <v>0</v>
      </c>
      <c r="AX38">
        <f t="shared" si="47"/>
        <v>0</v>
      </c>
      <c r="AY38">
        <f t="shared" si="48"/>
        <v>0</v>
      </c>
      <c r="AZ38">
        <f t="shared" si="49"/>
        <v>0</v>
      </c>
      <c r="BA38">
        <f t="shared" si="50"/>
        <v>0</v>
      </c>
      <c r="BB38">
        <f t="shared" si="51"/>
        <v>0</v>
      </c>
      <c r="BC38">
        <f t="shared" si="52"/>
        <v>0</v>
      </c>
      <c r="BD38">
        <f t="shared" si="53"/>
        <v>0</v>
      </c>
      <c r="BE38">
        <f t="shared" si="54"/>
        <v>0</v>
      </c>
      <c r="BF38">
        <f t="shared" si="55"/>
        <v>0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201" customFormat="1" ht="14.25" x14ac:dyDescent="0.2">
      <c r="A39" s="10">
        <v>2556</v>
      </c>
      <c r="B39" s="11" t="s">
        <v>345</v>
      </c>
      <c r="C39" s="105" t="s">
        <v>346</v>
      </c>
      <c r="D39" s="11" t="s">
        <v>144</v>
      </c>
      <c r="E39" s="12">
        <v>11440</v>
      </c>
      <c r="F39" s="202">
        <v>54</v>
      </c>
      <c r="G39" s="11">
        <v>60000</v>
      </c>
      <c r="H39" s="116">
        <v>0</v>
      </c>
      <c r="I39" s="192"/>
      <c r="J39" s="204"/>
      <c r="K39" s="193"/>
      <c r="L39" s="193"/>
      <c r="M39" s="193">
        <v>60000</v>
      </c>
      <c r="N39" s="203">
        <f t="shared" si="28"/>
        <v>0</v>
      </c>
      <c r="O39" s="203">
        <f t="shared" si="29"/>
        <v>0</v>
      </c>
      <c r="P39" s="203">
        <f t="shared" si="30"/>
        <v>60000</v>
      </c>
      <c r="Q39" s="214">
        <v>46254</v>
      </c>
      <c r="R39" s="219">
        <v>46254</v>
      </c>
      <c r="S39" s="217">
        <v>46223</v>
      </c>
      <c r="T39" s="205"/>
      <c r="U39" s="205"/>
      <c r="V39" s="215" t="s">
        <v>521</v>
      </c>
      <c r="W39" s="212"/>
      <c r="X39" s="10">
        <v>7</v>
      </c>
      <c r="Y39" s="10">
        <v>7</v>
      </c>
      <c r="Z39" s="213">
        <f t="shared" si="31"/>
        <v>0</v>
      </c>
      <c r="AA39" s="62"/>
      <c r="AB39" s="62"/>
      <c r="AC39" s="62"/>
      <c r="AD39" s="62"/>
      <c r="AE39" s="62"/>
      <c r="AF39" s="63"/>
      <c r="AG39" s="64"/>
      <c r="AH39" s="6">
        <v>1</v>
      </c>
      <c r="AI39">
        <f t="shared" si="32"/>
        <v>25</v>
      </c>
      <c r="AJ39">
        <f t="shared" si="33"/>
        <v>15</v>
      </c>
      <c r="AK39">
        <f t="shared" si="34"/>
        <v>0</v>
      </c>
      <c r="AL39">
        <f t="shared" si="35"/>
        <v>0</v>
      </c>
      <c r="AM39">
        <f t="shared" si="36"/>
        <v>0</v>
      </c>
      <c r="AN39">
        <f t="shared" si="37"/>
        <v>0</v>
      </c>
      <c r="AO39">
        <f t="shared" si="38"/>
        <v>0</v>
      </c>
      <c r="AP39">
        <f t="shared" si="39"/>
        <v>0</v>
      </c>
      <c r="AQ39">
        <f t="shared" si="40"/>
        <v>0</v>
      </c>
      <c r="AR39">
        <f t="shared" si="41"/>
        <v>0</v>
      </c>
      <c r="AS39">
        <f t="shared" si="42"/>
        <v>1</v>
      </c>
      <c r="AT39">
        <f t="shared" si="43"/>
        <v>1</v>
      </c>
      <c r="AU39">
        <f t="shared" si="44"/>
        <v>0</v>
      </c>
      <c r="AV39">
        <f t="shared" si="45"/>
        <v>0</v>
      </c>
      <c r="AW39">
        <f t="shared" si="46"/>
        <v>0</v>
      </c>
      <c r="AX39">
        <f t="shared" si="47"/>
        <v>0</v>
      </c>
      <c r="AY39">
        <f t="shared" si="48"/>
        <v>0</v>
      </c>
      <c r="AZ39">
        <f t="shared" si="49"/>
        <v>0</v>
      </c>
      <c r="BA39">
        <f t="shared" si="50"/>
        <v>0</v>
      </c>
      <c r="BB39">
        <f t="shared" si="51"/>
        <v>0</v>
      </c>
      <c r="BC39">
        <f t="shared" si="52"/>
        <v>0</v>
      </c>
      <c r="BD39">
        <f t="shared" si="53"/>
        <v>0</v>
      </c>
      <c r="BE39">
        <f t="shared" si="54"/>
        <v>0</v>
      </c>
      <c r="BF39">
        <f t="shared" si="55"/>
        <v>0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201" customFormat="1" ht="14.25" x14ac:dyDescent="0.2">
      <c r="A40" s="10">
        <v>2578</v>
      </c>
      <c r="B40" s="11" t="s">
        <v>347</v>
      </c>
      <c r="C40" s="105" t="s">
        <v>348</v>
      </c>
      <c r="D40" s="11" t="s">
        <v>106</v>
      </c>
      <c r="E40" s="12">
        <v>11425</v>
      </c>
      <c r="F40" s="202">
        <v>53</v>
      </c>
      <c r="G40" s="11">
        <v>60000</v>
      </c>
      <c r="H40" s="116">
        <v>0</v>
      </c>
      <c r="I40" s="192"/>
      <c r="J40" s="204"/>
      <c r="K40" s="193"/>
      <c r="L40" s="193"/>
      <c r="M40" s="193">
        <v>60000</v>
      </c>
      <c r="N40" s="203">
        <f t="shared" si="28"/>
        <v>0</v>
      </c>
      <c r="O40" s="203">
        <f t="shared" si="29"/>
        <v>0</v>
      </c>
      <c r="P40" s="203">
        <f t="shared" si="30"/>
        <v>60000</v>
      </c>
      <c r="Q40" s="214">
        <v>46265</v>
      </c>
      <c r="R40" s="219">
        <v>46265</v>
      </c>
      <c r="S40" s="217">
        <v>46234</v>
      </c>
      <c r="T40" s="205"/>
      <c r="U40" s="205"/>
      <c r="V40" s="215" t="s">
        <v>521</v>
      </c>
      <c r="W40" s="212"/>
      <c r="X40" s="10">
        <v>7</v>
      </c>
      <c r="Y40" s="10">
        <v>7</v>
      </c>
      <c r="Z40" s="213">
        <f t="shared" si="31"/>
        <v>0</v>
      </c>
      <c r="AA40" s="62"/>
      <c r="AB40" s="62"/>
      <c r="AC40" s="62"/>
      <c r="AD40" s="62"/>
      <c r="AE40" s="62"/>
      <c r="AF40" s="63"/>
      <c r="AG40" s="64"/>
      <c r="AH40" s="6">
        <v>1</v>
      </c>
      <c r="AI40">
        <f t="shared" si="32"/>
        <v>25</v>
      </c>
      <c r="AJ40">
        <f t="shared" si="33"/>
        <v>15</v>
      </c>
      <c r="AK40">
        <f t="shared" si="34"/>
        <v>0</v>
      </c>
      <c r="AL40">
        <f t="shared" si="35"/>
        <v>0</v>
      </c>
      <c r="AM40">
        <f t="shared" si="36"/>
        <v>0</v>
      </c>
      <c r="AN40">
        <f t="shared" si="37"/>
        <v>0</v>
      </c>
      <c r="AO40">
        <f t="shared" si="38"/>
        <v>0</v>
      </c>
      <c r="AP40">
        <f t="shared" si="39"/>
        <v>0</v>
      </c>
      <c r="AQ40">
        <f t="shared" si="40"/>
        <v>0</v>
      </c>
      <c r="AR40">
        <f t="shared" si="41"/>
        <v>0</v>
      </c>
      <c r="AS40">
        <f t="shared" si="42"/>
        <v>1</v>
      </c>
      <c r="AT40">
        <f t="shared" si="43"/>
        <v>1</v>
      </c>
      <c r="AU40">
        <f t="shared" si="44"/>
        <v>0</v>
      </c>
      <c r="AV40">
        <f t="shared" si="45"/>
        <v>0</v>
      </c>
      <c r="AW40">
        <f t="shared" si="46"/>
        <v>0</v>
      </c>
      <c r="AX40">
        <f t="shared" si="47"/>
        <v>0</v>
      </c>
      <c r="AY40">
        <f t="shared" si="48"/>
        <v>0</v>
      </c>
      <c r="AZ40">
        <f t="shared" si="49"/>
        <v>0</v>
      </c>
      <c r="BA40">
        <f t="shared" si="50"/>
        <v>0</v>
      </c>
      <c r="BB40">
        <f t="shared" si="51"/>
        <v>0</v>
      </c>
      <c r="BC40">
        <f t="shared" si="52"/>
        <v>0</v>
      </c>
      <c r="BD40">
        <f t="shared" si="53"/>
        <v>0</v>
      </c>
      <c r="BE40">
        <f t="shared" si="54"/>
        <v>0</v>
      </c>
      <c r="BF40">
        <f t="shared" si="55"/>
        <v>0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201" customFormat="1" ht="14.25" x14ac:dyDescent="0.2">
      <c r="A41" s="10">
        <v>2580</v>
      </c>
      <c r="B41" s="11" t="s">
        <v>349</v>
      </c>
      <c r="C41" s="105" t="s">
        <v>350</v>
      </c>
      <c r="D41" s="11" t="s">
        <v>252</v>
      </c>
      <c r="E41" s="12">
        <v>11428</v>
      </c>
      <c r="F41" s="202">
        <v>53</v>
      </c>
      <c r="G41" s="11">
        <v>60000</v>
      </c>
      <c r="H41" s="116">
        <v>0</v>
      </c>
      <c r="I41" s="192"/>
      <c r="J41" s="204"/>
      <c r="K41" s="193"/>
      <c r="L41" s="193"/>
      <c r="M41" s="193">
        <v>60000</v>
      </c>
      <c r="N41" s="203">
        <f t="shared" si="28"/>
        <v>0</v>
      </c>
      <c r="O41" s="203">
        <f t="shared" si="29"/>
        <v>0</v>
      </c>
      <c r="P41" s="203">
        <f t="shared" si="30"/>
        <v>60000</v>
      </c>
      <c r="Q41" s="214">
        <v>46255</v>
      </c>
      <c r="R41" s="219">
        <v>46254</v>
      </c>
      <c r="S41" s="217">
        <v>46223</v>
      </c>
      <c r="T41" s="205"/>
      <c r="U41" s="205"/>
      <c r="V41" s="215" t="s">
        <v>521</v>
      </c>
      <c r="W41" s="212"/>
      <c r="X41" s="10">
        <v>7</v>
      </c>
      <c r="Y41" s="10">
        <v>7</v>
      </c>
      <c r="Z41" s="213">
        <f t="shared" si="31"/>
        <v>0</v>
      </c>
      <c r="AA41" s="62"/>
      <c r="AB41" s="62"/>
      <c r="AC41" s="62"/>
      <c r="AD41" s="62"/>
      <c r="AE41" s="62"/>
      <c r="AF41" s="63"/>
      <c r="AG41" s="64"/>
      <c r="AH41" s="6">
        <v>1</v>
      </c>
      <c r="AI41">
        <f t="shared" si="32"/>
        <v>25</v>
      </c>
      <c r="AJ41">
        <f t="shared" si="33"/>
        <v>15</v>
      </c>
      <c r="AK41">
        <f t="shared" si="34"/>
        <v>0</v>
      </c>
      <c r="AL41">
        <f t="shared" si="35"/>
        <v>0</v>
      </c>
      <c r="AM41">
        <f t="shared" si="36"/>
        <v>0</v>
      </c>
      <c r="AN41">
        <f t="shared" si="37"/>
        <v>0</v>
      </c>
      <c r="AO41">
        <f t="shared" si="38"/>
        <v>0</v>
      </c>
      <c r="AP41">
        <f t="shared" si="39"/>
        <v>0</v>
      </c>
      <c r="AQ41">
        <f t="shared" si="40"/>
        <v>0</v>
      </c>
      <c r="AR41">
        <f t="shared" si="41"/>
        <v>0</v>
      </c>
      <c r="AS41">
        <f t="shared" si="42"/>
        <v>1</v>
      </c>
      <c r="AT41">
        <f t="shared" si="43"/>
        <v>1</v>
      </c>
      <c r="AU41">
        <f t="shared" si="44"/>
        <v>0</v>
      </c>
      <c r="AV41">
        <f t="shared" si="45"/>
        <v>0</v>
      </c>
      <c r="AW41">
        <f t="shared" si="46"/>
        <v>0</v>
      </c>
      <c r="AX41">
        <f t="shared" si="47"/>
        <v>0</v>
      </c>
      <c r="AY41">
        <f t="shared" si="48"/>
        <v>0</v>
      </c>
      <c r="AZ41">
        <f t="shared" si="49"/>
        <v>0</v>
      </c>
      <c r="BA41">
        <f t="shared" si="50"/>
        <v>0</v>
      </c>
      <c r="BB41">
        <f t="shared" si="51"/>
        <v>0</v>
      </c>
      <c r="BC41">
        <f t="shared" si="52"/>
        <v>0</v>
      </c>
      <c r="BD41">
        <f t="shared" si="53"/>
        <v>0</v>
      </c>
      <c r="BE41">
        <f t="shared" si="54"/>
        <v>0</v>
      </c>
      <c r="BF41">
        <f t="shared" si="55"/>
        <v>0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s="201" customFormat="1" ht="14.25" x14ac:dyDescent="0.2">
      <c r="A42" s="10">
        <v>2583</v>
      </c>
      <c r="B42" s="11" t="s">
        <v>351</v>
      </c>
      <c r="C42" s="105" t="s">
        <v>352</v>
      </c>
      <c r="D42" s="11" t="s">
        <v>106</v>
      </c>
      <c r="E42" s="12">
        <v>11432</v>
      </c>
      <c r="F42" s="202">
        <v>53</v>
      </c>
      <c r="G42" s="11">
        <v>60000</v>
      </c>
      <c r="H42" s="116">
        <v>-180000</v>
      </c>
      <c r="I42" s="192"/>
      <c r="J42" s="204"/>
      <c r="K42" s="193"/>
      <c r="L42" s="193"/>
      <c r="M42" s="193"/>
      <c r="N42" s="203">
        <f t="shared" si="28"/>
        <v>60000</v>
      </c>
      <c r="O42" s="203">
        <f t="shared" si="29"/>
        <v>-120000</v>
      </c>
      <c r="P42" s="203">
        <f t="shared" si="30"/>
        <v>0</v>
      </c>
      <c r="Q42" s="214"/>
      <c r="R42" s="219">
        <v>46265</v>
      </c>
      <c r="S42" s="217">
        <v>46205</v>
      </c>
      <c r="T42" s="205"/>
      <c r="U42" s="205"/>
      <c r="V42" s="215"/>
      <c r="W42" s="212" t="s">
        <v>536</v>
      </c>
      <c r="X42" s="10">
        <v>7</v>
      </c>
      <c r="Y42" s="10">
        <v>7</v>
      </c>
      <c r="Z42" s="213">
        <f t="shared" si="31"/>
        <v>60000</v>
      </c>
      <c r="AA42" s="62"/>
      <c r="AB42" s="62"/>
      <c r="AC42" s="62"/>
      <c r="AD42" s="62"/>
      <c r="AE42" s="62"/>
      <c r="AF42" s="63"/>
      <c r="AG42" s="64"/>
      <c r="AH42" s="6">
        <v>1</v>
      </c>
      <c r="AI42">
        <f t="shared" si="32"/>
        <v>25</v>
      </c>
      <c r="AJ42">
        <f t="shared" si="33"/>
        <v>25</v>
      </c>
      <c r="AK42">
        <f t="shared" si="34"/>
        <v>0</v>
      </c>
      <c r="AL42">
        <f t="shared" si="35"/>
        <v>0</v>
      </c>
      <c r="AM42">
        <f t="shared" si="36"/>
        <v>0</v>
      </c>
      <c r="AN42">
        <f t="shared" si="37"/>
        <v>0</v>
      </c>
      <c r="AO42">
        <f t="shared" si="38"/>
        <v>0</v>
      </c>
      <c r="AP42">
        <f t="shared" si="39"/>
        <v>0</v>
      </c>
      <c r="AQ42">
        <f t="shared" si="40"/>
        <v>0</v>
      </c>
      <c r="AR42">
        <f t="shared" si="41"/>
        <v>0</v>
      </c>
      <c r="AS42">
        <f t="shared" si="42"/>
        <v>0</v>
      </c>
      <c r="AT42">
        <f t="shared" si="43"/>
        <v>0</v>
      </c>
      <c r="AU42">
        <f t="shared" si="44"/>
        <v>0</v>
      </c>
      <c r="AV42">
        <f t="shared" si="45"/>
        <v>0</v>
      </c>
      <c r="AW42">
        <f t="shared" si="46"/>
        <v>0</v>
      </c>
      <c r="AX42">
        <f t="shared" si="47"/>
        <v>0</v>
      </c>
      <c r="AY42">
        <f t="shared" si="48"/>
        <v>0</v>
      </c>
      <c r="AZ42">
        <f t="shared" si="49"/>
        <v>0</v>
      </c>
      <c r="BA42">
        <f t="shared" si="50"/>
        <v>0</v>
      </c>
      <c r="BB42">
        <f t="shared" si="51"/>
        <v>0</v>
      </c>
      <c r="BC42">
        <f t="shared" si="52"/>
        <v>0</v>
      </c>
      <c r="BD42">
        <f t="shared" si="53"/>
        <v>0</v>
      </c>
      <c r="BE42">
        <f t="shared" si="54"/>
        <v>0</v>
      </c>
      <c r="BF42">
        <f t="shared" si="55"/>
        <v>0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201" customFormat="1" ht="14.25" x14ac:dyDescent="0.2">
      <c r="A43" s="10">
        <v>2585</v>
      </c>
      <c r="B43" s="11" t="s">
        <v>353</v>
      </c>
      <c r="C43" s="105" t="s">
        <v>354</v>
      </c>
      <c r="D43" s="11" t="s">
        <v>154</v>
      </c>
      <c r="E43" s="12">
        <v>11434</v>
      </c>
      <c r="F43" s="202">
        <v>53</v>
      </c>
      <c r="G43" s="11">
        <v>60000</v>
      </c>
      <c r="H43" s="116">
        <v>-200000</v>
      </c>
      <c r="I43" s="192"/>
      <c r="J43" s="204"/>
      <c r="K43" s="193"/>
      <c r="L43" s="193"/>
      <c r="M43" s="193">
        <v>60000</v>
      </c>
      <c r="N43" s="203">
        <f t="shared" si="28"/>
        <v>0</v>
      </c>
      <c r="O43" s="203">
        <f t="shared" si="29"/>
        <v>-200000</v>
      </c>
      <c r="P43" s="203">
        <f t="shared" si="30"/>
        <v>0</v>
      </c>
      <c r="Q43" s="214">
        <v>46265</v>
      </c>
      <c r="R43" s="219">
        <v>46263</v>
      </c>
      <c r="S43" s="217">
        <v>46232</v>
      </c>
      <c r="T43" s="205"/>
      <c r="U43" s="205"/>
      <c r="V43" s="215" t="s">
        <v>521</v>
      </c>
      <c r="W43" s="212"/>
      <c r="X43" s="10">
        <v>7</v>
      </c>
      <c r="Y43" s="10">
        <v>7</v>
      </c>
      <c r="Z43" s="213">
        <f t="shared" si="31"/>
        <v>0</v>
      </c>
      <c r="AA43" s="62"/>
      <c r="AB43" s="62"/>
      <c r="AC43" s="62"/>
      <c r="AD43" s="62"/>
      <c r="AE43" s="62"/>
      <c r="AF43" s="63"/>
      <c r="AG43" s="64"/>
      <c r="AH43" s="6">
        <v>1</v>
      </c>
      <c r="AI43">
        <f t="shared" si="32"/>
        <v>25</v>
      </c>
      <c r="AJ43">
        <f t="shared" si="33"/>
        <v>25</v>
      </c>
      <c r="AK43">
        <f t="shared" si="34"/>
        <v>0</v>
      </c>
      <c r="AL43">
        <f t="shared" si="35"/>
        <v>0</v>
      </c>
      <c r="AM43">
        <f t="shared" si="36"/>
        <v>0</v>
      </c>
      <c r="AN43">
        <f t="shared" si="37"/>
        <v>0</v>
      </c>
      <c r="AO43">
        <f t="shared" si="38"/>
        <v>0</v>
      </c>
      <c r="AP43">
        <f t="shared" si="39"/>
        <v>0</v>
      </c>
      <c r="AQ43">
        <f t="shared" si="40"/>
        <v>0</v>
      </c>
      <c r="AR43">
        <f t="shared" si="41"/>
        <v>0</v>
      </c>
      <c r="AS43">
        <f t="shared" si="42"/>
        <v>1</v>
      </c>
      <c r="AT43">
        <f t="shared" si="43"/>
        <v>1</v>
      </c>
      <c r="AU43">
        <f t="shared" si="44"/>
        <v>0</v>
      </c>
      <c r="AV43">
        <f t="shared" si="45"/>
        <v>0</v>
      </c>
      <c r="AW43">
        <f t="shared" si="46"/>
        <v>0</v>
      </c>
      <c r="AX43">
        <f t="shared" si="47"/>
        <v>0</v>
      </c>
      <c r="AY43">
        <f t="shared" si="48"/>
        <v>0</v>
      </c>
      <c r="AZ43">
        <f t="shared" si="49"/>
        <v>0</v>
      </c>
      <c r="BA43">
        <f t="shared" si="50"/>
        <v>0</v>
      </c>
      <c r="BB43">
        <f t="shared" si="51"/>
        <v>0</v>
      </c>
      <c r="BC43">
        <f t="shared" si="52"/>
        <v>0</v>
      </c>
      <c r="BD43">
        <f t="shared" si="53"/>
        <v>0</v>
      </c>
      <c r="BE43">
        <f t="shared" si="54"/>
        <v>0</v>
      </c>
      <c r="BF43">
        <f t="shared" si="55"/>
        <v>0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s="201" customFormat="1" ht="14.25" x14ac:dyDescent="0.2">
      <c r="A44" s="10">
        <v>2615</v>
      </c>
      <c r="B44" s="11" t="s">
        <v>355</v>
      </c>
      <c r="C44" s="105" t="s">
        <v>356</v>
      </c>
      <c r="D44" s="11" t="s">
        <v>357</v>
      </c>
      <c r="E44" s="12">
        <v>11506</v>
      </c>
      <c r="F44" s="202">
        <v>52</v>
      </c>
      <c r="G44" s="11">
        <v>60000</v>
      </c>
      <c r="H44" s="116">
        <v>0</v>
      </c>
      <c r="I44" s="192"/>
      <c r="J44" s="204"/>
      <c r="K44" s="193"/>
      <c r="L44" s="193"/>
      <c r="M44" s="193">
        <v>60000</v>
      </c>
      <c r="N44" s="203">
        <f t="shared" si="28"/>
        <v>0</v>
      </c>
      <c r="O44" s="203">
        <f t="shared" si="29"/>
        <v>0</v>
      </c>
      <c r="P44" s="203">
        <f t="shared" si="30"/>
        <v>60000</v>
      </c>
      <c r="Q44" s="214">
        <v>46253</v>
      </c>
      <c r="R44" s="219">
        <v>46253</v>
      </c>
      <c r="S44" s="217">
        <v>46218</v>
      </c>
      <c r="T44" s="205"/>
      <c r="U44" s="205"/>
      <c r="V44" s="215" t="s">
        <v>521</v>
      </c>
      <c r="W44" s="212"/>
      <c r="X44" s="10">
        <v>7</v>
      </c>
      <c r="Y44" s="10">
        <v>7</v>
      </c>
      <c r="Z44" s="213">
        <f t="shared" si="31"/>
        <v>0</v>
      </c>
      <c r="AA44" s="62"/>
      <c r="AB44" s="62"/>
      <c r="AC44" s="62"/>
      <c r="AD44" s="62"/>
      <c r="AE44" s="62"/>
      <c r="AF44" s="63"/>
      <c r="AG44" s="64"/>
      <c r="AH44" s="6">
        <v>1</v>
      </c>
      <c r="AI44">
        <f t="shared" si="32"/>
        <v>25</v>
      </c>
      <c r="AJ44">
        <f t="shared" si="33"/>
        <v>15</v>
      </c>
      <c r="AK44">
        <f t="shared" si="34"/>
        <v>0</v>
      </c>
      <c r="AL44">
        <f t="shared" si="35"/>
        <v>0</v>
      </c>
      <c r="AM44">
        <f t="shared" si="36"/>
        <v>0</v>
      </c>
      <c r="AN44">
        <f t="shared" si="37"/>
        <v>0</v>
      </c>
      <c r="AO44">
        <f t="shared" si="38"/>
        <v>0</v>
      </c>
      <c r="AP44">
        <f t="shared" si="39"/>
        <v>0</v>
      </c>
      <c r="AQ44">
        <f t="shared" si="40"/>
        <v>0</v>
      </c>
      <c r="AR44">
        <f t="shared" si="41"/>
        <v>0</v>
      </c>
      <c r="AS44">
        <f t="shared" si="42"/>
        <v>1</v>
      </c>
      <c r="AT44">
        <f t="shared" si="43"/>
        <v>1</v>
      </c>
      <c r="AU44">
        <f t="shared" si="44"/>
        <v>0</v>
      </c>
      <c r="AV44">
        <f t="shared" si="45"/>
        <v>0</v>
      </c>
      <c r="AW44">
        <f t="shared" si="46"/>
        <v>0</v>
      </c>
      <c r="AX44">
        <f t="shared" si="47"/>
        <v>0</v>
      </c>
      <c r="AY44">
        <f t="shared" si="48"/>
        <v>0</v>
      </c>
      <c r="AZ44">
        <f t="shared" si="49"/>
        <v>0</v>
      </c>
      <c r="BA44">
        <f t="shared" si="50"/>
        <v>0</v>
      </c>
      <c r="BB44">
        <f t="shared" si="51"/>
        <v>0</v>
      </c>
      <c r="BC44">
        <f t="shared" si="52"/>
        <v>0</v>
      </c>
      <c r="BD44">
        <f t="shared" si="53"/>
        <v>0</v>
      </c>
      <c r="BE44">
        <f t="shared" si="54"/>
        <v>0</v>
      </c>
      <c r="BF44">
        <f t="shared" si="55"/>
        <v>0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201" customFormat="1" ht="14.25" x14ac:dyDescent="0.2">
      <c r="A45" s="10">
        <v>2616</v>
      </c>
      <c r="B45" s="11" t="s">
        <v>358</v>
      </c>
      <c r="C45" s="105" t="s">
        <v>509</v>
      </c>
      <c r="D45" s="11" t="s">
        <v>218</v>
      </c>
      <c r="E45" s="12">
        <v>11516</v>
      </c>
      <c r="F45" s="202">
        <v>51</v>
      </c>
      <c r="G45" s="11">
        <v>60000</v>
      </c>
      <c r="H45" s="116">
        <v>0</v>
      </c>
      <c r="I45" s="192"/>
      <c r="J45" s="204"/>
      <c r="K45" s="193"/>
      <c r="L45" s="193"/>
      <c r="M45" s="193">
        <v>60000</v>
      </c>
      <c r="N45" s="203">
        <f t="shared" si="28"/>
        <v>0</v>
      </c>
      <c r="O45" s="203">
        <f t="shared" si="29"/>
        <v>0</v>
      </c>
      <c r="P45" s="203">
        <f t="shared" si="30"/>
        <v>60000</v>
      </c>
      <c r="Q45" s="214">
        <v>46247</v>
      </c>
      <c r="R45" s="219">
        <v>46244</v>
      </c>
      <c r="S45" s="217">
        <v>46213</v>
      </c>
      <c r="T45" s="205"/>
      <c r="U45" s="205"/>
      <c r="V45" s="215" t="s">
        <v>521</v>
      </c>
      <c r="W45" s="212"/>
      <c r="X45" s="10">
        <v>7</v>
      </c>
      <c r="Y45" s="10">
        <v>7</v>
      </c>
      <c r="Z45" s="213">
        <f t="shared" si="31"/>
        <v>0</v>
      </c>
      <c r="AA45" s="62"/>
      <c r="AB45" s="62"/>
      <c r="AC45" s="62"/>
      <c r="AD45" s="62"/>
      <c r="AE45" s="62"/>
      <c r="AF45" s="63"/>
      <c r="AG45" s="64"/>
      <c r="AH45" s="6">
        <v>1</v>
      </c>
      <c r="AI45">
        <f t="shared" si="32"/>
        <v>25</v>
      </c>
      <c r="AJ45">
        <f t="shared" si="33"/>
        <v>15</v>
      </c>
      <c r="AK45">
        <f t="shared" si="34"/>
        <v>0</v>
      </c>
      <c r="AL45">
        <f t="shared" si="35"/>
        <v>0</v>
      </c>
      <c r="AM45">
        <f t="shared" si="36"/>
        <v>0</v>
      </c>
      <c r="AN45">
        <f t="shared" si="37"/>
        <v>0</v>
      </c>
      <c r="AO45">
        <f t="shared" si="38"/>
        <v>0</v>
      </c>
      <c r="AP45">
        <f t="shared" si="39"/>
        <v>0</v>
      </c>
      <c r="AQ45">
        <f t="shared" si="40"/>
        <v>0</v>
      </c>
      <c r="AR45">
        <f t="shared" si="41"/>
        <v>0</v>
      </c>
      <c r="AS45">
        <f t="shared" si="42"/>
        <v>1</v>
      </c>
      <c r="AT45">
        <f t="shared" si="43"/>
        <v>1</v>
      </c>
      <c r="AU45">
        <f t="shared" si="44"/>
        <v>0</v>
      </c>
      <c r="AV45">
        <f t="shared" si="45"/>
        <v>0</v>
      </c>
      <c r="AW45">
        <f t="shared" si="46"/>
        <v>0</v>
      </c>
      <c r="AX45">
        <f t="shared" si="47"/>
        <v>0</v>
      </c>
      <c r="AY45">
        <f t="shared" si="48"/>
        <v>0</v>
      </c>
      <c r="AZ45">
        <f t="shared" si="49"/>
        <v>0</v>
      </c>
      <c r="BA45">
        <f t="shared" si="50"/>
        <v>0</v>
      </c>
      <c r="BB45">
        <f t="shared" si="51"/>
        <v>0</v>
      </c>
      <c r="BC45">
        <f t="shared" si="52"/>
        <v>0</v>
      </c>
      <c r="BD45">
        <f t="shared" si="53"/>
        <v>0</v>
      </c>
      <c r="BE45">
        <f t="shared" si="54"/>
        <v>0</v>
      </c>
      <c r="BF45">
        <f t="shared" si="55"/>
        <v>0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s="201" customFormat="1" ht="14.25" x14ac:dyDescent="0.2">
      <c r="A46" s="10">
        <v>2622</v>
      </c>
      <c r="B46" s="11" t="s">
        <v>359</v>
      </c>
      <c r="C46" s="105" t="s">
        <v>360</v>
      </c>
      <c r="D46" s="11" t="s">
        <v>105</v>
      </c>
      <c r="E46" s="12">
        <v>11518</v>
      </c>
      <c r="F46" s="202">
        <v>51</v>
      </c>
      <c r="G46" s="11">
        <v>60000</v>
      </c>
      <c r="H46" s="116">
        <v>0</v>
      </c>
      <c r="I46" s="192"/>
      <c r="J46" s="204"/>
      <c r="K46" s="193"/>
      <c r="L46" s="193"/>
      <c r="M46" s="193">
        <v>60000</v>
      </c>
      <c r="N46" s="203">
        <f t="shared" si="28"/>
        <v>0</v>
      </c>
      <c r="O46" s="203">
        <f t="shared" si="29"/>
        <v>0</v>
      </c>
      <c r="P46" s="203">
        <f t="shared" si="30"/>
        <v>60000</v>
      </c>
      <c r="Q46" s="214">
        <v>46255</v>
      </c>
      <c r="R46" s="219">
        <v>46255</v>
      </c>
      <c r="S46" s="217">
        <v>46227</v>
      </c>
      <c r="T46" s="205"/>
      <c r="U46" s="205"/>
      <c r="V46" s="215" t="s">
        <v>521</v>
      </c>
      <c r="W46" s="212"/>
      <c r="X46" s="10">
        <v>7</v>
      </c>
      <c r="Y46" s="10">
        <v>7</v>
      </c>
      <c r="Z46" s="213">
        <f t="shared" si="31"/>
        <v>0</v>
      </c>
      <c r="AA46" s="62"/>
      <c r="AB46" s="62"/>
      <c r="AC46" s="62"/>
      <c r="AD46" s="62"/>
      <c r="AE46" s="62"/>
      <c r="AF46" s="63"/>
      <c r="AG46" s="64"/>
      <c r="AH46" s="6">
        <v>1</v>
      </c>
      <c r="AI46">
        <f t="shared" si="32"/>
        <v>25</v>
      </c>
      <c r="AJ46">
        <f t="shared" si="33"/>
        <v>15</v>
      </c>
      <c r="AK46">
        <f t="shared" si="34"/>
        <v>0</v>
      </c>
      <c r="AL46">
        <f t="shared" si="35"/>
        <v>0</v>
      </c>
      <c r="AM46">
        <f t="shared" si="36"/>
        <v>0</v>
      </c>
      <c r="AN46">
        <f t="shared" si="37"/>
        <v>0</v>
      </c>
      <c r="AO46">
        <f t="shared" si="38"/>
        <v>0</v>
      </c>
      <c r="AP46">
        <f t="shared" si="39"/>
        <v>0</v>
      </c>
      <c r="AQ46">
        <f t="shared" si="40"/>
        <v>0</v>
      </c>
      <c r="AR46">
        <f t="shared" si="41"/>
        <v>0</v>
      </c>
      <c r="AS46">
        <f t="shared" si="42"/>
        <v>1</v>
      </c>
      <c r="AT46">
        <f t="shared" si="43"/>
        <v>1</v>
      </c>
      <c r="AU46">
        <f t="shared" si="44"/>
        <v>0</v>
      </c>
      <c r="AV46">
        <f t="shared" si="45"/>
        <v>0</v>
      </c>
      <c r="AW46">
        <f t="shared" si="46"/>
        <v>0</v>
      </c>
      <c r="AX46">
        <f t="shared" si="47"/>
        <v>0</v>
      </c>
      <c r="AY46">
        <f t="shared" si="48"/>
        <v>0</v>
      </c>
      <c r="AZ46">
        <f t="shared" si="49"/>
        <v>0</v>
      </c>
      <c r="BA46">
        <f t="shared" si="50"/>
        <v>0</v>
      </c>
      <c r="BB46">
        <f t="shared" si="51"/>
        <v>0</v>
      </c>
      <c r="BC46">
        <f t="shared" si="52"/>
        <v>0</v>
      </c>
      <c r="BD46">
        <f t="shared" si="53"/>
        <v>0</v>
      </c>
      <c r="BE46">
        <f t="shared" si="54"/>
        <v>0</v>
      </c>
      <c r="BF46">
        <f t="shared" si="55"/>
        <v>0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s="201" customFormat="1" ht="14.25" x14ac:dyDescent="0.2">
      <c r="A47" s="10">
        <v>2714</v>
      </c>
      <c r="B47" s="11" t="s">
        <v>361</v>
      </c>
      <c r="C47" s="105" t="s">
        <v>362</v>
      </c>
      <c r="D47" s="11" t="s">
        <v>105</v>
      </c>
      <c r="E47" s="12">
        <v>11635</v>
      </c>
      <c r="F47" s="202">
        <v>48</v>
      </c>
      <c r="G47" s="11">
        <v>80000</v>
      </c>
      <c r="H47" s="116">
        <v>-30000</v>
      </c>
      <c r="I47" s="192"/>
      <c r="J47" s="204"/>
      <c r="K47" s="193"/>
      <c r="L47" s="193"/>
      <c r="M47" s="193">
        <v>80000</v>
      </c>
      <c r="N47" s="203">
        <f t="shared" si="28"/>
        <v>0</v>
      </c>
      <c r="O47" s="203">
        <f t="shared" si="29"/>
        <v>-30000</v>
      </c>
      <c r="P47" s="203">
        <f t="shared" si="30"/>
        <v>50000</v>
      </c>
      <c r="Q47" s="214">
        <v>46238</v>
      </c>
      <c r="R47" s="219">
        <v>46238</v>
      </c>
      <c r="S47" s="217">
        <v>46213</v>
      </c>
      <c r="T47" s="205"/>
      <c r="U47" s="205"/>
      <c r="V47" s="215" t="s">
        <v>521</v>
      </c>
      <c r="W47" s="212"/>
      <c r="X47" s="10">
        <v>7</v>
      </c>
      <c r="Y47" s="10">
        <v>7</v>
      </c>
      <c r="Z47" s="213">
        <f t="shared" si="31"/>
        <v>0</v>
      </c>
      <c r="AA47" s="62"/>
      <c r="AB47" s="62"/>
      <c r="AC47" s="62"/>
      <c r="AD47" s="62"/>
      <c r="AE47" s="62"/>
      <c r="AF47" s="63"/>
      <c r="AG47" s="64"/>
      <c r="AH47" s="6">
        <v>1</v>
      </c>
      <c r="AI47">
        <f t="shared" si="32"/>
        <v>25</v>
      </c>
      <c r="AJ47">
        <f t="shared" si="33"/>
        <v>25</v>
      </c>
      <c r="AK47">
        <f t="shared" si="34"/>
        <v>0</v>
      </c>
      <c r="AL47">
        <f t="shared" si="35"/>
        <v>0</v>
      </c>
      <c r="AM47">
        <f t="shared" si="36"/>
        <v>0</v>
      </c>
      <c r="AN47">
        <f t="shared" si="37"/>
        <v>0</v>
      </c>
      <c r="AO47">
        <f t="shared" si="38"/>
        <v>0</v>
      </c>
      <c r="AP47">
        <f t="shared" si="39"/>
        <v>0</v>
      </c>
      <c r="AQ47">
        <f t="shared" si="40"/>
        <v>0</v>
      </c>
      <c r="AR47">
        <f t="shared" si="41"/>
        <v>0</v>
      </c>
      <c r="AS47">
        <f t="shared" si="42"/>
        <v>1</v>
      </c>
      <c r="AT47">
        <f t="shared" si="43"/>
        <v>1</v>
      </c>
      <c r="AU47">
        <f t="shared" si="44"/>
        <v>0</v>
      </c>
      <c r="AV47">
        <f t="shared" si="45"/>
        <v>0</v>
      </c>
      <c r="AW47">
        <f t="shared" si="46"/>
        <v>0</v>
      </c>
      <c r="AX47">
        <f t="shared" si="47"/>
        <v>0</v>
      </c>
      <c r="AY47">
        <f t="shared" si="48"/>
        <v>0</v>
      </c>
      <c r="AZ47">
        <f t="shared" si="49"/>
        <v>0</v>
      </c>
      <c r="BA47">
        <f t="shared" si="50"/>
        <v>0</v>
      </c>
      <c r="BB47">
        <f t="shared" si="51"/>
        <v>0</v>
      </c>
      <c r="BC47">
        <f t="shared" si="52"/>
        <v>0</v>
      </c>
      <c r="BD47">
        <f t="shared" si="53"/>
        <v>0</v>
      </c>
      <c r="BE47">
        <f t="shared" si="54"/>
        <v>0</v>
      </c>
      <c r="BF47">
        <f t="shared" si="55"/>
        <v>0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s="201" customFormat="1" ht="14.25" x14ac:dyDescent="0.2">
      <c r="A48" s="10">
        <v>2717</v>
      </c>
      <c r="B48" s="11" t="s">
        <v>363</v>
      </c>
      <c r="C48" s="105" t="s">
        <v>364</v>
      </c>
      <c r="D48" s="11" t="s">
        <v>144</v>
      </c>
      <c r="E48" s="12">
        <v>11639</v>
      </c>
      <c r="F48" s="202">
        <v>48</v>
      </c>
      <c r="G48" s="11">
        <v>70000</v>
      </c>
      <c r="H48" s="116">
        <v>70000</v>
      </c>
      <c r="I48" s="192"/>
      <c r="J48" s="204"/>
      <c r="K48" s="193"/>
      <c r="L48" s="193"/>
      <c r="M48" s="193">
        <v>70000</v>
      </c>
      <c r="N48" s="203">
        <f t="shared" si="28"/>
        <v>70000</v>
      </c>
      <c r="O48" s="203">
        <f t="shared" si="29"/>
        <v>70000</v>
      </c>
      <c r="P48" s="203">
        <f t="shared" si="30"/>
        <v>140000</v>
      </c>
      <c r="Q48" s="214">
        <v>46235</v>
      </c>
      <c r="R48" s="219">
        <v>46235</v>
      </c>
      <c r="S48" s="217">
        <v>46203</v>
      </c>
      <c r="T48" s="205"/>
      <c r="U48" s="205"/>
      <c r="V48" s="215" t="s">
        <v>521</v>
      </c>
      <c r="W48" s="212"/>
      <c r="X48" s="10">
        <v>7</v>
      </c>
      <c r="Y48" s="10">
        <v>7</v>
      </c>
      <c r="Z48" s="213">
        <f t="shared" si="31"/>
        <v>70000</v>
      </c>
      <c r="AA48" s="62"/>
      <c r="AB48" s="62"/>
      <c r="AC48" s="62"/>
      <c r="AD48" s="62"/>
      <c r="AE48" s="62"/>
      <c r="AF48" s="63"/>
      <c r="AG48" s="64"/>
      <c r="AH48" s="6">
        <v>1</v>
      </c>
      <c r="AI48">
        <f t="shared" si="32"/>
        <v>25</v>
      </c>
      <c r="AJ48">
        <f t="shared" si="33"/>
        <v>25</v>
      </c>
      <c r="AK48">
        <f t="shared" si="34"/>
        <v>0</v>
      </c>
      <c r="AL48">
        <f t="shared" si="35"/>
        <v>0</v>
      </c>
      <c r="AM48">
        <f t="shared" si="36"/>
        <v>0</v>
      </c>
      <c r="AN48">
        <f t="shared" si="37"/>
        <v>0</v>
      </c>
      <c r="AO48">
        <f t="shared" si="38"/>
        <v>0</v>
      </c>
      <c r="AP48">
        <f t="shared" si="39"/>
        <v>0</v>
      </c>
      <c r="AQ48">
        <f t="shared" si="40"/>
        <v>0</v>
      </c>
      <c r="AR48">
        <f t="shared" si="41"/>
        <v>0</v>
      </c>
      <c r="AS48">
        <f t="shared" si="42"/>
        <v>1</v>
      </c>
      <c r="AT48">
        <f t="shared" si="43"/>
        <v>1</v>
      </c>
      <c r="AU48">
        <f t="shared" si="44"/>
        <v>1</v>
      </c>
      <c r="AV48">
        <f t="shared" si="45"/>
        <v>1</v>
      </c>
      <c r="AW48">
        <f t="shared" si="46"/>
        <v>1</v>
      </c>
      <c r="AX48">
        <f t="shared" si="47"/>
        <v>1</v>
      </c>
      <c r="AY48">
        <f t="shared" si="48"/>
        <v>70000</v>
      </c>
      <c r="AZ48">
        <f t="shared" si="49"/>
        <v>70000</v>
      </c>
      <c r="BA48">
        <f t="shared" si="50"/>
        <v>0</v>
      </c>
      <c r="BB48">
        <f t="shared" si="51"/>
        <v>0</v>
      </c>
      <c r="BC48">
        <f t="shared" si="52"/>
        <v>0</v>
      </c>
      <c r="BD48">
        <f t="shared" si="53"/>
        <v>0</v>
      </c>
      <c r="BE48">
        <f t="shared" si="54"/>
        <v>0</v>
      </c>
      <c r="BF48">
        <f t="shared" si="55"/>
        <v>0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201" customFormat="1" ht="14.25" x14ac:dyDescent="0.2">
      <c r="A49" s="10">
        <v>2727</v>
      </c>
      <c r="B49" s="11" t="s">
        <v>365</v>
      </c>
      <c r="C49" s="105" t="s">
        <v>366</v>
      </c>
      <c r="D49" s="11" t="s">
        <v>144</v>
      </c>
      <c r="E49" s="12">
        <v>11644</v>
      </c>
      <c r="F49" s="202">
        <v>48</v>
      </c>
      <c r="G49" s="11">
        <v>70000</v>
      </c>
      <c r="H49" s="116">
        <v>0</v>
      </c>
      <c r="I49" s="192"/>
      <c r="J49" s="204"/>
      <c r="K49" s="193"/>
      <c r="L49" s="193"/>
      <c r="M49" s="193">
        <v>70000</v>
      </c>
      <c r="N49" s="203">
        <f t="shared" si="28"/>
        <v>0</v>
      </c>
      <c r="O49" s="203">
        <f t="shared" si="29"/>
        <v>0</v>
      </c>
      <c r="P49" s="203">
        <f t="shared" si="30"/>
        <v>70000</v>
      </c>
      <c r="Q49" s="214">
        <v>46265</v>
      </c>
      <c r="R49" s="219">
        <v>46264</v>
      </c>
      <c r="S49" s="217">
        <v>46233</v>
      </c>
      <c r="T49" s="205"/>
      <c r="U49" s="205"/>
      <c r="V49" s="215" t="s">
        <v>521</v>
      </c>
      <c r="W49" s="212"/>
      <c r="X49" s="10">
        <v>7</v>
      </c>
      <c r="Y49" s="10">
        <v>7</v>
      </c>
      <c r="Z49" s="213">
        <f t="shared" si="31"/>
        <v>0</v>
      </c>
      <c r="AA49" s="62"/>
      <c r="AB49" s="62"/>
      <c r="AC49" s="62"/>
      <c r="AD49" s="62"/>
      <c r="AE49" s="62"/>
      <c r="AF49" s="63"/>
      <c r="AG49" s="64"/>
      <c r="AH49" s="6">
        <v>1</v>
      </c>
      <c r="AI49">
        <f t="shared" si="32"/>
        <v>25</v>
      </c>
      <c r="AJ49">
        <f t="shared" si="33"/>
        <v>15</v>
      </c>
      <c r="AK49">
        <f t="shared" si="34"/>
        <v>0</v>
      </c>
      <c r="AL49">
        <f t="shared" si="35"/>
        <v>0</v>
      </c>
      <c r="AM49">
        <f t="shared" si="36"/>
        <v>0</v>
      </c>
      <c r="AN49">
        <f t="shared" si="37"/>
        <v>0</v>
      </c>
      <c r="AO49">
        <f t="shared" si="38"/>
        <v>0</v>
      </c>
      <c r="AP49">
        <f t="shared" si="39"/>
        <v>0</v>
      </c>
      <c r="AQ49">
        <f t="shared" si="40"/>
        <v>0</v>
      </c>
      <c r="AR49">
        <f t="shared" si="41"/>
        <v>0</v>
      </c>
      <c r="AS49">
        <f t="shared" si="42"/>
        <v>1</v>
      </c>
      <c r="AT49">
        <f t="shared" si="43"/>
        <v>1</v>
      </c>
      <c r="AU49">
        <f t="shared" si="44"/>
        <v>0</v>
      </c>
      <c r="AV49">
        <f t="shared" si="45"/>
        <v>0</v>
      </c>
      <c r="AW49">
        <f t="shared" si="46"/>
        <v>0</v>
      </c>
      <c r="AX49">
        <f t="shared" si="47"/>
        <v>0</v>
      </c>
      <c r="AY49">
        <f t="shared" si="48"/>
        <v>0</v>
      </c>
      <c r="AZ49">
        <f t="shared" si="49"/>
        <v>0</v>
      </c>
      <c r="BA49">
        <f t="shared" si="50"/>
        <v>0</v>
      </c>
      <c r="BB49">
        <f t="shared" si="51"/>
        <v>0</v>
      </c>
      <c r="BC49">
        <f t="shared" si="52"/>
        <v>0</v>
      </c>
      <c r="BD49">
        <f t="shared" si="53"/>
        <v>0</v>
      </c>
      <c r="BE49">
        <f t="shared" si="54"/>
        <v>0</v>
      </c>
      <c r="BF49">
        <f t="shared" si="55"/>
        <v>0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s="201" customFormat="1" ht="14.25" x14ac:dyDescent="0.2">
      <c r="A50" s="10">
        <v>2744</v>
      </c>
      <c r="B50" s="11" t="s">
        <v>367</v>
      </c>
      <c r="C50" s="105" t="s">
        <v>368</v>
      </c>
      <c r="D50" s="11" t="s">
        <v>369</v>
      </c>
      <c r="E50" s="12">
        <v>11631</v>
      </c>
      <c r="F50" s="202">
        <v>47</v>
      </c>
      <c r="G50" s="11">
        <v>60000</v>
      </c>
      <c r="H50" s="116">
        <v>-24000</v>
      </c>
      <c r="I50" s="192">
        <v>60000</v>
      </c>
      <c r="J50" s="204"/>
      <c r="K50" s="193"/>
      <c r="L50" s="193"/>
      <c r="M50" s="193"/>
      <c r="N50" s="203">
        <f t="shared" si="28"/>
        <v>0</v>
      </c>
      <c r="O50" s="203">
        <f t="shared" si="29"/>
        <v>-24000</v>
      </c>
      <c r="P50" s="203">
        <f t="shared" si="30"/>
        <v>36000</v>
      </c>
      <c r="Q50" s="214">
        <v>46248</v>
      </c>
      <c r="R50" s="219">
        <v>46248</v>
      </c>
      <c r="S50" s="217">
        <v>46218</v>
      </c>
      <c r="T50" s="205"/>
      <c r="U50" s="205"/>
      <c r="V50" s="215" t="s">
        <v>531</v>
      </c>
      <c r="W50" s="212"/>
      <c r="X50" s="10">
        <v>7</v>
      </c>
      <c r="Y50" s="10">
        <v>7</v>
      </c>
      <c r="Z50" s="213">
        <f t="shared" si="31"/>
        <v>0</v>
      </c>
      <c r="AA50" s="62"/>
      <c r="AB50" s="62"/>
      <c r="AC50" s="62"/>
      <c r="AD50" s="62"/>
      <c r="AE50" s="62"/>
      <c r="AF50" s="63"/>
      <c r="AG50" s="64"/>
      <c r="AH50" s="6">
        <v>1</v>
      </c>
      <c r="AI50">
        <f t="shared" si="32"/>
        <v>25</v>
      </c>
      <c r="AJ50">
        <f t="shared" si="33"/>
        <v>25</v>
      </c>
      <c r="AK50">
        <f t="shared" si="34"/>
        <v>0</v>
      </c>
      <c r="AL50">
        <f t="shared" si="35"/>
        <v>0</v>
      </c>
      <c r="AM50">
        <f t="shared" si="36"/>
        <v>0</v>
      </c>
      <c r="AN50">
        <f t="shared" si="37"/>
        <v>0</v>
      </c>
      <c r="AO50">
        <f t="shared" si="38"/>
        <v>0</v>
      </c>
      <c r="AP50">
        <f t="shared" si="39"/>
        <v>0</v>
      </c>
      <c r="AQ50">
        <f t="shared" si="40"/>
        <v>0</v>
      </c>
      <c r="AR50">
        <f t="shared" si="41"/>
        <v>0</v>
      </c>
      <c r="AS50">
        <f t="shared" si="42"/>
        <v>1</v>
      </c>
      <c r="AT50">
        <f t="shared" si="43"/>
        <v>1</v>
      </c>
      <c r="AU50">
        <f t="shared" si="44"/>
        <v>0</v>
      </c>
      <c r="AV50">
        <f t="shared" si="45"/>
        <v>0</v>
      </c>
      <c r="AW50">
        <f t="shared" si="46"/>
        <v>0</v>
      </c>
      <c r="AX50">
        <f t="shared" si="47"/>
        <v>0</v>
      </c>
      <c r="AY50">
        <f t="shared" si="48"/>
        <v>0</v>
      </c>
      <c r="AZ50">
        <f t="shared" si="49"/>
        <v>0</v>
      </c>
      <c r="BA50">
        <f t="shared" si="50"/>
        <v>0</v>
      </c>
      <c r="BB50">
        <f t="shared" si="51"/>
        <v>0</v>
      </c>
      <c r="BC50">
        <f t="shared" si="52"/>
        <v>0</v>
      </c>
      <c r="BD50">
        <f t="shared" si="53"/>
        <v>0</v>
      </c>
      <c r="BE50">
        <f t="shared" si="54"/>
        <v>0</v>
      </c>
      <c r="BF50">
        <f t="shared" si="55"/>
        <v>0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s="201" customFormat="1" ht="14.25" x14ac:dyDescent="0.2">
      <c r="A51" s="10">
        <v>2747</v>
      </c>
      <c r="B51" s="11" t="s">
        <v>370</v>
      </c>
      <c r="C51" s="105" t="s">
        <v>371</v>
      </c>
      <c r="D51" s="11" t="s">
        <v>106</v>
      </c>
      <c r="E51" s="12">
        <v>11656</v>
      </c>
      <c r="F51" s="202">
        <v>47</v>
      </c>
      <c r="G51" s="11">
        <v>99999</v>
      </c>
      <c r="H51" s="116">
        <v>-260011</v>
      </c>
      <c r="I51" s="192"/>
      <c r="J51" s="204"/>
      <c r="K51" s="193"/>
      <c r="L51" s="193"/>
      <c r="M51" s="193">
        <v>100000</v>
      </c>
      <c r="N51" s="203">
        <f t="shared" si="28"/>
        <v>-1</v>
      </c>
      <c r="O51" s="203">
        <f t="shared" si="29"/>
        <v>-260012</v>
      </c>
      <c r="P51" s="203">
        <f t="shared" si="30"/>
        <v>0</v>
      </c>
      <c r="Q51" s="214">
        <v>46248</v>
      </c>
      <c r="R51" s="219">
        <v>46248</v>
      </c>
      <c r="S51" s="217">
        <v>46211</v>
      </c>
      <c r="T51" s="205"/>
      <c r="U51" s="205"/>
      <c r="V51" s="215" t="s">
        <v>521</v>
      </c>
      <c r="W51" s="212"/>
      <c r="X51" s="10">
        <v>7</v>
      </c>
      <c r="Y51" s="10">
        <v>7</v>
      </c>
      <c r="Z51" s="213">
        <f t="shared" si="31"/>
        <v>0</v>
      </c>
      <c r="AA51" s="62"/>
      <c r="AB51" s="62"/>
      <c r="AC51" s="62"/>
      <c r="AD51" s="62"/>
      <c r="AE51" s="62"/>
      <c r="AF51" s="63"/>
      <c r="AG51" s="64"/>
      <c r="AH51" s="6">
        <v>1</v>
      </c>
      <c r="AI51">
        <f t="shared" si="32"/>
        <v>25</v>
      </c>
      <c r="AJ51">
        <f t="shared" si="33"/>
        <v>25</v>
      </c>
      <c r="AK51">
        <f t="shared" si="34"/>
        <v>0</v>
      </c>
      <c r="AL51">
        <f t="shared" si="35"/>
        <v>0</v>
      </c>
      <c r="AM51">
        <f t="shared" si="36"/>
        <v>0</v>
      </c>
      <c r="AN51">
        <f t="shared" si="37"/>
        <v>0</v>
      </c>
      <c r="AO51">
        <f t="shared" si="38"/>
        <v>0</v>
      </c>
      <c r="AP51">
        <f t="shared" si="39"/>
        <v>0</v>
      </c>
      <c r="AQ51">
        <f t="shared" si="40"/>
        <v>0</v>
      </c>
      <c r="AR51">
        <f t="shared" si="41"/>
        <v>0</v>
      </c>
      <c r="AS51">
        <f t="shared" si="42"/>
        <v>1</v>
      </c>
      <c r="AT51">
        <f t="shared" si="43"/>
        <v>1</v>
      </c>
      <c r="AU51">
        <f t="shared" si="44"/>
        <v>0</v>
      </c>
      <c r="AV51">
        <f t="shared" si="45"/>
        <v>0</v>
      </c>
      <c r="AW51">
        <f t="shared" si="46"/>
        <v>0</v>
      </c>
      <c r="AX51">
        <f t="shared" si="47"/>
        <v>0</v>
      </c>
      <c r="AY51">
        <f t="shared" si="48"/>
        <v>0</v>
      </c>
      <c r="AZ51">
        <f t="shared" si="49"/>
        <v>0</v>
      </c>
      <c r="BA51">
        <f t="shared" si="50"/>
        <v>0</v>
      </c>
      <c r="BB51">
        <f t="shared" si="51"/>
        <v>0</v>
      </c>
      <c r="BC51">
        <f t="shared" si="52"/>
        <v>0</v>
      </c>
      <c r="BD51">
        <f t="shared" si="53"/>
        <v>0</v>
      </c>
      <c r="BE51">
        <f t="shared" si="54"/>
        <v>0</v>
      </c>
      <c r="BF51">
        <f t="shared" si="55"/>
        <v>0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s="201" customFormat="1" ht="14.25" x14ac:dyDescent="0.2">
      <c r="A52" s="10">
        <v>2755</v>
      </c>
      <c r="B52" s="11" t="s">
        <v>372</v>
      </c>
      <c r="C52" s="105" t="s">
        <v>373</v>
      </c>
      <c r="D52" s="11" t="s">
        <v>282</v>
      </c>
      <c r="E52" s="12">
        <v>11668</v>
      </c>
      <c r="F52" s="202">
        <v>47</v>
      </c>
      <c r="G52" s="11">
        <v>60000</v>
      </c>
      <c r="H52" s="116">
        <v>0</v>
      </c>
      <c r="I52" s="192"/>
      <c r="J52" s="204"/>
      <c r="K52" s="193"/>
      <c r="L52" s="193"/>
      <c r="M52" s="193">
        <v>60000</v>
      </c>
      <c r="N52" s="203">
        <f t="shared" si="28"/>
        <v>0</v>
      </c>
      <c r="O52" s="203">
        <f t="shared" si="29"/>
        <v>0</v>
      </c>
      <c r="P52" s="203">
        <f t="shared" si="30"/>
        <v>60000</v>
      </c>
      <c r="Q52" s="214">
        <v>46238</v>
      </c>
      <c r="R52" s="219">
        <v>46238</v>
      </c>
      <c r="S52" s="217">
        <v>46205</v>
      </c>
      <c r="T52" s="205"/>
      <c r="U52" s="205"/>
      <c r="V52" s="215" t="s">
        <v>521</v>
      </c>
      <c r="W52" s="212"/>
      <c r="X52" s="10">
        <v>7</v>
      </c>
      <c r="Y52" s="10">
        <v>7</v>
      </c>
      <c r="Z52" s="213">
        <f t="shared" si="31"/>
        <v>0</v>
      </c>
      <c r="AA52" s="62"/>
      <c r="AB52" s="62"/>
      <c r="AC52" s="62"/>
      <c r="AD52" s="62"/>
      <c r="AE52" s="62"/>
      <c r="AF52" s="63"/>
      <c r="AG52" s="64"/>
      <c r="AH52" s="6">
        <v>1</v>
      </c>
      <c r="AI52">
        <f t="shared" si="32"/>
        <v>25</v>
      </c>
      <c r="AJ52">
        <f t="shared" si="33"/>
        <v>15</v>
      </c>
      <c r="AK52">
        <f t="shared" si="34"/>
        <v>0</v>
      </c>
      <c r="AL52">
        <f t="shared" si="35"/>
        <v>0</v>
      </c>
      <c r="AM52">
        <f t="shared" si="36"/>
        <v>0</v>
      </c>
      <c r="AN52">
        <f t="shared" si="37"/>
        <v>0</v>
      </c>
      <c r="AO52">
        <f t="shared" si="38"/>
        <v>0</v>
      </c>
      <c r="AP52">
        <f t="shared" si="39"/>
        <v>0</v>
      </c>
      <c r="AQ52">
        <f t="shared" si="40"/>
        <v>0</v>
      </c>
      <c r="AR52">
        <f t="shared" si="41"/>
        <v>0</v>
      </c>
      <c r="AS52">
        <f t="shared" si="42"/>
        <v>1</v>
      </c>
      <c r="AT52">
        <f t="shared" si="43"/>
        <v>1</v>
      </c>
      <c r="AU52">
        <f t="shared" si="44"/>
        <v>0</v>
      </c>
      <c r="AV52">
        <f t="shared" si="45"/>
        <v>0</v>
      </c>
      <c r="AW52">
        <f t="shared" si="46"/>
        <v>0</v>
      </c>
      <c r="AX52">
        <f t="shared" si="47"/>
        <v>0</v>
      </c>
      <c r="AY52">
        <f t="shared" si="48"/>
        <v>0</v>
      </c>
      <c r="AZ52">
        <f t="shared" si="49"/>
        <v>0</v>
      </c>
      <c r="BA52">
        <f t="shared" si="50"/>
        <v>0</v>
      </c>
      <c r="BB52">
        <f t="shared" si="51"/>
        <v>0</v>
      </c>
      <c r="BC52">
        <f t="shared" si="52"/>
        <v>0</v>
      </c>
      <c r="BD52">
        <f t="shared" si="53"/>
        <v>0</v>
      </c>
      <c r="BE52">
        <f t="shared" si="54"/>
        <v>0</v>
      </c>
      <c r="BF52">
        <f t="shared" si="55"/>
        <v>0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s="201" customFormat="1" ht="14.25" x14ac:dyDescent="0.2">
      <c r="A53" s="10">
        <v>2760</v>
      </c>
      <c r="B53" s="11" t="s">
        <v>374</v>
      </c>
      <c r="C53" s="105" t="s">
        <v>375</v>
      </c>
      <c r="D53" s="11" t="s">
        <v>376</v>
      </c>
      <c r="E53" s="12">
        <v>11688</v>
      </c>
      <c r="F53" s="202">
        <v>47</v>
      </c>
      <c r="G53" s="11">
        <v>60000</v>
      </c>
      <c r="H53" s="116">
        <v>0</v>
      </c>
      <c r="I53" s="192"/>
      <c r="J53" s="204"/>
      <c r="K53" s="193"/>
      <c r="L53" s="193"/>
      <c r="M53" s="193">
        <v>60000</v>
      </c>
      <c r="N53" s="203">
        <f t="shared" si="28"/>
        <v>0</v>
      </c>
      <c r="O53" s="203">
        <f t="shared" si="29"/>
        <v>0</v>
      </c>
      <c r="P53" s="203">
        <f t="shared" si="30"/>
        <v>60000</v>
      </c>
      <c r="Q53" s="214">
        <v>46244</v>
      </c>
      <c r="R53" s="219">
        <v>46244</v>
      </c>
      <c r="S53" s="217">
        <v>46213</v>
      </c>
      <c r="T53" s="205"/>
      <c r="U53" s="205"/>
      <c r="V53" s="215" t="s">
        <v>521</v>
      </c>
      <c r="W53" s="212"/>
      <c r="X53" s="10">
        <v>7</v>
      </c>
      <c r="Y53" s="10">
        <v>7</v>
      </c>
      <c r="Z53" s="213">
        <f t="shared" si="31"/>
        <v>0</v>
      </c>
      <c r="AA53" s="62"/>
      <c r="AB53" s="62"/>
      <c r="AC53" s="62"/>
      <c r="AD53" s="62"/>
      <c r="AE53" s="62"/>
      <c r="AF53" s="63"/>
      <c r="AG53" s="64"/>
      <c r="AH53" s="6">
        <v>1</v>
      </c>
      <c r="AI53">
        <f t="shared" si="32"/>
        <v>25</v>
      </c>
      <c r="AJ53">
        <f t="shared" si="33"/>
        <v>15</v>
      </c>
      <c r="AK53">
        <f t="shared" si="34"/>
        <v>0</v>
      </c>
      <c r="AL53">
        <f t="shared" si="35"/>
        <v>0</v>
      </c>
      <c r="AM53">
        <f t="shared" si="36"/>
        <v>0</v>
      </c>
      <c r="AN53">
        <f t="shared" si="37"/>
        <v>0</v>
      </c>
      <c r="AO53">
        <f t="shared" si="38"/>
        <v>0</v>
      </c>
      <c r="AP53">
        <f t="shared" si="39"/>
        <v>0</v>
      </c>
      <c r="AQ53">
        <f t="shared" si="40"/>
        <v>0</v>
      </c>
      <c r="AR53">
        <f t="shared" si="41"/>
        <v>0</v>
      </c>
      <c r="AS53">
        <f t="shared" si="42"/>
        <v>1</v>
      </c>
      <c r="AT53">
        <f t="shared" si="43"/>
        <v>1</v>
      </c>
      <c r="AU53">
        <f t="shared" si="44"/>
        <v>0</v>
      </c>
      <c r="AV53">
        <f t="shared" si="45"/>
        <v>0</v>
      </c>
      <c r="AW53">
        <f t="shared" si="46"/>
        <v>0</v>
      </c>
      <c r="AX53">
        <f t="shared" si="47"/>
        <v>0</v>
      </c>
      <c r="AY53">
        <f t="shared" si="48"/>
        <v>0</v>
      </c>
      <c r="AZ53">
        <f t="shared" si="49"/>
        <v>0</v>
      </c>
      <c r="BA53">
        <f t="shared" si="50"/>
        <v>0</v>
      </c>
      <c r="BB53">
        <f t="shared" si="51"/>
        <v>0</v>
      </c>
      <c r="BC53">
        <f t="shared" si="52"/>
        <v>0</v>
      </c>
      <c r="BD53">
        <f t="shared" si="53"/>
        <v>0</v>
      </c>
      <c r="BE53">
        <f t="shared" si="54"/>
        <v>0</v>
      </c>
      <c r="BF53">
        <f t="shared" si="55"/>
        <v>0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s="201" customFormat="1" ht="14.25" x14ac:dyDescent="0.2">
      <c r="A54" s="10">
        <v>2802</v>
      </c>
      <c r="B54" s="11" t="s">
        <v>377</v>
      </c>
      <c r="C54" s="105" t="s">
        <v>378</v>
      </c>
      <c r="D54" s="11" t="s">
        <v>379</v>
      </c>
      <c r="E54" s="12">
        <v>11702</v>
      </c>
      <c r="F54" s="202">
        <v>45</v>
      </c>
      <c r="G54" s="11">
        <v>60000</v>
      </c>
      <c r="H54" s="116">
        <v>0</v>
      </c>
      <c r="I54" s="192"/>
      <c r="J54" s="204"/>
      <c r="K54" s="193"/>
      <c r="L54" s="193"/>
      <c r="M54" s="193">
        <v>60000</v>
      </c>
      <c r="N54" s="203">
        <f t="shared" si="28"/>
        <v>0</v>
      </c>
      <c r="O54" s="203">
        <f t="shared" si="29"/>
        <v>0</v>
      </c>
      <c r="P54" s="203">
        <f t="shared" si="30"/>
        <v>60000</v>
      </c>
      <c r="Q54" s="214">
        <v>46248</v>
      </c>
      <c r="R54" s="219">
        <v>46248</v>
      </c>
      <c r="S54" s="217">
        <v>46219</v>
      </c>
      <c r="T54" s="205"/>
      <c r="U54" s="205"/>
      <c r="V54" s="215" t="s">
        <v>521</v>
      </c>
      <c r="W54" s="212"/>
      <c r="X54" s="10">
        <v>7</v>
      </c>
      <c r="Y54" s="10">
        <v>7</v>
      </c>
      <c r="Z54" s="213">
        <f t="shared" si="31"/>
        <v>0</v>
      </c>
      <c r="AA54" s="62"/>
      <c r="AB54" s="62"/>
      <c r="AC54" s="62"/>
      <c r="AD54" s="62"/>
      <c r="AE54" s="62"/>
      <c r="AF54" s="63"/>
      <c r="AG54" s="64"/>
      <c r="AH54" s="6">
        <v>1</v>
      </c>
      <c r="AI54">
        <f t="shared" si="32"/>
        <v>25</v>
      </c>
      <c r="AJ54">
        <f t="shared" si="33"/>
        <v>15</v>
      </c>
      <c r="AK54">
        <f t="shared" si="34"/>
        <v>0</v>
      </c>
      <c r="AL54">
        <f t="shared" si="35"/>
        <v>0</v>
      </c>
      <c r="AM54">
        <f t="shared" si="36"/>
        <v>0</v>
      </c>
      <c r="AN54">
        <f t="shared" si="37"/>
        <v>0</v>
      </c>
      <c r="AO54">
        <f t="shared" si="38"/>
        <v>0</v>
      </c>
      <c r="AP54">
        <f t="shared" si="39"/>
        <v>0</v>
      </c>
      <c r="AQ54">
        <f t="shared" si="40"/>
        <v>0</v>
      </c>
      <c r="AR54">
        <f t="shared" si="41"/>
        <v>0</v>
      </c>
      <c r="AS54">
        <f t="shared" si="42"/>
        <v>1</v>
      </c>
      <c r="AT54">
        <f t="shared" si="43"/>
        <v>1</v>
      </c>
      <c r="AU54">
        <f t="shared" si="44"/>
        <v>0</v>
      </c>
      <c r="AV54">
        <f t="shared" si="45"/>
        <v>0</v>
      </c>
      <c r="AW54">
        <f t="shared" si="46"/>
        <v>0</v>
      </c>
      <c r="AX54">
        <f t="shared" si="47"/>
        <v>0</v>
      </c>
      <c r="AY54">
        <f t="shared" si="48"/>
        <v>0</v>
      </c>
      <c r="AZ54">
        <f t="shared" si="49"/>
        <v>0</v>
      </c>
      <c r="BA54">
        <f t="shared" si="50"/>
        <v>0</v>
      </c>
      <c r="BB54">
        <f t="shared" si="51"/>
        <v>0</v>
      </c>
      <c r="BC54">
        <f t="shared" si="52"/>
        <v>0</v>
      </c>
      <c r="BD54">
        <f t="shared" si="53"/>
        <v>0</v>
      </c>
      <c r="BE54">
        <f t="shared" si="54"/>
        <v>0</v>
      </c>
      <c r="BF54">
        <f t="shared" si="55"/>
        <v>0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s="201" customFormat="1" ht="14.25" x14ac:dyDescent="0.2">
      <c r="A55" s="10">
        <v>2816</v>
      </c>
      <c r="B55" s="11" t="s">
        <v>380</v>
      </c>
      <c r="C55" s="105" t="s">
        <v>381</v>
      </c>
      <c r="D55" s="11" t="s">
        <v>157</v>
      </c>
      <c r="E55" s="12">
        <v>11701</v>
      </c>
      <c r="F55" s="202">
        <v>44</v>
      </c>
      <c r="G55" s="11">
        <v>60000</v>
      </c>
      <c r="H55" s="116">
        <v>0</v>
      </c>
      <c r="I55" s="192"/>
      <c r="J55" s="204"/>
      <c r="K55" s="193"/>
      <c r="L55" s="193"/>
      <c r="M55" s="193">
        <v>60000</v>
      </c>
      <c r="N55" s="203">
        <f t="shared" si="28"/>
        <v>0</v>
      </c>
      <c r="O55" s="203">
        <f t="shared" si="29"/>
        <v>0</v>
      </c>
      <c r="P55" s="203">
        <f t="shared" si="30"/>
        <v>60000</v>
      </c>
      <c r="Q55" s="214">
        <v>46266</v>
      </c>
      <c r="R55" s="219">
        <v>46234</v>
      </c>
      <c r="S55" s="217">
        <v>46234</v>
      </c>
      <c r="T55" s="205"/>
      <c r="U55" s="205"/>
      <c r="V55" s="215" t="s">
        <v>521</v>
      </c>
      <c r="W55" s="212"/>
      <c r="X55" s="10">
        <v>7</v>
      </c>
      <c r="Y55" s="10">
        <v>7</v>
      </c>
      <c r="Z55" s="213">
        <f t="shared" si="31"/>
        <v>0</v>
      </c>
      <c r="AA55" s="62"/>
      <c r="AB55" s="62"/>
      <c r="AC55" s="62"/>
      <c r="AD55" s="62"/>
      <c r="AE55" s="62"/>
      <c r="AF55" s="63"/>
      <c r="AG55" s="64"/>
      <c r="AH55" s="6">
        <v>1</v>
      </c>
      <c r="AI55">
        <f t="shared" si="32"/>
        <v>25</v>
      </c>
      <c r="AJ55">
        <f t="shared" si="33"/>
        <v>15</v>
      </c>
      <c r="AK55">
        <f t="shared" si="34"/>
        <v>0</v>
      </c>
      <c r="AL55">
        <f t="shared" si="35"/>
        <v>0</v>
      </c>
      <c r="AM55">
        <f t="shared" si="36"/>
        <v>0</v>
      </c>
      <c r="AN55">
        <f t="shared" si="37"/>
        <v>0</v>
      </c>
      <c r="AO55">
        <f t="shared" si="38"/>
        <v>0</v>
      </c>
      <c r="AP55">
        <f t="shared" si="39"/>
        <v>0</v>
      </c>
      <c r="AQ55">
        <f t="shared" si="40"/>
        <v>0</v>
      </c>
      <c r="AR55">
        <f t="shared" si="41"/>
        <v>0</v>
      </c>
      <c r="AS55">
        <f t="shared" si="42"/>
        <v>1</v>
      </c>
      <c r="AT55">
        <f t="shared" si="43"/>
        <v>1</v>
      </c>
      <c r="AU55">
        <f t="shared" si="44"/>
        <v>0</v>
      </c>
      <c r="AV55">
        <f t="shared" si="45"/>
        <v>0</v>
      </c>
      <c r="AW55">
        <f t="shared" si="46"/>
        <v>0</v>
      </c>
      <c r="AX55">
        <f t="shared" si="47"/>
        <v>0</v>
      </c>
      <c r="AY55">
        <f t="shared" si="48"/>
        <v>0</v>
      </c>
      <c r="AZ55">
        <f t="shared" si="49"/>
        <v>0</v>
      </c>
      <c r="BA55">
        <f t="shared" si="50"/>
        <v>0</v>
      </c>
      <c r="BB55">
        <f t="shared" si="51"/>
        <v>0</v>
      </c>
      <c r="BC55">
        <f t="shared" si="52"/>
        <v>0</v>
      </c>
      <c r="BD55">
        <f t="shared" si="53"/>
        <v>0</v>
      </c>
      <c r="BE55">
        <f t="shared" si="54"/>
        <v>0</v>
      </c>
      <c r="BF55">
        <f t="shared" si="55"/>
        <v>0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201" customFormat="1" ht="14.25" x14ac:dyDescent="0.2">
      <c r="A56" s="10">
        <v>2836</v>
      </c>
      <c r="B56" s="11" t="s">
        <v>382</v>
      </c>
      <c r="C56" s="105" t="s">
        <v>383</v>
      </c>
      <c r="D56" s="11" t="s">
        <v>106</v>
      </c>
      <c r="E56" s="12">
        <v>11737</v>
      </c>
      <c r="F56" s="202">
        <v>43</v>
      </c>
      <c r="G56" s="11">
        <v>55000</v>
      </c>
      <c r="H56" s="116">
        <v>0</v>
      </c>
      <c r="I56" s="192"/>
      <c r="J56" s="204"/>
      <c r="K56" s="193"/>
      <c r="L56" s="193"/>
      <c r="M56" s="193">
        <v>55000</v>
      </c>
      <c r="N56" s="203">
        <f t="shared" si="28"/>
        <v>0</v>
      </c>
      <c r="O56" s="203">
        <f t="shared" si="29"/>
        <v>0</v>
      </c>
      <c r="P56" s="203">
        <f t="shared" si="30"/>
        <v>55000</v>
      </c>
      <c r="Q56" s="214">
        <v>46246</v>
      </c>
      <c r="R56" s="219">
        <v>46246</v>
      </c>
      <c r="S56" s="217">
        <v>46218</v>
      </c>
      <c r="T56" s="205"/>
      <c r="U56" s="205"/>
      <c r="V56" s="215" t="s">
        <v>521</v>
      </c>
      <c r="W56" s="212"/>
      <c r="X56" s="10">
        <v>7</v>
      </c>
      <c r="Y56" s="10">
        <v>7</v>
      </c>
      <c r="Z56" s="213">
        <f t="shared" si="31"/>
        <v>0</v>
      </c>
      <c r="AA56" s="62"/>
      <c r="AB56" s="62"/>
      <c r="AC56" s="62"/>
      <c r="AD56" s="62"/>
      <c r="AE56" s="62"/>
      <c r="AF56" s="63"/>
      <c r="AG56" s="64"/>
      <c r="AH56" s="6">
        <v>1</v>
      </c>
      <c r="AI56">
        <f t="shared" si="32"/>
        <v>25</v>
      </c>
      <c r="AJ56">
        <f t="shared" si="33"/>
        <v>15</v>
      </c>
      <c r="AK56">
        <f t="shared" si="34"/>
        <v>0</v>
      </c>
      <c r="AL56">
        <f t="shared" si="35"/>
        <v>0</v>
      </c>
      <c r="AM56">
        <f t="shared" si="36"/>
        <v>0</v>
      </c>
      <c r="AN56">
        <f t="shared" si="37"/>
        <v>0</v>
      </c>
      <c r="AO56">
        <f t="shared" si="38"/>
        <v>0</v>
      </c>
      <c r="AP56">
        <f t="shared" si="39"/>
        <v>0</v>
      </c>
      <c r="AQ56">
        <f t="shared" si="40"/>
        <v>0</v>
      </c>
      <c r="AR56">
        <f t="shared" si="41"/>
        <v>0</v>
      </c>
      <c r="AS56">
        <f t="shared" si="42"/>
        <v>1</v>
      </c>
      <c r="AT56">
        <f t="shared" si="43"/>
        <v>1</v>
      </c>
      <c r="AU56">
        <f t="shared" si="44"/>
        <v>0</v>
      </c>
      <c r="AV56">
        <f t="shared" si="45"/>
        <v>0</v>
      </c>
      <c r="AW56">
        <f t="shared" si="46"/>
        <v>0</v>
      </c>
      <c r="AX56">
        <f t="shared" si="47"/>
        <v>0</v>
      </c>
      <c r="AY56">
        <f t="shared" si="48"/>
        <v>0</v>
      </c>
      <c r="AZ56">
        <f t="shared" si="49"/>
        <v>0</v>
      </c>
      <c r="BA56">
        <f t="shared" si="50"/>
        <v>0</v>
      </c>
      <c r="BB56">
        <f t="shared" si="51"/>
        <v>0</v>
      </c>
      <c r="BC56">
        <f t="shared" si="52"/>
        <v>0</v>
      </c>
      <c r="BD56">
        <f t="shared" si="53"/>
        <v>0</v>
      </c>
      <c r="BE56">
        <f t="shared" si="54"/>
        <v>0</v>
      </c>
      <c r="BF56">
        <f t="shared" si="55"/>
        <v>0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s="201" customFormat="1" ht="14.25" x14ac:dyDescent="0.2">
      <c r="A57" s="10">
        <v>2853</v>
      </c>
      <c r="B57" s="11" t="s">
        <v>273</v>
      </c>
      <c r="C57" s="105" t="s">
        <v>274</v>
      </c>
      <c r="D57" s="11" t="s">
        <v>105</v>
      </c>
      <c r="E57" s="12">
        <v>11750</v>
      </c>
      <c r="F57" s="202">
        <v>42</v>
      </c>
      <c r="G57" s="11">
        <v>45000</v>
      </c>
      <c r="H57" s="116">
        <v>-70000</v>
      </c>
      <c r="I57" s="192"/>
      <c r="J57" s="204"/>
      <c r="K57" s="193"/>
      <c r="L57" s="193"/>
      <c r="M57" s="193">
        <v>45000</v>
      </c>
      <c r="N57" s="203">
        <f t="shared" si="28"/>
        <v>0</v>
      </c>
      <c r="O57" s="203">
        <f t="shared" si="29"/>
        <v>-70000</v>
      </c>
      <c r="P57" s="203">
        <f t="shared" si="30"/>
        <v>0</v>
      </c>
      <c r="Q57" s="214">
        <v>46260</v>
      </c>
      <c r="R57" s="219">
        <v>46259</v>
      </c>
      <c r="S57" s="217">
        <v>46230</v>
      </c>
      <c r="T57" s="205"/>
      <c r="U57" s="205"/>
      <c r="V57" s="215" t="s">
        <v>521</v>
      </c>
      <c r="W57" s="212"/>
      <c r="X57" s="10">
        <v>7</v>
      </c>
      <c r="Y57" s="10">
        <v>7</v>
      </c>
      <c r="Z57" s="213">
        <f t="shared" si="31"/>
        <v>0</v>
      </c>
      <c r="AA57" s="62"/>
      <c r="AB57" s="62"/>
      <c r="AC57" s="62"/>
      <c r="AD57" s="62"/>
      <c r="AE57" s="62"/>
      <c r="AF57" s="63"/>
      <c r="AG57" s="64"/>
      <c r="AH57" s="6">
        <v>1</v>
      </c>
      <c r="AI57">
        <f t="shared" si="32"/>
        <v>25</v>
      </c>
      <c r="AJ57">
        <f t="shared" si="33"/>
        <v>25</v>
      </c>
      <c r="AK57">
        <f t="shared" si="34"/>
        <v>0</v>
      </c>
      <c r="AL57">
        <f t="shared" si="35"/>
        <v>0</v>
      </c>
      <c r="AM57">
        <f t="shared" si="36"/>
        <v>0</v>
      </c>
      <c r="AN57">
        <f t="shared" si="37"/>
        <v>0</v>
      </c>
      <c r="AO57">
        <f t="shared" si="38"/>
        <v>0</v>
      </c>
      <c r="AP57">
        <f t="shared" si="39"/>
        <v>0</v>
      </c>
      <c r="AQ57">
        <f t="shared" si="40"/>
        <v>0</v>
      </c>
      <c r="AR57">
        <f t="shared" si="41"/>
        <v>0</v>
      </c>
      <c r="AS57">
        <f t="shared" si="42"/>
        <v>1</v>
      </c>
      <c r="AT57">
        <f t="shared" si="43"/>
        <v>1</v>
      </c>
      <c r="AU57">
        <f t="shared" si="44"/>
        <v>0</v>
      </c>
      <c r="AV57">
        <f t="shared" si="45"/>
        <v>0</v>
      </c>
      <c r="AW57">
        <f t="shared" si="46"/>
        <v>0</v>
      </c>
      <c r="AX57">
        <f t="shared" si="47"/>
        <v>0</v>
      </c>
      <c r="AY57">
        <f t="shared" si="48"/>
        <v>0</v>
      </c>
      <c r="AZ57">
        <f t="shared" si="49"/>
        <v>0</v>
      </c>
      <c r="BA57">
        <f t="shared" si="50"/>
        <v>0</v>
      </c>
      <c r="BB57">
        <f t="shared" si="51"/>
        <v>0</v>
      </c>
      <c r="BC57">
        <f t="shared" si="52"/>
        <v>0</v>
      </c>
      <c r="BD57">
        <f t="shared" si="53"/>
        <v>0</v>
      </c>
      <c r="BE57">
        <f t="shared" si="54"/>
        <v>0</v>
      </c>
      <c r="BF57">
        <f t="shared" si="55"/>
        <v>0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s="201" customFormat="1" ht="14.25" x14ac:dyDescent="0.2">
      <c r="A58" s="10">
        <v>2872</v>
      </c>
      <c r="B58" s="11" t="s">
        <v>384</v>
      </c>
      <c r="C58" s="105" t="s">
        <v>385</v>
      </c>
      <c r="D58" s="11" t="s">
        <v>369</v>
      </c>
      <c r="E58" s="12">
        <v>11648</v>
      </c>
      <c r="F58" s="202">
        <v>41</v>
      </c>
      <c r="G58" s="11">
        <v>55000</v>
      </c>
      <c r="H58" s="116">
        <v>0</v>
      </c>
      <c r="I58" s="192"/>
      <c r="J58" s="204"/>
      <c r="K58" s="193"/>
      <c r="L58" s="193"/>
      <c r="M58" s="193">
        <v>55000</v>
      </c>
      <c r="N58" s="203">
        <f t="shared" si="28"/>
        <v>0</v>
      </c>
      <c r="O58" s="203">
        <f t="shared" si="29"/>
        <v>0</v>
      </c>
      <c r="P58" s="203">
        <f t="shared" si="30"/>
        <v>55000</v>
      </c>
      <c r="Q58" s="214">
        <v>46254</v>
      </c>
      <c r="R58" s="219">
        <v>46259</v>
      </c>
      <c r="S58" s="217">
        <v>46220</v>
      </c>
      <c r="T58" s="205"/>
      <c r="U58" s="205"/>
      <c r="V58" s="215" t="s">
        <v>537</v>
      </c>
      <c r="W58" s="212"/>
      <c r="X58" s="10">
        <v>7</v>
      </c>
      <c r="Y58" s="10">
        <v>7</v>
      </c>
      <c r="Z58" s="213">
        <f t="shared" si="31"/>
        <v>0</v>
      </c>
      <c r="AA58" s="62"/>
      <c r="AB58" s="62"/>
      <c r="AC58" s="62"/>
      <c r="AD58" s="62"/>
      <c r="AE58" s="62"/>
      <c r="AF58" s="63"/>
      <c r="AG58" s="64"/>
      <c r="AH58" s="6">
        <v>1</v>
      </c>
      <c r="AI58">
        <f t="shared" si="32"/>
        <v>25</v>
      </c>
      <c r="AJ58">
        <f t="shared" si="33"/>
        <v>15</v>
      </c>
      <c r="AK58">
        <f t="shared" si="34"/>
        <v>0</v>
      </c>
      <c r="AL58">
        <f t="shared" si="35"/>
        <v>0</v>
      </c>
      <c r="AM58">
        <f t="shared" si="36"/>
        <v>0</v>
      </c>
      <c r="AN58">
        <f t="shared" si="37"/>
        <v>0</v>
      </c>
      <c r="AO58">
        <f t="shared" si="38"/>
        <v>0</v>
      </c>
      <c r="AP58">
        <f t="shared" si="39"/>
        <v>0</v>
      </c>
      <c r="AQ58">
        <f t="shared" si="40"/>
        <v>0</v>
      </c>
      <c r="AR58">
        <f t="shared" si="41"/>
        <v>0</v>
      </c>
      <c r="AS58">
        <f t="shared" si="42"/>
        <v>1</v>
      </c>
      <c r="AT58">
        <f t="shared" si="43"/>
        <v>1</v>
      </c>
      <c r="AU58">
        <f t="shared" si="44"/>
        <v>0</v>
      </c>
      <c r="AV58">
        <f t="shared" si="45"/>
        <v>0</v>
      </c>
      <c r="AW58">
        <f t="shared" si="46"/>
        <v>0</v>
      </c>
      <c r="AX58">
        <f t="shared" si="47"/>
        <v>0</v>
      </c>
      <c r="AY58">
        <f t="shared" si="48"/>
        <v>0</v>
      </c>
      <c r="AZ58">
        <f t="shared" si="49"/>
        <v>0</v>
      </c>
      <c r="BA58">
        <f t="shared" si="50"/>
        <v>0</v>
      </c>
      <c r="BB58">
        <f t="shared" si="51"/>
        <v>0</v>
      </c>
      <c r="BC58">
        <f t="shared" si="52"/>
        <v>0</v>
      </c>
      <c r="BD58">
        <f t="shared" si="53"/>
        <v>0</v>
      </c>
      <c r="BE58">
        <f t="shared" si="54"/>
        <v>0</v>
      </c>
      <c r="BF58">
        <f t="shared" si="55"/>
        <v>0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s="201" customFormat="1" ht="14.25" x14ac:dyDescent="0.2">
      <c r="A59" s="10">
        <v>2877</v>
      </c>
      <c r="B59" s="11" t="s">
        <v>246</v>
      </c>
      <c r="C59" s="105" t="s">
        <v>247</v>
      </c>
      <c r="D59" s="11" t="s">
        <v>105</v>
      </c>
      <c r="E59" s="12">
        <v>11783</v>
      </c>
      <c r="F59" s="202">
        <v>41</v>
      </c>
      <c r="G59" s="11">
        <v>40000</v>
      </c>
      <c r="H59" s="116">
        <v>-20000</v>
      </c>
      <c r="I59" s="192"/>
      <c r="J59" s="204"/>
      <c r="K59" s="193"/>
      <c r="L59" s="193"/>
      <c r="M59" s="193">
        <v>40000</v>
      </c>
      <c r="N59" s="203">
        <f t="shared" si="28"/>
        <v>0</v>
      </c>
      <c r="O59" s="203">
        <f t="shared" si="29"/>
        <v>-20000</v>
      </c>
      <c r="P59" s="203">
        <f t="shared" si="30"/>
        <v>20000</v>
      </c>
      <c r="Q59" s="214">
        <v>46265</v>
      </c>
      <c r="R59" s="219">
        <v>46265</v>
      </c>
      <c r="S59" s="217">
        <v>46234</v>
      </c>
      <c r="T59" s="205"/>
      <c r="U59" s="205"/>
      <c r="V59" s="215" t="s">
        <v>521</v>
      </c>
      <c r="W59" s="212"/>
      <c r="X59" s="10">
        <v>7</v>
      </c>
      <c r="Y59" s="10">
        <v>7</v>
      </c>
      <c r="Z59" s="213">
        <f t="shared" si="31"/>
        <v>0</v>
      </c>
      <c r="AA59" s="62"/>
      <c r="AB59" s="62"/>
      <c r="AC59" s="62"/>
      <c r="AD59" s="62"/>
      <c r="AE59" s="62"/>
      <c r="AF59" s="63"/>
      <c r="AG59" s="64"/>
      <c r="AH59" s="6">
        <v>1</v>
      </c>
      <c r="AI59">
        <f t="shared" si="32"/>
        <v>25</v>
      </c>
      <c r="AJ59">
        <f t="shared" si="33"/>
        <v>25</v>
      </c>
      <c r="AK59">
        <f t="shared" si="34"/>
        <v>0</v>
      </c>
      <c r="AL59">
        <f t="shared" si="35"/>
        <v>0</v>
      </c>
      <c r="AM59">
        <f t="shared" si="36"/>
        <v>0</v>
      </c>
      <c r="AN59">
        <f t="shared" si="37"/>
        <v>0</v>
      </c>
      <c r="AO59">
        <f t="shared" si="38"/>
        <v>0</v>
      </c>
      <c r="AP59">
        <f t="shared" si="39"/>
        <v>0</v>
      </c>
      <c r="AQ59">
        <f t="shared" si="40"/>
        <v>0</v>
      </c>
      <c r="AR59">
        <f t="shared" si="41"/>
        <v>0</v>
      </c>
      <c r="AS59">
        <f t="shared" si="42"/>
        <v>1</v>
      </c>
      <c r="AT59">
        <f t="shared" si="43"/>
        <v>1</v>
      </c>
      <c r="AU59">
        <f t="shared" si="44"/>
        <v>0</v>
      </c>
      <c r="AV59">
        <f t="shared" si="45"/>
        <v>0</v>
      </c>
      <c r="AW59">
        <f t="shared" si="46"/>
        <v>0</v>
      </c>
      <c r="AX59">
        <f t="shared" si="47"/>
        <v>0</v>
      </c>
      <c r="AY59">
        <f t="shared" si="48"/>
        <v>0</v>
      </c>
      <c r="AZ59">
        <f t="shared" si="49"/>
        <v>0</v>
      </c>
      <c r="BA59">
        <f t="shared" si="50"/>
        <v>0</v>
      </c>
      <c r="BB59">
        <f t="shared" si="51"/>
        <v>0</v>
      </c>
      <c r="BC59">
        <f t="shared" si="52"/>
        <v>0</v>
      </c>
      <c r="BD59">
        <f t="shared" si="53"/>
        <v>0</v>
      </c>
      <c r="BE59">
        <f t="shared" si="54"/>
        <v>0</v>
      </c>
      <c r="BF59">
        <f t="shared" si="55"/>
        <v>0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s="201" customFormat="1" ht="14.25" x14ac:dyDescent="0.2">
      <c r="A60" s="10">
        <v>2890</v>
      </c>
      <c r="B60" s="11" t="s">
        <v>386</v>
      </c>
      <c r="C60" s="105" t="s">
        <v>387</v>
      </c>
      <c r="D60" s="11" t="s">
        <v>105</v>
      </c>
      <c r="E60" s="12">
        <v>11801</v>
      </c>
      <c r="F60" s="202">
        <v>41</v>
      </c>
      <c r="G60" s="11">
        <v>90000</v>
      </c>
      <c r="H60" s="116">
        <v>0</v>
      </c>
      <c r="I60" s="192"/>
      <c r="J60" s="204"/>
      <c r="K60" s="193"/>
      <c r="L60" s="193"/>
      <c r="M60" s="193">
        <v>90000</v>
      </c>
      <c r="N60" s="203">
        <f t="shared" si="28"/>
        <v>0</v>
      </c>
      <c r="O60" s="203">
        <f t="shared" si="29"/>
        <v>0</v>
      </c>
      <c r="P60" s="203">
        <f t="shared" si="30"/>
        <v>90000</v>
      </c>
      <c r="Q60" s="214">
        <v>46265</v>
      </c>
      <c r="R60" s="219">
        <v>46265</v>
      </c>
      <c r="S60" s="217">
        <v>46234</v>
      </c>
      <c r="T60" s="205"/>
      <c r="U60" s="205"/>
      <c r="V60" s="215" t="s">
        <v>521</v>
      </c>
      <c r="W60" s="212"/>
      <c r="X60" s="10">
        <v>7</v>
      </c>
      <c r="Y60" s="10">
        <v>7</v>
      </c>
      <c r="Z60" s="213">
        <f t="shared" si="31"/>
        <v>0</v>
      </c>
      <c r="AA60" s="62"/>
      <c r="AB60" s="62"/>
      <c r="AC60" s="62"/>
      <c r="AD60" s="62"/>
      <c r="AE60" s="62"/>
      <c r="AF60" s="63"/>
      <c r="AG60" s="64"/>
      <c r="AH60" s="6">
        <v>1</v>
      </c>
      <c r="AI60">
        <f t="shared" si="32"/>
        <v>25</v>
      </c>
      <c r="AJ60">
        <f t="shared" si="33"/>
        <v>15</v>
      </c>
      <c r="AK60">
        <f t="shared" si="34"/>
        <v>0</v>
      </c>
      <c r="AL60">
        <f t="shared" si="35"/>
        <v>0</v>
      </c>
      <c r="AM60">
        <f t="shared" si="36"/>
        <v>0</v>
      </c>
      <c r="AN60">
        <f t="shared" si="37"/>
        <v>0</v>
      </c>
      <c r="AO60">
        <f t="shared" si="38"/>
        <v>0</v>
      </c>
      <c r="AP60">
        <f t="shared" si="39"/>
        <v>0</v>
      </c>
      <c r="AQ60">
        <f t="shared" si="40"/>
        <v>0</v>
      </c>
      <c r="AR60">
        <f t="shared" si="41"/>
        <v>0</v>
      </c>
      <c r="AS60">
        <f t="shared" si="42"/>
        <v>1</v>
      </c>
      <c r="AT60">
        <f t="shared" si="43"/>
        <v>1</v>
      </c>
      <c r="AU60">
        <f t="shared" si="44"/>
        <v>0</v>
      </c>
      <c r="AV60">
        <f t="shared" si="45"/>
        <v>0</v>
      </c>
      <c r="AW60">
        <f t="shared" si="46"/>
        <v>0</v>
      </c>
      <c r="AX60">
        <f t="shared" si="47"/>
        <v>0</v>
      </c>
      <c r="AY60">
        <f t="shared" si="48"/>
        <v>0</v>
      </c>
      <c r="AZ60">
        <f t="shared" si="49"/>
        <v>0</v>
      </c>
      <c r="BA60">
        <f t="shared" si="50"/>
        <v>0</v>
      </c>
      <c r="BB60">
        <f t="shared" si="51"/>
        <v>0</v>
      </c>
      <c r="BC60">
        <f t="shared" si="52"/>
        <v>0</v>
      </c>
      <c r="BD60">
        <f t="shared" si="53"/>
        <v>0</v>
      </c>
      <c r="BE60">
        <f t="shared" si="54"/>
        <v>0</v>
      </c>
      <c r="BF60">
        <f t="shared" si="55"/>
        <v>0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s="201" customFormat="1" ht="14.25" x14ac:dyDescent="0.2">
      <c r="A61" s="10">
        <v>2892</v>
      </c>
      <c r="B61" s="11" t="s">
        <v>388</v>
      </c>
      <c r="C61" s="105" t="s">
        <v>389</v>
      </c>
      <c r="D61" s="11" t="s">
        <v>105</v>
      </c>
      <c r="E61" s="12">
        <v>11803</v>
      </c>
      <c r="F61" s="202">
        <v>41</v>
      </c>
      <c r="G61" s="11">
        <v>80000</v>
      </c>
      <c r="H61" s="116">
        <v>0</v>
      </c>
      <c r="I61" s="192"/>
      <c r="J61" s="204"/>
      <c r="K61" s="193"/>
      <c r="L61" s="193"/>
      <c r="M61" s="193">
        <v>80000</v>
      </c>
      <c r="N61" s="203">
        <f t="shared" si="28"/>
        <v>0</v>
      </c>
      <c r="O61" s="203">
        <f t="shared" si="29"/>
        <v>0</v>
      </c>
      <c r="P61" s="203">
        <f t="shared" si="30"/>
        <v>80000</v>
      </c>
      <c r="Q61" s="214">
        <v>46248</v>
      </c>
      <c r="R61" s="219">
        <v>46248</v>
      </c>
      <c r="S61" s="217">
        <v>46225</v>
      </c>
      <c r="T61" s="205"/>
      <c r="U61" s="205"/>
      <c r="V61" s="215" t="s">
        <v>521</v>
      </c>
      <c r="W61" s="212"/>
      <c r="X61" s="10">
        <v>7</v>
      </c>
      <c r="Y61" s="10">
        <v>7</v>
      </c>
      <c r="Z61" s="213">
        <f t="shared" si="31"/>
        <v>0</v>
      </c>
      <c r="AA61" s="62"/>
      <c r="AB61" s="62"/>
      <c r="AC61" s="62"/>
      <c r="AD61" s="62"/>
      <c r="AE61" s="62"/>
      <c r="AF61" s="63"/>
      <c r="AG61" s="64"/>
      <c r="AH61" s="6">
        <v>1</v>
      </c>
      <c r="AI61">
        <f t="shared" si="32"/>
        <v>25</v>
      </c>
      <c r="AJ61">
        <f t="shared" si="33"/>
        <v>15</v>
      </c>
      <c r="AK61">
        <f t="shared" si="34"/>
        <v>0</v>
      </c>
      <c r="AL61">
        <f t="shared" si="35"/>
        <v>0</v>
      </c>
      <c r="AM61">
        <f t="shared" si="36"/>
        <v>0</v>
      </c>
      <c r="AN61">
        <f t="shared" si="37"/>
        <v>0</v>
      </c>
      <c r="AO61">
        <f t="shared" si="38"/>
        <v>0</v>
      </c>
      <c r="AP61">
        <f t="shared" si="39"/>
        <v>0</v>
      </c>
      <c r="AQ61">
        <f t="shared" si="40"/>
        <v>0</v>
      </c>
      <c r="AR61">
        <f t="shared" si="41"/>
        <v>0</v>
      </c>
      <c r="AS61">
        <f t="shared" si="42"/>
        <v>1</v>
      </c>
      <c r="AT61">
        <f t="shared" si="43"/>
        <v>1</v>
      </c>
      <c r="AU61">
        <f t="shared" si="44"/>
        <v>0</v>
      </c>
      <c r="AV61">
        <f t="shared" si="45"/>
        <v>0</v>
      </c>
      <c r="AW61">
        <f t="shared" si="46"/>
        <v>0</v>
      </c>
      <c r="AX61">
        <f t="shared" si="47"/>
        <v>0</v>
      </c>
      <c r="AY61">
        <f t="shared" si="48"/>
        <v>0</v>
      </c>
      <c r="AZ61">
        <f t="shared" si="49"/>
        <v>0</v>
      </c>
      <c r="BA61">
        <f t="shared" si="50"/>
        <v>0</v>
      </c>
      <c r="BB61">
        <f t="shared" si="51"/>
        <v>0</v>
      </c>
      <c r="BC61">
        <f t="shared" si="52"/>
        <v>0</v>
      </c>
      <c r="BD61">
        <f t="shared" si="53"/>
        <v>0</v>
      </c>
      <c r="BE61">
        <f t="shared" si="54"/>
        <v>0</v>
      </c>
      <c r="BF61">
        <f t="shared" si="55"/>
        <v>0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s="201" customFormat="1" ht="14.25" x14ac:dyDescent="0.2">
      <c r="A62" s="10">
        <v>2897</v>
      </c>
      <c r="B62" s="11" t="s">
        <v>390</v>
      </c>
      <c r="C62" s="105" t="s">
        <v>391</v>
      </c>
      <c r="D62" s="11" t="s">
        <v>106</v>
      </c>
      <c r="E62" s="12">
        <v>11810</v>
      </c>
      <c r="F62" s="202">
        <v>41</v>
      </c>
      <c r="G62" s="11">
        <v>80000</v>
      </c>
      <c r="H62" s="116">
        <v>0</v>
      </c>
      <c r="I62" s="192"/>
      <c r="J62" s="204"/>
      <c r="K62" s="193"/>
      <c r="L62" s="193"/>
      <c r="M62" s="193"/>
      <c r="N62" s="203">
        <f t="shared" si="28"/>
        <v>80000</v>
      </c>
      <c r="O62" s="203">
        <f t="shared" si="29"/>
        <v>80000</v>
      </c>
      <c r="P62" s="203">
        <f t="shared" si="30"/>
        <v>80000</v>
      </c>
      <c r="Q62" s="214"/>
      <c r="R62" s="219">
        <v>46264</v>
      </c>
      <c r="S62" s="217">
        <v>46218</v>
      </c>
      <c r="T62" s="205"/>
      <c r="U62" s="205"/>
      <c r="V62" s="215"/>
      <c r="W62" s="212" t="s">
        <v>538</v>
      </c>
      <c r="X62" s="10">
        <v>7</v>
      </c>
      <c r="Y62" s="10">
        <v>7</v>
      </c>
      <c r="Z62" s="213">
        <f t="shared" si="31"/>
        <v>80000</v>
      </c>
      <c r="AA62" s="62"/>
      <c r="AB62" s="62"/>
      <c r="AC62" s="62"/>
      <c r="AD62" s="62"/>
      <c r="AE62" s="62"/>
      <c r="AF62" s="63"/>
      <c r="AG62" s="64"/>
      <c r="AH62" s="6">
        <v>1</v>
      </c>
      <c r="AI62">
        <f t="shared" si="32"/>
        <v>25</v>
      </c>
      <c r="AJ62">
        <f t="shared" si="33"/>
        <v>25</v>
      </c>
      <c r="AK62">
        <f t="shared" si="34"/>
        <v>0</v>
      </c>
      <c r="AL62">
        <f t="shared" si="35"/>
        <v>0</v>
      </c>
      <c r="AM62">
        <f t="shared" si="36"/>
        <v>0</v>
      </c>
      <c r="AN62">
        <f t="shared" si="37"/>
        <v>0</v>
      </c>
      <c r="AO62">
        <f t="shared" si="38"/>
        <v>0</v>
      </c>
      <c r="AP62">
        <f t="shared" si="39"/>
        <v>0</v>
      </c>
      <c r="AQ62">
        <f t="shared" si="40"/>
        <v>0</v>
      </c>
      <c r="AR62">
        <f t="shared" si="41"/>
        <v>0</v>
      </c>
      <c r="AS62">
        <f t="shared" si="42"/>
        <v>0</v>
      </c>
      <c r="AT62">
        <f t="shared" si="43"/>
        <v>0</v>
      </c>
      <c r="AU62">
        <f t="shared" si="44"/>
        <v>1</v>
      </c>
      <c r="AV62">
        <f t="shared" si="45"/>
        <v>1</v>
      </c>
      <c r="AW62">
        <f t="shared" si="46"/>
        <v>1</v>
      </c>
      <c r="AX62">
        <f t="shared" si="47"/>
        <v>1</v>
      </c>
      <c r="AY62">
        <f t="shared" si="48"/>
        <v>80000</v>
      </c>
      <c r="AZ62">
        <f t="shared" si="49"/>
        <v>80000</v>
      </c>
      <c r="BA62">
        <f t="shared" si="50"/>
        <v>0</v>
      </c>
      <c r="BB62">
        <f t="shared" si="51"/>
        <v>0</v>
      </c>
      <c r="BC62">
        <f t="shared" si="52"/>
        <v>0</v>
      </c>
      <c r="BD62">
        <f t="shared" si="53"/>
        <v>0</v>
      </c>
      <c r="BE62">
        <f t="shared" si="54"/>
        <v>0</v>
      </c>
      <c r="BF62">
        <f t="shared" si="55"/>
        <v>0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s="201" customFormat="1" ht="14.25" x14ac:dyDescent="0.2">
      <c r="A63" s="10">
        <v>2948</v>
      </c>
      <c r="B63" s="11" t="s">
        <v>392</v>
      </c>
      <c r="C63" s="105" t="s">
        <v>393</v>
      </c>
      <c r="D63" s="11" t="s">
        <v>106</v>
      </c>
      <c r="E63" s="12">
        <v>11842</v>
      </c>
      <c r="F63" s="202">
        <v>39</v>
      </c>
      <c r="G63" s="11">
        <v>120000</v>
      </c>
      <c r="H63" s="116">
        <v>0</v>
      </c>
      <c r="I63" s="192"/>
      <c r="J63" s="204"/>
      <c r="K63" s="193"/>
      <c r="L63" s="193"/>
      <c r="M63" s="193">
        <v>120000</v>
      </c>
      <c r="N63" s="203">
        <f t="shared" si="28"/>
        <v>0</v>
      </c>
      <c r="O63" s="203">
        <f t="shared" si="29"/>
        <v>0</v>
      </c>
      <c r="P63" s="203">
        <f t="shared" si="30"/>
        <v>120000</v>
      </c>
      <c r="Q63" s="214">
        <v>46244</v>
      </c>
      <c r="R63" s="219">
        <v>46244</v>
      </c>
      <c r="S63" s="217">
        <v>46213</v>
      </c>
      <c r="T63" s="205"/>
      <c r="U63" s="205"/>
      <c r="V63" s="215"/>
      <c r="W63" s="212"/>
      <c r="X63" s="10">
        <v>7</v>
      </c>
      <c r="Y63" s="10">
        <v>7</v>
      </c>
      <c r="Z63" s="213">
        <f t="shared" si="31"/>
        <v>0</v>
      </c>
      <c r="AA63" s="62"/>
      <c r="AB63" s="62"/>
      <c r="AC63" s="62"/>
      <c r="AD63" s="62"/>
      <c r="AE63" s="62"/>
      <c r="AF63" s="63"/>
      <c r="AG63" s="64"/>
      <c r="AH63" s="6">
        <v>1</v>
      </c>
      <c r="AI63">
        <f t="shared" si="32"/>
        <v>25</v>
      </c>
      <c r="AJ63">
        <f t="shared" si="33"/>
        <v>15</v>
      </c>
      <c r="AK63">
        <f t="shared" si="34"/>
        <v>0</v>
      </c>
      <c r="AL63">
        <f t="shared" si="35"/>
        <v>0</v>
      </c>
      <c r="AM63">
        <f t="shared" si="36"/>
        <v>0</v>
      </c>
      <c r="AN63">
        <f t="shared" si="37"/>
        <v>0</v>
      </c>
      <c r="AO63">
        <f t="shared" si="38"/>
        <v>0</v>
      </c>
      <c r="AP63">
        <f t="shared" si="39"/>
        <v>0</v>
      </c>
      <c r="AQ63">
        <f t="shared" si="40"/>
        <v>0</v>
      </c>
      <c r="AR63">
        <f t="shared" si="41"/>
        <v>0</v>
      </c>
      <c r="AS63">
        <f t="shared" si="42"/>
        <v>1</v>
      </c>
      <c r="AT63">
        <f t="shared" si="43"/>
        <v>1</v>
      </c>
      <c r="AU63">
        <f t="shared" si="44"/>
        <v>0</v>
      </c>
      <c r="AV63">
        <f t="shared" si="45"/>
        <v>0</v>
      </c>
      <c r="AW63">
        <f t="shared" si="46"/>
        <v>0</v>
      </c>
      <c r="AX63">
        <f t="shared" si="47"/>
        <v>0</v>
      </c>
      <c r="AY63">
        <f t="shared" si="48"/>
        <v>0</v>
      </c>
      <c r="AZ63">
        <f t="shared" si="49"/>
        <v>0</v>
      </c>
      <c r="BA63">
        <f t="shared" si="50"/>
        <v>0</v>
      </c>
      <c r="BB63">
        <f t="shared" si="51"/>
        <v>0</v>
      </c>
      <c r="BC63">
        <f t="shared" si="52"/>
        <v>0</v>
      </c>
      <c r="BD63">
        <f t="shared" si="53"/>
        <v>0</v>
      </c>
      <c r="BE63">
        <f t="shared" si="54"/>
        <v>0</v>
      </c>
      <c r="BF63">
        <f t="shared" si="55"/>
        <v>0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s="201" customFormat="1" ht="14.25" x14ac:dyDescent="0.2">
      <c r="A64" s="10">
        <v>2960</v>
      </c>
      <c r="B64" s="11" t="s">
        <v>276</v>
      </c>
      <c r="C64" s="105" t="s">
        <v>277</v>
      </c>
      <c r="D64" s="11" t="s">
        <v>106</v>
      </c>
      <c r="E64" s="12">
        <v>11871</v>
      </c>
      <c r="F64" s="202">
        <v>39</v>
      </c>
      <c r="G64" s="11">
        <v>30000</v>
      </c>
      <c r="H64" s="116">
        <v>0</v>
      </c>
      <c r="I64" s="192"/>
      <c r="J64" s="204"/>
      <c r="K64" s="193"/>
      <c r="L64" s="193"/>
      <c r="M64" s="193">
        <v>30000</v>
      </c>
      <c r="N64" s="203">
        <f t="shared" si="28"/>
        <v>0</v>
      </c>
      <c r="O64" s="203">
        <f t="shared" si="29"/>
        <v>0</v>
      </c>
      <c r="P64" s="203">
        <f t="shared" si="30"/>
        <v>30000</v>
      </c>
      <c r="Q64" s="214">
        <v>46246</v>
      </c>
      <c r="R64" s="219">
        <v>46246</v>
      </c>
      <c r="S64" s="217">
        <v>46212</v>
      </c>
      <c r="T64" s="205"/>
      <c r="U64" s="205"/>
      <c r="V64" s="215" t="s">
        <v>521</v>
      </c>
      <c r="W64" s="212"/>
      <c r="X64" s="10">
        <v>7</v>
      </c>
      <c r="Y64" s="10">
        <v>7</v>
      </c>
      <c r="Z64" s="213">
        <f t="shared" si="31"/>
        <v>0</v>
      </c>
      <c r="AA64" s="62"/>
      <c r="AB64" s="62"/>
      <c r="AC64" s="62"/>
      <c r="AD64" s="62"/>
      <c r="AE64" s="62"/>
      <c r="AF64" s="63"/>
      <c r="AG64" s="64"/>
      <c r="AH64" s="6">
        <v>1</v>
      </c>
      <c r="AI64">
        <f t="shared" si="32"/>
        <v>25</v>
      </c>
      <c r="AJ64">
        <f t="shared" si="33"/>
        <v>15</v>
      </c>
      <c r="AK64">
        <f t="shared" si="34"/>
        <v>0</v>
      </c>
      <c r="AL64">
        <f t="shared" si="35"/>
        <v>0</v>
      </c>
      <c r="AM64">
        <f t="shared" si="36"/>
        <v>0</v>
      </c>
      <c r="AN64">
        <f t="shared" si="37"/>
        <v>0</v>
      </c>
      <c r="AO64">
        <f t="shared" si="38"/>
        <v>0</v>
      </c>
      <c r="AP64">
        <f t="shared" si="39"/>
        <v>0</v>
      </c>
      <c r="AQ64">
        <f t="shared" si="40"/>
        <v>0</v>
      </c>
      <c r="AR64">
        <f t="shared" si="41"/>
        <v>0</v>
      </c>
      <c r="AS64">
        <f t="shared" si="42"/>
        <v>1</v>
      </c>
      <c r="AT64">
        <f t="shared" si="43"/>
        <v>1</v>
      </c>
      <c r="AU64">
        <f t="shared" si="44"/>
        <v>0</v>
      </c>
      <c r="AV64">
        <f t="shared" si="45"/>
        <v>0</v>
      </c>
      <c r="AW64">
        <f t="shared" si="46"/>
        <v>0</v>
      </c>
      <c r="AX64">
        <f t="shared" si="47"/>
        <v>0</v>
      </c>
      <c r="AY64">
        <f t="shared" si="48"/>
        <v>0</v>
      </c>
      <c r="AZ64">
        <f t="shared" si="49"/>
        <v>0</v>
      </c>
      <c r="BA64">
        <f t="shared" si="50"/>
        <v>0</v>
      </c>
      <c r="BB64">
        <f t="shared" si="51"/>
        <v>0</v>
      </c>
      <c r="BC64">
        <f t="shared" si="52"/>
        <v>0</v>
      </c>
      <c r="BD64">
        <f t="shared" si="53"/>
        <v>0</v>
      </c>
      <c r="BE64">
        <f t="shared" si="54"/>
        <v>0</v>
      </c>
      <c r="BF64">
        <f t="shared" si="55"/>
        <v>0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201" customFormat="1" ht="14.25" x14ac:dyDescent="0.2">
      <c r="A65" s="10">
        <v>2964</v>
      </c>
      <c r="B65" s="11" t="s">
        <v>394</v>
      </c>
      <c r="C65" s="105" t="s">
        <v>395</v>
      </c>
      <c r="D65" s="11" t="s">
        <v>144</v>
      </c>
      <c r="E65" s="12">
        <v>11875</v>
      </c>
      <c r="F65" s="202">
        <v>39</v>
      </c>
      <c r="G65" s="11">
        <v>99999</v>
      </c>
      <c r="H65" s="116">
        <v>-5</v>
      </c>
      <c r="I65" s="192"/>
      <c r="J65" s="204"/>
      <c r="K65" s="193"/>
      <c r="L65" s="193"/>
      <c r="M65" s="193">
        <v>100000</v>
      </c>
      <c r="N65" s="203">
        <f t="shared" si="28"/>
        <v>-1</v>
      </c>
      <c r="O65" s="203">
        <f t="shared" si="29"/>
        <v>-6</v>
      </c>
      <c r="P65" s="203">
        <f t="shared" si="30"/>
        <v>99994</v>
      </c>
      <c r="Q65" s="214">
        <v>46242</v>
      </c>
      <c r="R65" s="219">
        <v>46209</v>
      </c>
      <c r="S65" s="217">
        <v>46209</v>
      </c>
      <c r="T65" s="205"/>
      <c r="U65" s="205"/>
      <c r="V65" s="215" t="s">
        <v>521</v>
      </c>
      <c r="W65" s="212"/>
      <c r="X65" s="10">
        <v>7</v>
      </c>
      <c r="Y65" s="10">
        <v>7</v>
      </c>
      <c r="Z65" s="213">
        <f t="shared" si="31"/>
        <v>0</v>
      </c>
      <c r="AA65" s="62"/>
      <c r="AB65" s="62"/>
      <c r="AC65" s="62"/>
      <c r="AD65" s="62"/>
      <c r="AE65" s="62"/>
      <c r="AF65" s="63"/>
      <c r="AG65" s="64"/>
      <c r="AH65" s="6">
        <v>1</v>
      </c>
      <c r="AI65">
        <f t="shared" si="32"/>
        <v>25</v>
      </c>
      <c r="AJ65">
        <f t="shared" si="33"/>
        <v>25</v>
      </c>
      <c r="AK65">
        <f t="shared" si="34"/>
        <v>0</v>
      </c>
      <c r="AL65">
        <f t="shared" si="35"/>
        <v>0</v>
      </c>
      <c r="AM65">
        <f t="shared" si="36"/>
        <v>0</v>
      </c>
      <c r="AN65">
        <f t="shared" si="37"/>
        <v>0</v>
      </c>
      <c r="AO65">
        <f t="shared" si="38"/>
        <v>0</v>
      </c>
      <c r="AP65">
        <f t="shared" si="39"/>
        <v>0</v>
      </c>
      <c r="AQ65">
        <f t="shared" si="40"/>
        <v>0</v>
      </c>
      <c r="AR65">
        <f t="shared" si="41"/>
        <v>0</v>
      </c>
      <c r="AS65">
        <f t="shared" si="42"/>
        <v>1</v>
      </c>
      <c r="AT65">
        <f t="shared" si="43"/>
        <v>1</v>
      </c>
      <c r="AU65">
        <f t="shared" si="44"/>
        <v>0</v>
      </c>
      <c r="AV65">
        <f t="shared" si="45"/>
        <v>0</v>
      </c>
      <c r="AW65">
        <f t="shared" si="46"/>
        <v>0</v>
      </c>
      <c r="AX65">
        <f t="shared" si="47"/>
        <v>0</v>
      </c>
      <c r="AY65">
        <f t="shared" si="48"/>
        <v>0</v>
      </c>
      <c r="AZ65">
        <f t="shared" si="49"/>
        <v>0</v>
      </c>
      <c r="BA65">
        <f t="shared" si="50"/>
        <v>0</v>
      </c>
      <c r="BB65">
        <f t="shared" si="51"/>
        <v>0</v>
      </c>
      <c r="BC65">
        <f t="shared" si="52"/>
        <v>0</v>
      </c>
      <c r="BD65">
        <f t="shared" si="53"/>
        <v>0</v>
      </c>
      <c r="BE65">
        <f t="shared" si="54"/>
        <v>0</v>
      </c>
      <c r="BF65">
        <f t="shared" si="55"/>
        <v>0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s="201" customFormat="1" ht="14.25" x14ac:dyDescent="0.2">
      <c r="A66" s="10">
        <v>2980</v>
      </c>
      <c r="B66" s="11" t="s">
        <v>396</v>
      </c>
      <c r="C66" s="105" t="s">
        <v>397</v>
      </c>
      <c r="D66" s="11" t="s">
        <v>144</v>
      </c>
      <c r="E66" s="12">
        <v>11894</v>
      </c>
      <c r="F66" s="202">
        <v>39</v>
      </c>
      <c r="G66" s="11">
        <v>65000</v>
      </c>
      <c r="H66" s="116">
        <v>0</v>
      </c>
      <c r="I66" s="192"/>
      <c r="J66" s="204"/>
      <c r="K66" s="193"/>
      <c r="L66" s="193"/>
      <c r="M66" s="193">
        <v>65000</v>
      </c>
      <c r="N66" s="203">
        <f t="shared" si="28"/>
        <v>0</v>
      </c>
      <c r="O66" s="203">
        <f t="shared" si="29"/>
        <v>0</v>
      </c>
      <c r="P66" s="203">
        <f t="shared" si="30"/>
        <v>65000</v>
      </c>
      <c r="Q66" s="214">
        <v>46244</v>
      </c>
      <c r="R66" s="219">
        <v>46244</v>
      </c>
      <c r="S66" s="217">
        <v>46209</v>
      </c>
      <c r="T66" s="205"/>
      <c r="U66" s="205"/>
      <c r="V66" s="215" t="s">
        <v>521</v>
      </c>
      <c r="W66" s="212"/>
      <c r="X66" s="10">
        <v>7</v>
      </c>
      <c r="Y66" s="10">
        <v>7</v>
      </c>
      <c r="Z66" s="213">
        <f t="shared" si="31"/>
        <v>0</v>
      </c>
      <c r="AA66" s="62"/>
      <c r="AB66" s="62"/>
      <c r="AC66" s="62"/>
      <c r="AD66" s="62"/>
      <c r="AE66" s="62"/>
      <c r="AF66" s="63"/>
      <c r="AG66" s="64"/>
      <c r="AH66" s="6">
        <v>1</v>
      </c>
      <c r="AI66">
        <f t="shared" si="32"/>
        <v>25</v>
      </c>
      <c r="AJ66">
        <f t="shared" si="33"/>
        <v>15</v>
      </c>
      <c r="AK66">
        <f t="shared" si="34"/>
        <v>0</v>
      </c>
      <c r="AL66">
        <f t="shared" si="35"/>
        <v>0</v>
      </c>
      <c r="AM66">
        <f t="shared" si="36"/>
        <v>0</v>
      </c>
      <c r="AN66">
        <f t="shared" si="37"/>
        <v>0</v>
      </c>
      <c r="AO66">
        <f t="shared" si="38"/>
        <v>0</v>
      </c>
      <c r="AP66">
        <f t="shared" si="39"/>
        <v>0</v>
      </c>
      <c r="AQ66">
        <f t="shared" si="40"/>
        <v>0</v>
      </c>
      <c r="AR66">
        <f t="shared" si="41"/>
        <v>0</v>
      </c>
      <c r="AS66">
        <f t="shared" si="42"/>
        <v>1</v>
      </c>
      <c r="AT66">
        <f t="shared" si="43"/>
        <v>1</v>
      </c>
      <c r="AU66">
        <f t="shared" si="44"/>
        <v>0</v>
      </c>
      <c r="AV66">
        <f t="shared" si="45"/>
        <v>0</v>
      </c>
      <c r="AW66">
        <f t="shared" si="46"/>
        <v>0</v>
      </c>
      <c r="AX66">
        <f t="shared" si="47"/>
        <v>0</v>
      </c>
      <c r="AY66">
        <f t="shared" si="48"/>
        <v>0</v>
      </c>
      <c r="AZ66">
        <f t="shared" si="49"/>
        <v>0</v>
      </c>
      <c r="BA66">
        <f t="shared" si="50"/>
        <v>0</v>
      </c>
      <c r="BB66">
        <f t="shared" si="51"/>
        <v>0</v>
      </c>
      <c r="BC66">
        <f t="shared" si="52"/>
        <v>0</v>
      </c>
      <c r="BD66">
        <f t="shared" si="53"/>
        <v>0</v>
      </c>
      <c r="BE66">
        <f t="shared" si="54"/>
        <v>0</v>
      </c>
      <c r="BF66">
        <f t="shared" si="55"/>
        <v>0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s="201" customFormat="1" ht="14.25" x14ac:dyDescent="0.2">
      <c r="A67" s="10">
        <v>2992</v>
      </c>
      <c r="B67" s="11" t="s">
        <v>248</v>
      </c>
      <c r="C67" s="105" t="s">
        <v>249</v>
      </c>
      <c r="D67" s="11" t="s">
        <v>144</v>
      </c>
      <c r="E67" s="12">
        <v>11891</v>
      </c>
      <c r="F67" s="202">
        <v>38</v>
      </c>
      <c r="G67" s="11">
        <v>36000</v>
      </c>
      <c r="H67" s="116">
        <v>-18000</v>
      </c>
      <c r="I67" s="192"/>
      <c r="J67" s="204"/>
      <c r="K67" s="193"/>
      <c r="L67" s="193"/>
      <c r="M67" s="193">
        <v>36000</v>
      </c>
      <c r="N67" s="203">
        <f t="shared" si="28"/>
        <v>0</v>
      </c>
      <c r="O67" s="203">
        <f t="shared" si="29"/>
        <v>-18000</v>
      </c>
      <c r="P67" s="203">
        <f t="shared" si="30"/>
        <v>18000</v>
      </c>
      <c r="Q67" s="214">
        <v>46244</v>
      </c>
      <c r="R67" s="219">
        <v>46244</v>
      </c>
      <c r="S67" s="217">
        <v>46211</v>
      </c>
      <c r="T67" s="205"/>
      <c r="U67" s="205"/>
      <c r="V67" s="215" t="s">
        <v>521</v>
      </c>
      <c r="W67" s="212"/>
      <c r="X67" s="10">
        <v>7</v>
      </c>
      <c r="Y67" s="10">
        <v>7</v>
      </c>
      <c r="Z67" s="213">
        <f t="shared" si="31"/>
        <v>0</v>
      </c>
      <c r="AA67" s="62"/>
      <c r="AB67" s="62"/>
      <c r="AC67" s="62"/>
      <c r="AD67" s="62"/>
      <c r="AE67" s="62"/>
      <c r="AF67" s="63"/>
      <c r="AG67" s="64"/>
      <c r="AH67" s="6">
        <v>1</v>
      </c>
      <c r="AI67">
        <f t="shared" si="32"/>
        <v>25</v>
      </c>
      <c r="AJ67">
        <f t="shared" si="33"/>
        <v>25</v>
      </c>
      <c r="AK67">
        <f t="shared" si="34"/>
        <v>0</v>
      </c>
      <c r="AL67">
        <f t="shared" si="35"/>
        <v>0</v>
      </c>
      <c r="AM67">
        <f t="shared" si="36"/>
        <v>0</v>
      </c>
      <c r="AN67">
        <f t="shared" si="37"/>
        <v>0</v>
      </c>
      <c r="AO67">
        <f t="shared" si="38"/>
        <v>0</v>
      </c>
      <c r="AP67">
        <f t="shared" si="39"/>
        <v>0</v>
      </c>
      <c r="AQ67">
        <f t="shared" si="40"/>
        <v>0</v>
      </c>
      <c r="AR67">
        <f t="shared" si="41"/>
        <v>0</v>
      </c>
      <c r="AS67">
        <f t="shared" si="42"/>
        <v>1</v>
      </c>
      <c r="AT67">
        <f t="shared" si="43"/>
        <v>1</v>
      </c>
      <c r="AU67">
        <f t="shared" si="44"/>
        <v>0</v>
      </c>
      <c r="AV67">
        <f t="shared" si="45"/>
        <v>0</v>
      </c>
      <c r="AW67">
        <f t="shared" si="46"/>
        <v>0</v>
      </c>
      <c r="AX67">
        <f t="shared" si="47"/>
        <v>0</v>
      </c>
      <c r="AY67">
        <f t="shared" si="48"/>
        <v>0</v>
      </c>
      <c r="AZ67">
        <f t="shared" si="49"/>
        <v>0</v>
      </c>
      <c r="BA67">
        <f t="shared" si="50"/>
        <v>0</v>
      </c>
      <c r="BB67">
        <f t="shared" si="51"/>
        <v>0</v>
      </c>
      <c r="BC67">
        <f t="shared" si="52"/>
        <v>0</v>
      </c>
      <c r="BD67">
        <f t="shared" si="53"/>
        <v>0</v>
      </c>
      <c r="BE67">
        <f t="shared" si="54"/>
        <v>0</v>
      </c>
      <c r="BF67">
        <f t="shared" si="55"/>
        <v>0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s="201" customFormat="1" ht="14.25" x14ac:dyDescent="0.2">
      <c r="A68" s="10">
        <v>2998</v>
      </c>
      <c r="B68" s="11" t="s">
        <v>278</v>
      </c>
      <c r="C68" s="105" t="s">
        <v>279</v>
      </c>
      <c r="D68" s="11" t="s">
        <v>154</v>
      </c>
      <c r="E68" s="12">
        <v>11899</v>
      </c>
      <c r="F68" s="202">
        <v>38</v>
      </c>
      <c r="G68" s="11">
        <v>65000</v>
      </c>
      <c r="H68" s="116">
        <v>0</v>
      </c>
      <c r="I68" s="192"/>
      <c r="J68" s="204"/>
      <c r="K68" s="193"/>
      <c r="L68" s="193"/>
      <c r="M68" s="193">
        <v>65000</v>
      </c>
      <c r="N68" s="203">
        <f t="shared" ref="N68:N99" si="56">IF(H68&gt;0,G68+H68-I68-J68-K68-L68-M68,G68-I68-J68-K68-L68-M68)</f>
        <v>0</v>
      </c>
      <c r="O68" s="203">
        <f t="shared" ref="O68:O99" si="57">G68+H68-J68-I68-K68-L68-M68</f>
        <v>0</v>
      </c>
      <c r="P68" s="203">
        <f t="shared" ref="P68:P99" si="58">IF(G68+H68&lt;0,0,G68+H68)</f>
        <v>65000</v>
      </c>
      <c r="Q68" s="214">
        <v>46244</v>
      </c>
      <c r="R68" s="219">
        <v>46244</v>
      </c>
      <c r="S68" s="217">
        <v>46213</v>
      </c>
      <c r="T68" s="205"/>
      <c r="U68" s="205"/>
      <c r="V68" s="215" t="s">
        <v>521</v>
      </c>
      <c r="W68" s="212"/>
      <c r="X68" s="10">
        <v>7</v>
      </c>
      <c r="Y68" s="10">
        <v>7</v>
      </c>
      <c r="Z68" s="213">
        <f t="shared" ref="Z68:Z99" si="59">IF(N68&lt;0,0,N68)</f>
        <v>0</v>
      </c>
      <c r="AA68" s="62"/>
      <c r="AB68" s="62"/>
      <c r="AC68" s="62"/>
      <c r="AD68" s="62"/>
      <c r="AE68" s="62"/>
      <c r="AF68" s="63"/>
      <c r="AG68" s="64"/>
      <c r="AH68" s="6">
        <v>1</v>
      </c>
      <c r="AI68">
        <f t="shared" ref="AI68:AI99" si="60">IF(F68&lt;=6,15,25)</f>
        <v>25</v>
      </c>
      <c r="AJ68">
        <f t="shared" ref="AJ68:AJ99" si="61">IF(O68&lt;&gt;0,25,15)</f>
        <v>15</v>
      </c>
      <c r="AK68">
        <f t="shared" ref="AK68:AK99" si="62">IF(AI68-T68=24,1,0)</f>
        <v>0</v>
      </c>
      <c r="AL68">
        <f t="shared" ref="AL68:AL99" si="63">IF(AH68-AK68=AH68,0,AH68)</f>
        <v>0</v>
      </c>
      <c r="AM68">
        <f t="shared" ref="AM68:AM99" si="64">IF(AK68&lt;&gt;0,U68,0)</f>
        <v>0</v>
      </c>
      <c r="AN68">
        <f t="shared" ref="AN68:AN99" si="65">IF(AK68=1,O68,0)</f>
        <v>0</v>
      </c>
      <c r="AO68">
        <f t="shared" ref="AO68:AO99" si="66">IF(AI68-T68=14,1,0)</f>
        <v>0</v>
      </c>
      <c r="AP68">
        <f t="shared" ref="AP68:AP99" si="67">IF(AH68-AO68=AH68,0,AH68)</f>
        <v>0</v>
      </c>
      <c r="AQ68">
        <f t="shared" ref="AQ68:AQ99" si="68">IF(AO68&lt;&gt;0,U68,0)</f>
        <v>0</v>
      </c>
      <c r="AR68">
        <f t="shared" ref="AR68:AR99" si="69">IF(AO68=1,O68,0)</f>
        <v>0</v>
      </c>
      <c r="AS68">
        <f t="shared" ref="AS68:AS99" si="70">IF(SUM(I68:M68)&lt;&gt;0,1,0)</f>
        <v>1</v>
      </c>
      <c r="AT68">
        <f t="shared" ref="AT68:AT99" si="71">AS68</f>
        <v>1</v>
      </c>
      <c r="AU68">
        <f t="shared" ref="AU68:AU99" si="72">IF(O68&gt;0,1,0)</f>
        <v>0</v>
      </c>
      <c r="AV68">
        <f t="shared" ref="AV68:AV99" si="73">IF(AK68+AO68+AU68=1,AU68,0)</f>
        <v>0</v>
      </c>
      <c r="AW68">
        <f t="shared" ref="AW68:AW99" si="74">IF(AI68-AV68=24,1,0)</f>
        <v>0</v>
      </c>
      <c r="AX68">
        <f t="shared" ref="AX68:AX99" si="75">IF(AH68-AW68=AH68,0,AH68)</f>
        <v>0</v>
      </c>
      <c r="AY68">
        <f t="shared" ref="AY68:AY99" si="76">IF(AW68=1,O68,0)</f>
        <v>0</v>
      </c>
      <c r="AZ68">
        <f t="shared" ref="AZ68:AZ99" si="77">IF(AY68-BA68&lt;&gt;0,AY68,0)</f>
        <v>0</v>
      </c>
      <c r="BA68">
        <f t="shared" ref="BA68:BA99" si="78">IF(AY68&lt;0,AY68,0)</f>
        <v>0</v>
      </c>
      <c r="BB68">
        <f t="shared" ref="BB68:BB99" si="79">IF(AI68-AV68=14,1,0)</f>
        <v>0</v>
      </c>
      <c r="BC68">
        <f t="shared" ref="BC68:BC99" si="80">IF(AH68-BB68=AH68,0,AH68)</f>
        <v>0</v>
      </c>
      <c r="BD68">
        <f t="shared" ref="BD68:BD99" si="81">IF(BB68=1,O68,0)</f>
        <v>0</v>
      </c>
      <c r="BE68">
        <f t="shared" ref="BE68:BE99" si="82">IF(BD68&lt;0,BD68,0)</f>
        <v>0</v>
      </c>
      <c r="BF68">
        <f t="shared" ref="BF68:BF99" si="83">IF(BD68-BE68&lt;&gt;0,BD68,0)</f>
        <v>0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s="201" customFormat="1" ht="14.25" x14ac:dyDescent="0.2">
      <c r="A69" s="10">
        <v>3011</v>
      </c>
      <c r="B69" s="11" t="s">
        <v>398</v>
      </c>
      <c r="C69" s="105" t="s">
        <v>399</v>
      </c>
      <c r="D69" s="11" t="s">
        <v>105</v>
      </c>
      <c r="E69" s="12">
        <v>11103</v>
      </c>
      <c r="F69" s="202">
        <v>37</v>
      </c>
      <c r="G69" s="11">
        <v>60000</v>
      </c>
      <c r="H69" s="116">
        <v>0</v>
      </c>
      <c r="I69" s="192"/>
      <c r="J69" s="204"/>
      <c r="K69" s="193"/>
      <c r="L69" s="193"/>
      <c r="M69" s="193">
        <v>60000</v>
      </c>
      <c r="N69" s="203">
        <f t="shared" si="56"/>
        <v>0</v>
      </c>
      <c r="O69" s="203">
        <f t="shared" si="57"/>
        <v>0</v>
      </c>
      <c r="P69" s="203">
        <f t="shared" si="58"/>
        <v>60000</v>
      </c>
      <c r="Q69" s="214">
        <v>46244</v>
      </c>
      <c r="R69" s="219">
        <v>46244</v>
      </c>
      <c r="S69" s="217">
        <v>46218</v>
      </c>
      <c r="T69" s="205"/>
      <c r="U69" s="205"/>
      <c r="V69" s="215" t="s">
        <v>521</v>
      </c>
      <c r="W69" s="212"/>
      <c r="X69" s="10">
        <v>7</v>
      </c>
      <c r="Y69" s="10">
        <v>7</v>
      </c>
      <c r="Z69" s="213">
        <f t="shared" si="59"/>
        <v>0</v>
      </c>
      <c r="AA69" s="62"/>
      <c r="AB69" s="62"/>
      <c r="AC69" s="62"/>
      <c r="AD69" s="62"/>
      <c r="AE69" s="62"/>
      <c r="AF69" s="63"/>
      <c r="AG69" s="64"/>
      <c r="AH69" s="6">
        <v>1</v>
      </c>
      <c r="AI69">
        <f t="shared" si="60"/>
        <v>25</v>
      </c>
      <c r="AJ69">
        <f t="shared" si="61"/>
        <v>15</v>
      </c>
      <c r="AK69">
        <f t="shared" si="62"/>
        <v>0</v>
      </c>
      <c r="AL69">
        <f t="shared" si="63"/>
        <v>0</v>
      </c>
      <c r="AM69">
        <f t="shared" si="64"/>
        <v>0</v>
      </c>
      <c r="AN69">
        <f t="shared" si="65"/>
        <v>0</v>
      </c>
      <c r="AO69">
        <f t="shared" si="66"/>
        <v>0</v>
      </c>
      <c r="AP69">
        <f t="shared" si="67"/>
        <v>0</v>
      </c>
      <c r="AQ69">
        <f t="shared" si="68"/>
        <v>0</v>
      </c>
      <c r="AR69">
        <f t="shared" si="69"/>
        <v>0</v>
      </c>
      <c r="AS69">
        <f t="shared" si="70"/>
        <v>1</v>
      </c>
      <c r="AT69">
        <f t="shared" si="71"/>
        <v>1</v>
      </c>
      <c r="AU69">
        <f t="shared" si="72"/>
        <v>0</v>
      </c>
      <c r="AV69">
        <f t="shared" si="73"/>
        <v>0</v>
      </c>
      <c r="AW69">
        <f t="shared" si="74"/>
        <v>0</v>
      </c>
      <c r="AX69">
        <f t="shared" si="75"/>
        <v>0</v>
      </c>
      <c r="AY69">
        <f t="shared" si="76"/>
        <v>0</v>
      </c>
      <c r="AZ69">
        <f t="shared" si="77"/>
        <v>0</v>
      </c>
      <c r="BA69">
        <f t="shared" si="78"/>
        <v>0</v>
      </c>
      <c r="BB69">
        <f t="shared" si="79"/>
        <v>0</v>
      </c>
      <c r="BC69">
        <f t="shared" si="80"/>
        <v>0</v>
      </c>
      <c r="BD69">
        <f t="shared" si="81"/>
        <v>0</v>
      </c>
      <c r="BE69">
        <f t="shared" si="82"/>
        <v>0</v>
      </c>
      <c r="BF69">
        <f t="shared" si="83"/>
        <v>0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s="201" customFormat="1" ht="14.25" x14ac:dyDescent="0.2">
      <c r="A70" s="10">
        <v>3013</v>
      </c>
      <c r="B70" s="11" t="s">
        <v>400</v>
      </c>
      <c r="C70" s="105" t="s">
        <v>401</v>
      </c>
      <c r="D70" s="11" t="s">
        <v>105</v>
      </c>
      <c r="E70" s="12">
        <v>11145</v>
      </c>
      <c r="F70" s="202">
        <v>37</v>
      </c>
      <c r="G70" s="11">
        <v>75000</v>
      </c>
      <c r="H70" s="116">
        <v>0</v>
      </c>
      <c r="I70" s="192"/>
      <c r="J70" s="204"/>
      <c r="K70" s="193"/>
      <c r="L70" s="193"/>
      <c r="M70" s="193">
        <v>75000</v>
      </c>
      <c r="N70" s="203">
        <f t="shared" si="56"/>
        <v>0</v>
      </c>
      <c r="O70" s="203">
        <f t="shared" si="57"/>
        <v>0</v>
      </c>
      <c r="P70" s="203">
        <f t="shared" si="58"/>
        <v>75000</v>
      </c>
      <c r="Q70" s="214">
        <v>46262</v>
      </c>
      <c r="R70" s="219">
        <v>46249</v>
      </c>
      <c r="S70" s="217">
        <v>46224</v>
      </c>
      <c r="T70" s="205"/>
      <c r="U70" s="205"/>
      <c r="V70" s="215" t="s">
        <v>539</v>
      </c>
      <c r="W70" s="212" t="s">
        <v>532</v>
      </c>
      <c r="X70" s="10">
        <v>7</v>
      </c>
      <c r="Y70" s="10">
        <v>7</v>
      </c>
      <c r="Z70" s="213">
        <f t="shared" si="59"/>
        <v>0</v>
      </c>
      <c r="AA70" s="62"/>
      <c r="AB70" s="62"/>
      <c r="AC70" s="62"/>
      <c r="AD70" s="62"/>
      <c r="AE70" s="62"/>
      <c r="AF70" s="63"/>
      <c r="AG70" s="64"/>
      <c r="AH70" s="6">
        <v>1</v>
      </c>
      <c r="AI70">
        <f t="shared" si="60"/>
        <v>25</v>
      </c>
      <c r="AJ70">
        <f t="shared" si="61"/>
        <v>15</v>
      </c>
      <c r="AK70">
        <f t="shared" si="62"/>
        <v>0</v>
      </c>
      <c r="AL70">
        <f t="shared" si="63"/>
        <v>0</v>
      </c>
      <c r="AM70">
        <f t="shared" si="64"/>
        <v>0</v>
      </c>
      <c r="AN70">
        <f t="shared" si="65"/>
        <v>0</v>
      </c>
      <c r="AO70">
        <f t="shared" si="66"/>
        <v>0</v>
      </c>
      <c r="AP70">
        <f t="shared" si="67"/>
        <v>0</v>
      </c>
      <c r="AQ70">
        <f t="shared" si="68"/>
        <v>0</v>
      </c>
      <c r="AR70">
        <f t="shared" si="69"/>
        <v>0</v>
      </c>
      <c r="AS70">
        <f t="shared" si="70"/>
        <v>1</v>
      </c>
      <c r="AT70">
        <f t="shared" si="71"/>
        <v>1</v>
      </c>
      <c r="AU70">
        <f t="shared" si="72"/>
        <v>0</v>
      </c>
      <c r="AV70">
        <f t="shared" si="73"/>
        <v>0</v>
      </c>
      <c r="AW70">
        <f t="shared" si="74"/>
        <v>0</v>
      </c>
      <c r="AX70">
        <f t="shared" si="75"/>
        <v>0</v>
      </c>
      <c r="AY70">
        <f t="shared" si="76"/>
        <v>0</v>
      </c>
      <c r="AZ70">
        <f t="shared" si="77"/>
        <v>0</v>
      </c>
      <c r="BA70">
        <f t="shared" si="78"/>
        <v>0</v>
      </c>
      <c r="BB70">
        <f t="shared" si="79"/>
        <v>0</v>
      </c>
      <c r="BC70">
        <f t="shared" si="80"/>
        <v>0</v>
      </c>
      <c r="BD70">
        <f t="shared" si="81"/>
        <v>0</v>
      </c>
      <c r="BE70">
        <f t="shared" si="82"/>
        <v>0</v>
      </c>
      <c r="BF70">
        <f t="shared" si="83"/>
        <v>0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s="201" customFormat="1" ht="14.25" x14ac:dyDescent="0.2">
      <c r="A71" s="10">
        <v>3027</v>
      </c>
      <c r="B71" s="11" t="s">
        <v>402</v>
      </c>
      <c r="C71" s="105" t="s">
        <v>403</v>
      </c>
      <c r="D71" s="11" t="s">
        <v>154</v>
      </c>
      <c r="E71" s="12">
        <v>10161</v>
      </c>
      <c r="F71" s="202">
        <v>36</v>
      </c>
      <c r="G71" s="11">
        <v>60000</v>
      </c>
      <c r="H71" s="116">
        <v>-30000</v>
      </c>
      <c r="I71" s="192"/>
      <c r="J71" s="204"/>
      <c r="K71" s="193"/>
      <c r="L71" s="193"/>
      <c r="M71" s="193">
        <v>60000</v>
      </c>
      <c r="N71" s="203">
        <f t="shared" si="56"/>
        <v>0</v>
      </c>
      <c r="O71" s="203">
        <f t="shared" si="57"/>
        <v>-30000</v>
      </c>
      <c r="P71" s="203">
        <f t="shared" si="58"/>
        <v>30000</v>
      </c>
      <c r="Q71" s="214">
        <v>46245</v>
      </c>
      <c r="R71" s="219">
        <v>46245</v>
      </c>
      <c r="S71" s="217">
        <v>46216</v>
      </c>
      <c r="T71" s="205"/>
      <c r="U71" s="205"/>
      <c r="V71" s="215" t="s">
        <v>521</v>
      </c>
      <c r="W71" s="212"/>
      <c r="X71" s="10">
        <v>7</v>
      </c>
      <c r="Y71" s="10">
        <v>7</v>
      </c>
      <c r="Z71" s="213">
        <f t="shared" si="59"/>
        <v>0</v>
      </c>
      <c r="AA71" s="62"/>
      <c r="AB71" s="62"/>
      <c r="AC71" s="62"/>
      <c r="AD71" s="62"/>
      <c r="AE71" s="62"/>
      <c r="AF71" s="63"/>
      <c r="AG71" s="64"/>
      <c r="AH71" s="6">
        <v>1</v>
      </c>
      <c r="AI71">
        <f t="shared" si="60"/>
        <v>25</v>
      </c>
      <c r="AJ71">
        <f t="shared" si="61"/>
        <v>25</v>
      </c>
      <c r="AK71">
        <f t="shared" si="62"/>
        <v>0</v>
      </c>
      <c r="AL71">
        <f t="shared" si="63"/>
        <v>0</v>
      </c>
      <c r="AM71">
        <f t="shared" si="64"/>
        <v>0</v>
      </c>
      <c r="AN71">
        <f t="shared" si="65"/>
        <v>0</v>
      </c>
      <c r="AO71">
        <f t="shared" si="66"/>
        <v>0</v>
      </c>
      <c r="AP71">
        <f t="shared" si="67"/>
        <v>0</v>
      </c>
      <c r="AQ71">
        <f t="shared" si="68"/>
        <v>0</v>
      </c>
      <c r="AR71">
        <f t="shared" si="69"/>
        <v>0</v>
      </c>
      <c r="AS71">
        <f t="shared" si="70"/>
        <v>1</v>
      </c>
      <c r="AT71">
        <f t="shared" si="71"/>
        <v>1</v>
      </c>
      <c r="AU71">
        <f t="shared" si="72"/>
        <v>0</v>
      </c>
      <c r="AV71">
        <f t="shared" si="73"/>
        <v>0</v>
      </c>
      <c r="AW71">
        <f t="shared" si="74"/>
        <v>0</v>
      </c>
      <c r="AX71">
        <f t="shared" si="75"/>
        <v>0</v>
      </c>
      <c r="AY71">
        <f t="shared" si="76"/>
        <v>0</v>
      </c>
      <c r="AZ71">
        <f t="shared" si="77"/>
        <v>0</v>
      </c>
      <c r="BA71">
        <f t="shared" si="78"/>
        <v>0</v>
      </c>
      <c r="BB71">
        <f t="shared" si="79"/>
        <v>0</v>
      </c>
      <c r="BC71">
        <f t="shared" si="80"/>
        <v>0</v>
      </c>
      <c r="BD71">
        <f t="shared" si="81"/>
        <v>0</v>
      </c>
      <c r="BE71">
        <f t="shared" si="82"/>
        <v>0</v>
      </c>
      <c r="BF71">
        <f t="shared" si="83"/>
        <v>0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s="201" customFormat="1" ht="14.25" x14ac:dyDescent="0.2">
      <c r="A72" s="10">
        <v>3031</v>
      </c>
      <c r="B72" s="11" t="s">
        <v>404</v>
      </c>
      <c r="C72" s="105" t="s">
        <v>405</v>
      </c>
      <c r="D72" s="11" t="s">
        <v>106</v>
      </c>
      <c r="E72" s="12">
        <v>10168</v>
      </c>
      <c r="F72" s="202">
        <v>36</v>
      </c>
      <c r="G72" s="11">
        <v>75000</v>
      </c>
      <c r="H72" s="116">
        <v>-50000</v>
      </c>
      <c r="I72" s="192"/>
      <c r="J72" s="204"/>
      <c r="K72" s="193"/>
      <c r="L72" s="193"/>
      <c r="M72" s="193">
        <v>75000</v>
      </c>
      <c r="N72" s="203">
        <f t="shared" si="56"/>
        <v>0</v>
      </c>
      <c r="O72" s="203">
        <f t="shared" si="57"/>
        <v>-50000</v>
      </c>
      <c r="P72" s="203">
        <f t="shared" si="58"/>
        <v>25000</v>
      </c>
      <c r="Q72" s="214">
        <v>46244</v>
      </c>
      <c r="R72" s="219">
        <v>46244</v>
      </c>
      <c r="S72" s="217">
        <v>46213</v>
      </c>
      <c r="T72" s="205"/>
      <c r="U72" s="205"/>
      <c r="V72" s="215" t="s">
        <v>521</v>
      </c>
      <c r="W72" s="212"/>
      <c r="X72" s="10">
        <v>7</v>
      </c>
      <c r="Y72" s="10">
        <v>7</v>
      </c>
      <c r="Z72" s="213">
        <f t="shared" si="59"/>
        <v>0</v>
      </c>
      <c r="AA72" s="62"/>
      <c r="AB72" s="62"/>
      <c r="AC72" s="62"/>
      <c r="AD72" s="62"/>
      <c r="AE72" s="62"/>
      <c r="AF72" s="63"/>
      <c r="AG72" s="64"/>
      <c r="AH72" s="6">
        <v>1</v>
      </c>
      <c r="AI72">
        <f t="shared" si="60"/>
        <v>25</v>
      </c>
      <c r="AJ72">
        <f t="shared" si="61"/>
        <v>25</v>
      </c>
      <c r="AK72">
        <f t="shared" si="62"/>
        <v>0</v>
      </c>
      <c r="AL72">
        <f t="shared" si="63"/>
        <v>0</v>
      </c>
      <c r="AM72">
        <f t="shared" si="64"/>
        <v>0</v>
      </c>
      <c r="AN72">
        <f t="shared" si="65"/>
        <v>0</v>
      </c>
      <c r="AO72">
        <f t="shared" si="66"/>
        <v>0</v>
      </c>
      <c r="AP72">
        <f t="shared" si="67"/>
        <v>0</v>
      </c>
      <c r="AQ72">
        <f t="shared" si="68"/>
        <v>0</v>
      </c>
      <c r="AR72">
        <f t="shared" si="69"/>
        <v>0</v>
      </c>
      <c r="AS72">
        <f t="shared" si="70"/>
        <v>1</v>
      </c>
      <c r="AT72">
        <f t="shared" si="71"/>
        <v>1</v>
      </c>
      <c r="AU72">
        <f t="shared" si="72"/>
        <v>0</v>
      </c>
      <c r="AV72">
        <f t="shared" si="73"/>
        <v>0</v>
      </c>
      <c r="AW72">
        <f t="shared" si="74"/>
        <v>0</v>
      </c>
      <c r="AX72">
        <f t="shared" si="75"/>
        <v>0</v>
      </c>
      <c r="AY72">
        <f t="shared" si="76"/>
        <v>0</v>
      </c>
      <c r="AZ72">
        <f t="shared" si="77"/>
        <v>0</v>
      </c>
      <c r="BA72">
        <f t="shared" si="78"/>
        <v>0</v>
      </c>
      <c r="BB72">
        <f t="shared" si="79"/>
        <v>0</v>
      </c>
      <c r="BC72">
        <f t="shared" si="80"/>
        <v>0</v>
      </c>
      <c r="BD72">
        <f t="shared" si="81"/>
        <v>0</v>
      </c>
      <c r="BE72">
        <f t="shared" si="82"/>
        <v>0</v>
      </c>
      <c r="BF72">
        <f t="shared" si="83"/>
        <v>0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s="201" customFormat="1" ht="14.25" x14ac:dyDescent="0.2">
      <c r="A73" s="10">
        <v>3036</v>
      </c>
      <c r="B73" s="11" t="s">
        <v>406</v>
      </c>
      <c r="C73" s="105" t="s">
        <v>407</v>
      </c>
      <c r="D73" s="11" t="s">
        <v>154</v>
      </c>
      <c r="E73" s="12">
        <v>10489</v>
      </c>
      <c r="F73" s="202">
        <v>36</v>
      </c>
      <c r="G73" s="11">
        <v>100000</v>
      </c>
      <c r="H73" s="116">
        <v>0</v>
      </c>
      <c r="I73" s="192"/>
      <c r="J73" s="204"/>
      <c r="K73" s="193"/>
      <c r="L73" s="193"/>
      <c r="M73" s="193"/>
      <c r="N73" s="203">
        <f t="shared" si="56"/>
        <v>100000</v>
      </c>
      <c r="O73" s="203">
        <f t="shared" si="57"/>
        <v>100000</v>
      </c>
      <c r="P73" s="203">
        <f t="shared" si="58"/>
        <v>100000</v>
      </c>
      <c r="Q73" s="214"/>
      <c r="R73" s="219">
        <v>46265</v>
      </c>
      <c r="S73" s="217">
        <v>46234</v>
      </c>
      <c r="T73" s="205"/>
      <c r="U73" s="205"/>
      <c r="V73" s="215"/>
      <c r="W73" s="212" t="s">
        <v>540</v>
      </c>
      <c r="X73" s="10">
        <v>7</v>
      </c>
      <c r="Y73" s="10">
        <v>7</v>
      </c>
      <c r="Z73" s="213">
        <f t="shared" si="59"/>
        <v>100000</v>
      </c>
      <c r="AA73" s="62"/>
      <c r="AB73" s="62"/>
      <c r="AC73" s="62"/>
      <c r="AD73" s="62"/>
      <c r="AE73" s="62"/>
      <c r="AF73" s="63"/>
      <c r="AG73" s="64"/>
      <c r="AH73" s="6">
        <v>1</v>
      </c>
      <c r="AI73">
        <f t="shared" si="60"/>
        <v>25</v>
      </c>
      <c r="AJ73">
        <f t="shared" si="61"/>
        <v>25</v>
      </c>
      <c r="AK73">
        <f t="shared" si="62"/>
        <v>0</v>
      </c>
      <c r="AL73">
        <f t="shared" si="63"/>
        <v>0</v>
      </c>
      <c r="AM73">
        <f t="shared" si="64"/>
        <v>0</v>
      </c>
      <c r="AN73">
        <f t="shared" si="65"/>
        <v>0</v>
      </c>
      <c r="AO73">
        <f t="shared" si="66"/>
        <v>0</v>
      </c>
      <c r="AP73">
        <f t="shared" si="67"/>
        <v>0</v>
      </c>
      <c r="AQ73">
        <f t="shared" si="68"/>
        <v>0</v>
      </c>
      <c r="AR73">
        <f t="shared" si="69"/>
        <v>0</v>
      </c>
      <c r="AS73">
        <f t="shared" si="70"/>
        <v>0</v>
      </c>
      <c r="AT73">
        <f t="shared" si="71"/>
        <v>0</v>
      </c>
      <c r="AU73">
        <f t="shared" si="72"/>
        <v>1</v>
      </c>
      <c r="AV73">
        <f t="shared" si="73"/>
        <v>1</v>
      </c>
      <c r="AW73">
        <f t="shared" si="74"/>
        <v>1</v>
      </c>
      <c r="AX73">
        <f t="shared" si="75"/>
        <v>1</v>
      </c>
      <c r="AY73">
        <f t="shared" si="76"/>
        <v>100000</v>
      </c>
      <c r="AZ73">
        <f t="shared" si="77"/>
        <v>100000</v>
      </c>
      <c r="BA73">
        <f t="shared" si="78"/>
        <v>0</v>
      </c>
      <c r="BB73">
        <f t="shared" si="79"/>
        <v>0</v>
      </c>
      <c r="BC73">
        <f t="shared" si="80"/>
        <v>0</v>
      </c>
      <c r="BD73">
        <f t="shared" si="81"/>
        <v>0</v>
      </c>
      <c r="BE73">
        <f t="shared" si="82"/>
        <v>0</v>
      </c>
      <c r="BF73">
        <f t="shared" si="83"/>
        <v>0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201" customFormat="1" ht="14.25" x14ac:dyDescent="0.2">
      <c r="A74" s="10">
        <v>3044</v>
      </c>
      <c r="B74" s="11" t="s">
        <v>408</v>
      </c>
      <c r="C74" s="105" t="s">
        <v>409</v>
      </c>
      <c r="D74" s="11" t="s">
        <v>106</v>
      </c>
      <c r="E74" s="12">
        <v>11131</v>
      </c>
      <c r="F74" s="202">
        <v>36</v>
      </c>
      <c r="G74" s="11">
        <v>65000</v>
      </c>
      <c r="H74" s="116">
        <v>0</v>
      </c>
      <c r="I74" s="192"/>
      <c r="J74" s="204"/>
      <c r="K74" s="193"/>
      <c r="L74" s="193"/>
      <c r="M74" s="193">
        <v>65000</v>
      </c>
      <c r="N74" s="203">
        <f t="shared" si="56"/>
        <v>0</v>
      </c>
      <c r="O74" s="203">
        <f t="shared" si="57"/>
        <v>0</v>
      </c>
      <c r="P74" s="203">
        <f t="shared" si="58"/>
        <v>65000</v>
      </c>
      <c r="Q74" s="214">
        <v>46245</v>
      </c>
      <c r="R74" s="219">
        <v>46245</v>
      </c>
      <c r="S74" s="217">
        <v>46213</v>
      </c>
      <c r="T74" s="205"/>
      <c r="U74" s="205"/>
      <c r="V74" s="215" t="s">
        <v>521</v>
      </c>
      <c r="W74" s="212"/>
      <c r="X74" s="10">
        <v>7</v>
      </c>
      <c r="Y74" s="10">
        <v>7</v>
      </c>
      <c r="Z74" s="213">
        <f t="shared" si="59"/>
        <v>0</v>
      </c>
      <c r="AA74" s="62"/>
      <c r="AB74" s="62"/>
      <c r="AC74" s="62"/>
      <c r="AD74" s="62"/>
      <c r="AE74" s="62"/>
      <c r="AF74" s="63"/>
      <c r="AG74" s="64"/>
      <c r="AH74" s="6">
        <v>1</v>
      </c>
      <c r="AI74">
        <f t="shared" si="60"/>
        <v>25</v>
      </c>
      <c r="AJ74">
        <f t="shared" si="61"/>
        <v>15</v>
      </c>
      <c r="AK74">
        <f t="shared" si="62"/>
        <v>0</v>
      </c>
      <c r="AL74">
        <f t="shared" si="63"/>
        <v>0</v>
      </c>
      <c r="AM74">
        <f t="shared" si="64"/>
        <v>0</v>
      </c>
      <c r="AN74">
        <f t="shared" si="65"/>
        <v>0</v>
      </c>
      <c r="AO74">
        <f t="shared" si="66"/>
        <v>0</v>
      </c>
      <c r="AP74">
        <f t="shared" si="67"/>
        <v>0</v>
      </c>
      <c r="AQ74">
        <f t="shared" si="68"/>
        <v>0</v>
      </c>
      <c r="AR74">
        <f t="shared" si="69"/>
        <v>0</v>
      </c>
      <c r="AS74">
        <f t="shared" si="70"/>
        <v>1</v>
      </c>
      <c r="AT74">
        <f t="shared" si="71"/>
        <v>1</v>
      </c>
      <c r="AU74">
        <f t="shared" si="72"/>
        <v>0</v>
      </c>
      <c r="AV74">
        <f t="shared" si="73"/>
        <v>0</v>
      </c>
      <c r="AW74">
        <f t="shared" si="74"/>
        <v>0</v>
      </c>
      <c r="AX74">
        <f t="shared" si="75"/>
        <v>0</v>
      </c>
      <c r="AY74">
        <f t="shared" si="76"/>
        <v>0</v>
      </c>
      <c r="AZ74">
        <f t="shared" si="77"/>
        <v>0</v>
      </c>
      <c r="BA74">
        <f t="shared" si="78"/>
        <v>0</v>
      </c>
      <c r="BB74">
        <f t="shared" si="79"/>
        <v>0</v>
      </c>
      <c r="BC74">
        <f t="shared" si="80"/>
        <v>0</v>
      </c>
      <c r="BD74">
        <f t="shared" si="81"/>
        <v>0</v>
      </c>
      <c r="BE74">
        <f t="shared" si="82"/>
        <v>0</v>
      </c>
      <c r="BF74">
        <f t="shared" si="83"/>
        <v>0</v>
      </c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201" customFormat="1" ht="14.25" x14ac:dyDescent="0.2">
      <c r="A75" s="10">
        <v>3047</v>
      </c>
      <c r="B75" s="11" t="s">
        <v>410</v>
      </c>
      <c r="C75" s="105" t="s">
        <v>510</v>
      </c>
      <c r="D75" s="11" t="s">
        <v>105</v>
      </c>
      <c r="E75" s="12">
        <v>11136</v>
      </c>
      <c r="F75" s="202">
        <v>36</v>
      </c>
      <c r="G75" s="11">
        <v>60000</v>
      </c>
      <c r="H75" s="116">
        <v>-40000</v>
      </c>
      <c r="I75" s="192"/>
      <c r="J75" s="204"/>
      <c r="K75" s="193"/>
      <c r="L75" s="193"/>
      <c r="M75" s="193">
        <v>60000</v>
      </c>
      <c r="N75" s="203">
        <f t="shared" si="56"/>
        <v>0</v>
      </c>
      <c r="O75" s="203">
        <f t="shared" si="57"/>
        <v>-40000</v>
      </c>
      <c r="P75" s="203">
        <f t="shared" si="58"/>
        <v>20000</v>
      </c>
      <c r="Q75" s="214">
        <v>46246</v>
      </c>
      <c r="R75" s="219">
        <v>46246</v>
      </c>
      <c r="S75" s="217">
        <v>46209</v>
      </c>
      <c r="T75" s="205"/>
      <c r="U75" s="205"/>
      <c r="V75" s="215" t="s">
        <v>521</v>
      </c>
      <c r="W75" s="212"/>
      <c r="X75" s="10">
        <v>7</v>
      </c>
      <c r="Y75" s="10">
        <v>7</v>
      </c>
      <c r="Z75" s="213">
        <f t="shared" si="59"/>
        <v>0</v>
      </c>
      <c r="AA75" s="62"/>
      <c r="AB75" s="62"/>
      <c r="AC75" s="62"/>
      <c r="AD75" s="62"/>
      <c r="AE75" s="62"/>
      <c r="AF75" s="63"/>
      <c r="AG75" s="64"/>
      <c r="AH75" s="6">
        <v>1</v>
      </c>
      <c r="AI75">
        <f t="shared" si="60"/>
        <v>25</v>
      </c>
      <c r="AJ75">
        <f t="shared" si="61"/>
        <v>25</v>
      </c>
      <c r="AK75">
        <f t="shared" si="62"/>
        <v>0</v>
      </c>
      <c r="AL75">
        <f t="shared" si="63"/>
        <v>0</v>
      </c>
      <c r="AM75">
        <f t="shared" si="64"/>
        <v>0</v>
      </c>
      <c r="AN75">
        <f t="shared" si="65"/>
        <v>0</v>
      </c>
      <c r="AO75">
        <f t="shared" si="66"/>
        <v>0</v>
      </c>
      <c r="AP75">
        <f t="shared" si="67"/>
        <v>0</v>
      </c>
      <c r="AQ75">
        <f t="shared" si="68"/>
        <v>0</v>
      </c>
      <c r="AR75">
        <f t="shared" si="69"/>
        <v>0</v>
      </c>
      <c r="AS75">
        <f t="shared" si="70"/>
        <v>1</v>
      </c>
      <c r="AT75">
        <f t="shared" si="71"/>
        <v>1</v>
      </c>
      <c r="AU75">
        <f t="shared" si="72"/>
        <v>0</v>
      </c>
      <c r="AV75">
        <f t="shared" si="73"/>
        <v>0</v>
      </c>
      <c r="AW75">
        <f t="shared" si="74"/>
        <v>0</v>
      </c>
      <c r="AX75">
        <f t="shared" si="75"/>
        <v>0</v>
      </c>
      <c r="AY75">
        <f t="shared" si="76"/>
        <v>0</v>
      </c>
      <c r="AZ75">
        <f t="shared" si="77"/>
        <v>0</v>
      </c>
      <c r="BA75">
        <f t="shared" si="78"/>
        <v>0</v>
      </c>
      <c r="BB75">
        <f t="shared" si="79"/>
        <v>0</v>
      </c>
      <c r="BC75">
        <f t="shared" si="80"/>
        <v>0</v>
      </c>
      <c r="BD75">
        <f t="shared" si="81"/>
        <v>0</v>
      </c>
      <c r="BE75">
        <f t="shared" si="82"/>
        <v>0</v>
      </c>
      <c r="BF75">
        <f t="shared" si="83"/>
        <v>0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201" customFormat="1" ht="14.25" x14ac:dyDescent="0.2">
      <c r="A76" s="10">
        <v>3062</v>
      </c>
      <c r="B76" s="11" t="s">
        <v>411</v>
      </c>
      <c r="C76" s="105" t="s">
        <v>412</v>
      </c>
      <c r="D76" s="11" t="s">
        <v>222</v>
      </c>
      <c r="E76" s="12">
        <v>11925</v>
      </c>
      <c r="F76" s="202">
        <v>35</v>
      </c>
      <c r="G76" s="11">
        <v>60000</v>
      </c>
      <c r="H76" s="116">
        <v>-80000</v>
      </c>
      <c r="I76" s="192"/>
      <c r="J76" s="204"/>
      <c r="K76" s="193"/>
      <c r="L76" s="193"/>
      <c r="M76" s="193">
        <v>60000</v>
      </c>
      <c r="N76" s="203">
        <f t="shared" si="56"/>
        <v>0</v>
      </c>
      <c r="O76" s="203">
        <f t="shared" si="57"/>
        <v>-80000</v>
      </c>
      <c r="P76" s="203">
        <f t="shared" si="58"/>
        <v>0</v>
      </c>
      <c r="Q76" s="214">
        <v>46242</v>
      </c>
      <c r="R76" s="219">
        <v>46242</v>
      </c>
      <c r="S76" s="217">
        <v>46211</v>
      </c>
      <c r="T76" s="205"/>
      <c r="U76" s="205"/>
      <c r="V76" s="215" t="s">
        <v>521</v>
      </c>
      <c r="W76" s="212"/>
      <c r="X76" s="10">
        <v>7</v>
      </c>
      <c r="Y76" s="10">
        <v>7</v>
      </c>
      <c r="Z76" s="213">
        <f t="shared" si="59"/>
        <v>0</v>
      </c>
      <c r="AA76" s="62"/>
      <c r="AB76" s="62"/>
      <c r="AC76" s="62"/>
      <c r="AD76" s="62"/>
      <c r="AE76" s="62"/>
      <c r="AF76" s="63"/>
      <c r="AG76" s="64"/>
      <c r="AH76" s="6">
        <v>1</v>
      </c>
      <c r="AI76">
        <f t="shared" si="60"/>
        <v>25</v>
      </c>
      <c r="AJ76">
        <f t="shared" si="61"/>
        <v>25</v>
      </c>
      <c r="AK76">
        <f t="shared" si="62"/>
        <v>0</v>
      </c>
      <c r="AL76">
        <f t="shared" si="63"/>
        <v>0</v>
      </c>
      <c r="AM76">
        <f t="shared" si="64"/>
        <v>0</v>
      </c>
      <c r="AN76">
        <f t="shared" si="65"/>
        <v>0</v>
      </c>
      <c r="AO76">
        <f t="shared" si="66"/>
        <v>0</v>
      </c>
      <c r="AP76">
        <f t="shared" si="67"/>
        <v>0</v>
      </c>
      <c r="AQ76">
        <f t="shared" si="68"/>
        <v>0</v>
      </c>
      <c r="AR76">
        <f t="shared" si="69"/>
        <v>0</v>
      </c>
      <c r="AS76">
        <f t="shared" si="70"/>
        <v>1</v>
      </c>
      <c r="AT76">
        <f t="shared" si="71"/>
        <v>1</v>
      </c>
      <c r="AU76">
        <f t="shared" si="72"/>
        <v>0</v>
      </c>
      <c r="AV76">
        <f t="shared" si="73"/>
        <v>0</v>
      </c>
      <c r="AW76">
        <f t="shared" si="74"/>
        <v>0</v>
      </c>
      <c r="AX76">
        <f t="shared" si="75"/>
        <v>0</v>
      </c>
      <c r="AY76">
        <f t="shared" si="76"/>
        <v>0</v>
      </c>
      <c r="AZ76">
        <f t="shared" si="77"/>
        <v>0</v>
      </c>
      <c r="BA76">
        <f t="shared" si="78"/>
        <v>0</v>
      </c>
      <c r="BB76">
        <f t="shared" si="79"/>
        <v>0</v>
      </c>
      <c r="BC76">
        <f t="shared" si="80"/>
        <v>0</v>
      </c>
      <c r="BD76">
        <f t="shared" si="81"/>
        <v>0</v>
      </c>
      <c r="BE76">
        <f t="shared" si="82"/>
        <v>0</v>
      </c>
      <c r="BF76">
        <f t="shared" si="83"/>
        <v>0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201" customFormat="1" ht="14.25" x14ac:dyDescent="0.2">
      <c r="A77" s="10">
        <v>3080</v>
      </c>
      <c r="B77" s="11" t="s">
        <v>413</v>
      </c>
      <c r="C77" s="105" t="s">
        <v>414</v>
      </c>
      <c r="D77" s="11" t="s">
        <v>106</v>
      </c>
      <c r="E77" s="12">
        <v>11937</v>
      </c>
      <c r="F77" s="202">
        <v>35</v>
      </c>
      <c r="G77" s="11">
        <v>60000</v>
      </c>
      <c r="H77" s="116">
        <v>0</v>
      </c>
      <c r="I77" s="192"/>
      <c r="J77" s="204"/>
      <c r="K77" s="193"/>
      <c r="L77" s="193"/>
      <c r="M77" s="193">
        <v>60000</v>
      </c>
      <c r="N77" s="203">
        <f t="shared" si="56"/>
        <v>0</v>
      </c>
      <c r="O77" s="203">
        <f t="shared" si="57"/>
        <v>0</v>
      </c>
      <c r="P77" s="203">
        <f t="shared" si="58"/>
        <v>60000</v>
      </c>
      <c r="Q77" s="214">
        <v>46265</v>
      </c>
      <c r="R77" s="219">
        <v>46264</v>
      </c>
      <c r="S77" s="217">
        <v>46204</v>
      </c>
      <c r="T77" s="205"/>
      <c r="U77" s="205"/>
      <c r="V77" s="215" t="s">
        <v>521</v>
      </c>
      <c r="W77" s="212"/>
      <c r="X77" s="10">
        <v>7</v>
      </c>
      <c r="Y77" s="10">
        <v>7</v>
      </c>
      <c r="Z77" s="213">
        <f t="shared" si="59"/>
        <v>0</v>
      </c>
      <c r="AA77" s="62"/>
      <c r="AB77" s="62"/>
      <c r="AC77" s="62"/>
      <c r="AD77" s="62"/>
      <c r="AE77" s="62"/>
      <c r="AF77" s="63"/>
      <c r="AG77" s="64"/>
      <c r="AH77" s="6">
        <v>1</v>
      </c>
      <c r="AI77">
        <f t="shared" si="60"/>
        <v>25</v>
      </c>
      <c r="AJ77">
        <f t="shared" si="61"/>
        <v>15</v>
      </c>
      <c r="AK77">
        <f t="shared" si="62"/>
        <v>0</v>
      </c>
      <c r="AL77">
        <f t="shared" si="63"/>
        <v>0</v>
      </c>
      <c r="AM77">
        <f t="shared" si="64"/>
        <v>0</v>
      </c>
      <c r="AN77">
        <f t="shared" si="65"/>
        <v>0</v>
      </c>
      <c r="AO77">
        <f t="shared" si="66"/>
        <v>0</v>
      </c>
      <c r="AP77">
        <f t="shared" si="67"/>
        <v>0</v>
      </c>
      <c r="AQ77">
        <f t="shared" si="68"/>
        <v>0</v>
      </c>
      <c r="AR77">
        <f t="shared" si="69"/>
        <v>0</v>
      </c>
      <c r="AS77">
        <f t="shared" si="70"/>
        <v>1</v>
      </c>
      <c r="AT77">
        <f t="shared" si="71"/>
        <v>1</v>
      </c>
      <c r="AU77">
        <f t="shared" si="72"/>
        <v>0</v>
      </c>
      <c r="AV77">
        <f t="shared" si="73"/>
        <v>0</v>
      </c>
      <c r="AW77">
        <f t="shared" si="74"/>
        <v>0</v>
      </c>
      <c r="AX77">
        <f t="shared" si="75"/>
        <v>0</v>
      </c>
      <c r="AY77">
        <f t="shared" si="76"/>
        <v>0</v>
      </c>
      <c r="AZ77">
        <f t="shared" si="77"/>
        <v>0</v>
      </c>
      <c r="BA77">
        <f t="shared" si="78"/>
        <v>0</v>
      </c>
      <c r="BB77">
        <f t="shared" si="79"/>
        <v>0</v>
      </c>
      <c r="BC77">
        <f t="shared" si="80"/>
        <v>0</v>
      </c>
      <c r="BD77">
        <f t="shared" si="81"/>
        <v>0</v>
      </c>
      <c r="BE77">
        <f t="shared" si="82"/>
        <v>0</v>
      </c>
      <c r="BF77">
        <f t="shared" si="83"/>
        <v>0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201" customFormat="1" ht="14.25" x14ac:dyDescent="0.2">
      <c r="A78" s="10">
        <v>3083</v>
      </c>
      <c r="B78" s="11" t="s">
        <v>255</v>
      </c>
      <c r="C78" s="105" t="s">
        <v>256</v>
      </c>
      <c r="D78" s="11" t="s">
        <v>170</v>
      </c>
      <c r="E78" s="12">
        <v>11991</v>
      </c>
      <c r="F78" s="202">
        <v>35</v>
      </c>
      <c r="G78" s="11">
        <v>30000</v>
      </c>
      <c r="H78" s="116">
        <v>0</v>
      </c>
      <c r="I78" s="192"/>
      <c r="J78" s="204"/>
      <c r="K78" s="193"/>
      <c r="L78" s="193"/>
      <c r="M78" s="193">
        <v>30000</v>
      </c>
      <c r="N78" s="203">
        <f t="shared" si="56"/>
        <v>0</v>
      </c>
      <c r="O78" s="203">
        <f t="shared" si="57"/>
        <v>0</v>
      </c>
      <c r="P78" s="203">
        <f t="shared" si="58"/>
        <v>30000</v>
      </c>
      <c r="Q78" s="214">
        <v>46258</v>
      </c>
      <c r="R78" s="219">
        <v>46258</v>
      </c>
      <c r="S78" s="217">
        <v>46219</v>
      </c>
      <c r="T78" s="205"/>
      <c r="U78" s="205"/>
      <c r="V78" s="215" t="s">
        <v>521</v>
      </c>
      <c r="W78" s="212"/>
      <c r="X78" s="10">
        <v>7</v>
      </c>
      <c r="Y78" s="10">
        <v>7</v>
      </c>
      <c r="Z78" s="213">
        <f t="shared" si="59"/>
        <v>0</v>
      </c>
      <c r="AA78" s="62"/>
      <c r="AB78" s="62"/>
      <c r="AC78" s="62"/>
      <c r="AD78" s="62"/>
      <c r="AE78" s="62"/>
      <c r="AF78" s="63"/>
      <c r="AG78" s="64"/>
      <c r="AH78" s="6">
        <v>1</v>
      </c>
      <c r="AI78">
        <f t="shared" si="60"/>
        <v>25</v>
      </c>
      <c r="AJ78">
        <f t="shared" si="61"/>
        <v>15</v>
      </c>
      <c r="AK78">
        <f t="shared" si="62"/>
        <v>0</v>
      </c>
      <c r="AL78">
        <f t="shared" si="63"/>
        <v>0</v>
      </c>
      <c r="AM78">
        <f t="shared" si="64"/>
        <v>0</v>
      </c>
      <c r="AN78">
        <f t="shared" si="65"/>
        <v>0</v>
      </c>
      <c r="AO78">
        <f t="shared" si="66"/>
        <v>0</v>
      </c>
      <c r="AP78">
        <f t="shared" si="67"/>
        <v>0</v>
      </c>
      <c r="AQ78">
        <f t="shared" si="68"/>
        <v>0</v>
      </c>
      <c r="AR78">
        <f t="shared" si="69"/>
        <v>0</v>
      </c>
      <c r="AS78">
        <f t="shared" si="70"/>
        <v>1</v>
      </c>
      <c r="AT78">
        <f t="shared" si="71"/>
        <v>1</v>
      </c>
      <c r="AU78">
        <f t="shared" si="72"/>
        <v>0</v>
      </c>
      <c r="AV78">
        <f t="shared" si="73"/>
        <v>0</v>
      </c>
      <c r="AW78">
        <f t="shared" si="74"/>
        <v>0</v>
      </c>
      <c r="AX78">
        <f t="shared" si="75"/>
        <v>0</v>
      </c>
      <c r="AY78">
        <f t="shared" si="76"/>
        <v>0</v>
      </c>
      <c r="AZ78">
        <f t="shared" si="77"/>
        <v>0</v>
      </c>
      <c r="BA78">
        <f t="shared" si="78"/>
        <v>0</v>
      </c>
      <c r="BB78">
        <f t="shared" si="79"/>
        <v>0</v>
      </c>
      <c r="BC78">
        <f t="shared" si="80"/>
        <v>0</v>
      </c>
      <c r="BD78">
        <f t="shared" si="81"/>
        <v>0</v>
      </c>
      <c r="BE78">
        <f t="shared" si="82"/>
        <v>0</v>
      </c>
      <c r="BF78">
        <f t="shared" si="83"/>
        <v>0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201" customFormat="1" ht="14.25" x14ac:dyDescent="0.2">
      <c r="A79" s="10">
        <v>3084</v>
      </c>
      <c r="B79" s="11" t="s">
        <v>415</v>
      </c>
      <c r="C79" s="105" t="s">
        <v>416</v>
      </c>
      <c r="D79" s="11" t="s">
        <v>235</v>
      </c>
      <c r="E79" s="12">
        <v>11992</v>
      </c>
      <c r="F79" s="202">
        <v>35</v>
      </c>
      <c r="G79" s="11">
        <v>60000</v>
      </c>
      <c r="H79" s="116">
        <v>0</v>
      </c>
      <c r="I79" s="192"/>
      <c r="J79" s="204"/>
      <c r="K79" s="193"/>
      <c r="L79" s="193"/>
      <c r="M79" s="193">
        <v>60000</v>
      </c>
      <c r="N79" s="203">
        <f t="shared" si="56"/>
        <v>0</v>
      </c>
      <c r="O79" s="203">
        <f t="shared" si="57"/>
        <v>0</v>
      </c>
      <c r="P79" s="203">
        <f t="shared" si="58"/>
        <v>60000</v>
      </c>
      <c r="Q79" s="214">
        <v>46244</v>
      </c>
      <c r="R79" s="219">
        <v>46244</v>
      </c>
      <c r="S79" s="217">
        <v>46213</v>
      </c>
      <c r="T79" s="205"/>
      <c r="U79" s="205"/>
      <c r="V79" s="215" t="s">
        <v>521</v>
      </c>
      <c r="W79" s="212"/>
      <c r="X79" s="10">
        <v>7</v>
      </c>
      <c r="Y79" s="10">
        <v>7</v>
      </c>
      <c r="Z79" s="213">
        <f t="shared" si="59"/>
        <v>0</v>
      </c>
      <c r="AA79" s="62"/>
      <c r="AB79" s="62"/>
      <c r="AC79" s="62"/>
      <c r="AD79" s="62"/>
      <c r="AE79" s="62"/>
      <c r="AF79" s="63"/>
      <c r="AG79" s="64"/>
      <c r="AH79" s="6">
        <v>1</v>
      </c>
      <c r="AI79">
        <f t="shared" si="60"/>
        <v>25</v>
      </c>
      <c r="AJ79">
        <f t="shared" si="61"/>
        <v>15</v>
      </c>
      <c r="AK79">
        <f t="shared" si="62"/>
        <v>0</v>
      </c>
      <c r="AL79">
        <f t="shared" si="63"/>
        <v>0</v>
      </c>
      <c r="AM79">
        <f t="shared" si="64"/>
        <v>0</v>
      </c>
      <c r="AN79">
        <f t="shared" si="65"/>
        <v>0</v>
      </c>
      <c r="AO79">
        <f t="shared" si="66"/>
        <v>0</v>
      </c>
      <c r="AP79">
        <f t="shared" si="67"/>
        <v>0</v>
      </c>
      <c r="AQ79">
        <f t="shared" si="68"/>
        <v>0</v>
      </c>
      <c r="AR79">
        <f t="shared" si="69"/>
        <v>0</v>
      </c>
      <c r="AS79">
        <f t="shared" si="70"/>
        <v>1</v>
      </c>
      <c r="AT79">
        <f t="shared" si="71"/>
        <v>1</v>
      </c>
      <c r="AU79">
        <f t="shared" si="72"/>
        <v>0</v>
      </c>
      <c r="AV79">
        <f t="shared" si="73"/>
        <v>0</v>
      </c>
      <c r="AW79">
        <f t="shared" si="74"/>
        <v>0</v>
      </c>
      <c r="AX79">
        <f t="shared" si="75"/>
        <v>0</v>
      </c>
      <c r="AY79">
        <f t="shared" si="76"/>
        <v>0</v>
      </c>
      <c r="AZ79">
        <f t="shared" si="77"/>
        <v>0</v>
      </c>
      <c r="BA79">
        <f t="shared" si="78"/>
        <v>0</v>
      </c>
      <c r="BB79">
        <f t="shared" si="79"/>
        <v>0</v>
      </c>
      <c r="BC79">
        <f t="shared" si="80"/>
        <v>0</v>
      </c>
      <c r="BD79">
        <f t="shared" si="81"/>
        <v>0</v>
      </c>
      <c r="BE79">
        <f t="shared" si="82"/>
        <v>0</v>
      </c>
      <c r="BF79">
        <f t="shared" si="83"/>
        <v>0</v>
      </c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201" customFormat="1" ht="14.25" x14ac:dyDescent="0.2">
      <c r="A80" s="10">
        <v>3088</v>
      </c>
      <c r="B80" s="11" t="s">
        <v>236</v>
      </c>
      <c r="C80" s="105" t="s">
        <v>237</v>
      </c>
      <c r="D80" s="11" t="s">
        <v>106</v>
      </c>
      <c r="E80" s="12">
        <v>20011</v>
      </c>
      <c r="F80" s="202">
        <v>35</v>
      </c>
      <c r="G80" s="11">
        <v>50000</v>
      </c>
      <c r="H80" s="116">
        <v>0</v>
      </c>
      <c r="I80" s="192"/>
      <c r="J80" s="204"/>
      <c r="K80" s="193"/>
      <c r="L80" s="193"/>
      <c r="M80" s="193">
        <v>50000</v>
      </c>
      <c r="N80" s="203">
        <f t="shared" si="56"/>
        <v>0</v>
      </c>
      <c r="O80" s="203">
        <f t="shared" si="57"/>
        <v>0</v>
      </c>
      <c r="P80" s="203">
        <f t="shared" si="58"/>
        <v>50000</v>
      </c>
      <c r="Q80" s="214">
        <v>46246</v>
      </c>
      <c r="R80" s="219">
        <v>46246</v>
      </c>
      <c r="S80" s="217">
        <v>46213</v>
      </c>
      <c r="T80" s="205"/>
      <c r="U80" s="205"/>
      <c r="V80" s="215" t="s">
        <v>521</v>
      </c>
      <c r="W80" s="212"/>
      <c r="X80" s="10">
        <v>7</v>
      </c>
      <c r="Y80" s="10">
        <v>7</v>
      </c>
      <c r="Z80" s="213">
        <f t="shared" si="59"/>
        <v>0</v>
      </c>
      <c r="AA80" s="62"/>
      <c r="AB80" s="62"/>
      <c r="AC80" s="62"/>
      <c r="AD80" s="62"/>
      <c r="AE80" s="62"/>
      <c r="AF80" s="63"/>
      <c r="AG80" s="64"/>
      <c r="AH80" s="6">
        <v>1</v>
      </c>
      <c r="AI80">
        <f t="shared" si="60"/>
        <v>25</v>
      </c>
      <c r="AJ80">
        <f t="shared" si="61"/>
        <v>15</v>
      </c>
      <c r="AK80">
        <f t="shared" si="62"/>
        <v>0</v>
      </c>
      <c r="AL80">
        <f t="shared" si="63"/>
        <v>0</v>
      </c>
      <c r="AM80">
        <f t="shared" si="64"/>
        <v>0</v>
      </c>
      <c r="AN80">
        <f t="shared" si="65"/>
        <v>0</v>
      </c>
      <c r="AO80">
        <f t="shared" si="66"/>
        <v>0</v>
      </c>
      <c r="AP80">
        <f t="shared" si="67"/>
        <v>0</v>
      </c>
      <c r="AQ80">
        <f t="shared" si="68"/>
        <v>0</v>
      </c>
      <c r="AR80">
        <f t="shared" si="69"/>
        <v>0</v>
      </c>
      <c r="AS80">
        <f t="shared" si="70"/>
        <v>1</v>
      </c>
      <c r="AT80">
        <f t="shared" si="71"/>
        <v>1</v>
      </c>
      <c r="AU80">
        <f t="shared" si="72"/>
        <v>0</v>
      </c>
      <c r="AV80">
        <f t="shared" si="73"/>
        <v>0</v>
      </c>
      <c r="AW80">
        <f t="shared" si="74"/>
        <v>0</v>
      </c>
      <c r="AX80">
        <f t="shared" si="75"/>
        <v>0</v>
      </c>
      <c r="AY80">
        <f t="shared" si="76"/>
        <v>0</v>
      </c>
      <c r="AZ80">
        <f t="shared" si="77"/>
        <v>0</v>
      </c>
      <c r="BA80">
        <f t="shared" si="78"/>
        <v>0</v>
      </c>
      <c r="BB80">
        <f t="shared" si="79"/>
        <v>0</v>
      </c>
      <c r="BC80">
        <f t="shared" si="80"/>
        <v>0</v>
      </c>
      <c r="BD80">
        <f t="shared" si="81"/>
        <v>0</v>
      </c>
      <c r="BE80">
        <f t="shared" si="82"/>
        <v>0</v>
      </c>
      <c r="BF80">
        <f t="shared" si="83"/>
        <v>0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 s="201" customFormat="1" ht="14.25" x14ac:dyDescent="0.2">
      <c r="A81" s="10">
        <v>3100</v>
      </c>
      <c r="B81" s="11" t="s">
        <v>233</v>
      </c>
      <c r="C81" s="105" t="s">
        <v>234</v>
      </c>
      <c r="D81" s="11" t="s">
        <v>170</v>
      </c>
      <c r="E81" s="12">
        <v>20007</v>
      </c>
      <c r="F81" s="202">
        <v>35</v>
      </c>
      <c r="G81" s="11">
        <v>30000</v>
      </c>
      <c r="H81" s="116">
        <v>-10000</v>
      </c>
      <c r="I81" s="192"/>
      <c r="J81" s="204"/>
      <c r="K81" s="193"/>
      <c r="L81" s="193"/>
      <c r="M81" s="193"/>
      <c r="N81" s="203">
        <f t="shared" si="56"/>
        <v>30000</v>
      </c>
      <c r="O81" s="203">
        <f t="shared" si="57"/>
        <v>20000</v>
      </c>
      <c r="P81" s="203">
        <f t="shared" si="58"/>
        <v>20000</v>
      </c>
      <c r="Q81" s="214">
        <v>46252</v>
      </c>
      <c r="R81" s="219">
        <v>46252</v>
      </c>
      <c r="S81" s="217">
        <v>46220</v>
      </c>
      <c r="T81" s="205"/>
      <c r="U81" s="205"/>
      <c r="V81" s="215" t="s">
        <v>521</v>
      </c>
      <c r="W81" s="212"/>
      <c r="X81" s="10">
        <v>7</v>
      </c>
      <c r="Y81" s="10">
        <v>7</v>
      </c>
      <c r="Z81" s="213">
        <f t="shared" si="59"/>
        <v>30000</v>
      </c>
      <c r="AA81" s="62"/>
      <c r="AB81" s="62"/>
      <c r="AC81" s="62"/>
      <c r="AD81" s="62"/>
      <c r="AE81" s="62"/>
      <c r="AF81" s="63"/>
      <c r="AG81" s="64"/>
      <c r="AH81" s="6">
        <v>1</v>
      </c>
      <c r="AI81">
        <f t="shared" si="60"/>
        <v>25</v>
      </c>
      <c r="AJ81">
        <f t="shared" si="61"/>
        <v>25</v>
      </c>
      <c r="AK81">
        <f t="shared" si="62"/>
        <v>0</v>
      </c>
      <c r="AL81">
        <f t="shared" si="63"/>
        <v>0</v>
      </c>
      <c r="AM81">
        <f t="shared" si="64"/>
        <v>0</v>
      </c>
      <c r="AN81">
        <f t="shared" si="65"/>
        <v>0</v>
      </c>
      <c r="AO81">
        <f t="shared" si="66"/>
        <v>0</v>
      </c>
      <c r="AP81">
        <f t="shared" si="67"/>
        <v>0</v>
      </c>
      <c r="AQ81">
        <f t="shared" si="68"/>
        <v>0</v>
      </c>
      <c r="AR81">
        <f t="shared" si="69"/>
        <v>0</v>
      </c>
      <c r="AS81">
        <f t="shared" si="70"/>
        <v>0</v>
      </c>
      <c r="AT81">
        <f t="shared" si="71"/>
        <v>0</v>
      </c>
      <c r="AU81">
        <f t="shared" si="72"/>
        <v>1</v>
      </c>
      <c r="AV81">
        <f t="shared" si="73"/>
        <v>1</v>
      </c>
      <c r="AW81">
        <f t="shared" si="74"/>
        <v>1</v>
      </c>
      <c r="AX81">
        <f t="shared" si="75"/>
        <v>1</v>
      </c>
      <c r="AY81">
        <f t="shared" si="76"/>
        <v>20000</v>
      </c>
      <c r="AZ81">
        <f t="shared" si="77"/>
        <v>20000</v>
      </c>
      <c r="BA81">
        <f t="shared" si="78"/>
        <v>0</v>
      </c>
      <c r="BB81">
        <f t="shared" si="79"/>
        <v>0</v>
      </c>
      <c r="BC81">
        <f t="shared" si="80"/>
        <v>0</v>
      </c>
      <c r="BD81">
        <f t="shared" si="81"/>
        <v>0</v>
      </c>
      <c r="BE81">
        <f t="shared" si="82"/>
        <v>0</v>
      </c>
      <c r="BF81">
        <f t="shared" si="83"/>
        <v>0</v>
      </c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201" customFormat="1" ht="14.25" x14ac:dyDescent="0.2">
      <c r="A82" s="10">
        <v>3109</v>
      </c>
      <c r="B82" s="11" t="s">
        <v>417</v>
      </c>
      <c r="C82" s="105" t="s">
        <v>418</v>
      </c>
      <c r="D82" s="11" t="s">
        <v>105</v>
      </c>
      <c r="E82" s="12">
        <v>11620</v>
      </c>
      <c r="F82" s="202">
        <v>35</v>
      </c>
      <c r="G82" s="11">
        <v>60000</v>
      </c>
      <c r="H82" s="116">
        <v>0</v>
      </c>
      <c r="I82" s="192"/>
      <c r="J82" s="204"/>
      <c r="K82" s="193"/>
      <c r="L82" s="193"/>
      <c r="M82" s="193">
        <v>60000</v>
      </c>
      <c r="N82" s="203">
        <f t="shared" si="56"/>
        <v>0</v>
      </c>
      <c r="O82" s="203">
        <f t="shared" si="57"/>
        <v>0</v>
      </c>
      <c r="P82" s="203">
        <f t="shared" si="58"/>
        <v>60000</v>
      </c>
      <c r="Q82" s="214">
        <v>46265</v>
      </c>
      <c r="R82" s="219">
        <v>46263</v>
      </c>
      <c r="S82" s="217">
        <v>46232</v>
      </c>
      <c r="T82" s="205"/>
      <c r="U82" s="205"/>
      <c r="V82" s="215" t="s">
        <v>521</v>
      </c>
      <c r="W82" s="212"/>
      <c r="X82" s="10">
        <v>7</v>
      </c>
      <c r="Y82" s="10">
        <v>7</v>
      </c>
      <c r="Z82" s="213">
        <f t="shared" si="59"/>
        <v>0</v>
      </c>
      <c r="AA82" s="62"/>
      <c r="AB82" s="62"/>
      <c r="AC82" s="62"/>
      <c r="AD82" s="62"/>
      <c r="AE82" s="62"/>
      <c r="AF82" s="63"/>
      <c r="AG82" s="64"/>
      <c r="AH82" s="6">
        <v>1</v>
      </c>
      <c r="AI82">
        <f t="shared" si="60"/>
        <v>25</v>
      </c>
      <c r="AJ82">
        <f t="shared" si="61"/>
        <v>15</v>
      </c>
      <c r="AK82">
        <f t="shared" si="62"/>
        <v>0</v>
      </c>
      <c r="AL82">
        <f t="shared" si="63"/>
        <v>0</v>
      </c>
      <c r="AM82">
        <f t="shared" si="64"/>
        <v>0</v>
      </c>
      <c r="AN82">
        <f t="shared" si="65"/>
        <v>0</v>
      </c>
      <c r="AO82">
        <f t="shared" si="66"/>
        <v>0</v>
      </c>
      <c r="AP82">
        <f t="shared" si="67"/>
        <v>0</v>
      </c>
      <c r="AQ82">
        <f t="shared" si="68"/>
        <v>0</v>
      </c>
      <c r="AR82">
        <f t="shared" si="69"/>
        <v>0</v>
      </c>
      <c r="AS82">
        <f t="shared" si="70"/>
        <v>1</v>
      </c>
      <c r="AT82">
        <f t="shared" si="71"/>
        <v>1</v>
      </c>
      <c r="AU82">
        <f t="shared" si="72"/>
        <v>0</v>
      </c>
      <c r="AV82">
        <f t="shared" si="73"/>
        <v>0</v>
      </c>
      <c r="AW82">
        <f t="shared" si="74"/>
        <v>0</v>
      </c>
      <c r="AX82">
        <f t="shared" si="75"/>
        <v>0</v>
      </c>
      <c r="AY82">
        <f t="shared" si="76"/>
        <v>0</v>
      </c>
      <c r="AZ82">
        <f t="shared" si="77"/>
        <v>0</v>
      </c>
      <c r="BA82">
        <f t="shared" si="78"/>
        <v>0</v>
      </c>
      <c r="BB82">
        <f t="shared" si="79"/>
        <v>0</v>
      </c>
      <c r="BC82">
        <f t="shared" si="80"/>
        <v>0</v>
      </c>
      <c r="BD82">
        <f t="shared" si="81"/>
        <v>0</v>
      </c>
      <c r="BE82">
        <f t="shared" si="82"/>
        <v>0</v>
      </c>
      <c r="BF82">
        <f t="shared" si="83"/>
        <v>0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</row>
    <row r="83" spans="1:256" s="201" customFormat="1" ht="14.25" x14ac:dyDescent="0.2">
      <c r="A83" s="10">
        <v>3112</v>
      </c>
      <c r="B83" s="11" t="s">
        <v>419</v>
      </c>
      <c r="C83" s="105" t="s">
        <v>420</v>
      </c>
      <c r="D83" s="11" t="s">
        <v>235</v>
      </c>
      <c r="E83" s="12">
        <v>11919</v>
      </c>
      <c r="F83" s="202">
        <v>35</v>
      </c>
      <c r="G83" s="11">
        <v>60000</v>
      </c>
      <c r="H83" s="116">
        <v>0</v>
      </c>
      <c r="I83" s="192"/>
      <c r="J83" s="204"/>
      <c r="K83" s="193"/>
      <c r="L83" s="193"/>
      <c r="M83" s="193">
        <v>60000</v>
      </c>
      <c r="N83" s="203">
        <f t="shared" si="56"/>
        <v>0</v>
      </c>
      <c r="O83" s="203">
        <f t="shared" si="57"/>
        <v>0</v>
      </c>
      <c r="P83" s="203">
        <f t="shared" si="58"/>
        <v>60000</v>
      </c>
      <c r="Q83" s="214">
        <v>46254</v>
      </c>
      <c r="R83" s="219">
        <v>46254</v>
      </c>
      <c r="S83" s="217">
        <v>46223</v>
      </c>
      <c r="T83" s="205"/>
      <c r="U83" s="205"/>
      <c r="V83" s="215" t="s">
        <v>521</v>
      </c>
      <c r="W83" s="212"/>
      <c r="X83" s="10">
        <v>7</v>
      </c>
      <c r="Y83" s="10">
        <v>7</v>
      </c>
      <c r="Z83" s="213">
        <f t="shared" si="59"/>
        <v>0</v>
      </c>
      <c r="AA83" s="62"/>
      <c r="AB83" s="62"/>
      <c r="AC83" s="62"/>
      <c r="AD83" s="62"/>
      <c r="AE83" s="62"/>
      <c r="AF83" s="63"/>
      <c r="AG83" s="64"/>
      <c r="AH83" s="6">
        <v>1</v>
      </c>
      <c r="AI83">
        <f t="shared" si="60"/>
        <v>25</v>
      </c>
      <c r="AJ83">
        <f t="shared" si="61"/>
        <v>15</v>
      </c>
      <c r="AK83">
        <f t="shared" si="62"/>
        <v>0</v>
      </c>
      <c r="AL83">
        <f t="shared" si="63"/>
        <v>0</v>
      </c>
      <c r="AM83">
        <f t="shared" si="64"/>
        <v>0</v>
      </c>
      <c r="AN83">
        <f t="shared" si="65"/>
        <v>0</v>
      </c>
      <c r="AO83">
        <f t="shared" si="66"/>
        <v>0</v>
      </c>
      <c r="AP83">
        <f t="shared" si="67"/>
        <v>0</v>
      </c>
      <c r="AQ83">
        <f t="shared" si="68"/>
        <v>0</v>
      </c>
      <c r="AR83">
        <f t="shared" si="69"/>
        <v>0</v>
      </c>
      <c r="AS83">
        <f t="shared" si="70"/>
        <v>1</v>
      </c>
      <c r="AT83">
        <f t="shared" si="71"/>
        <v>1</v>
      </c>
      <c r="AU83">
        <f t="shared" si="72"/>
        <v>0</v>
      </c>
      <c r="AV83">
        <f t="shared" si="73"/>
        <v>0</v>
      </c>
      <c r="AW83">
        <f t="shared" si="74"/>
        <v>0</v>
      </c>
      <c r="AX83">
        <f t="shared" si="75"/>
        <v>0</v>
      </c>
      <c r="AY83">
        <f t="shared" si="76"/>
        <v>0</v>
      </c>
      <c r="AZ83">
        <f t="shared" si="77"/>
        <v>0</v>
      </c>
      <c r="BA83">
        <f t="shared" si="78"/>
        <v>0</v>
      </c>
      <c r="BB83">
        <f t="shared" si="79"/>
        <v>0</v>
      </c>
      <c r="BC83">
        <f t="shared" si="80"/>
        <v>0</v>
      </c>
      <c r="BD83">
        <f t="shared" si="81"/>
        <v>0</v>
      </c>
      <c r="BE83">
        <f t="shared" si="82"/>
        <v>0</v>
      </c>
      <c r="BF83">
        <f t="shared" si="83"/>
        <v>0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s="201" customFormat="1" ht="14.25" x14ac:dyDescent="0.2">
      <c r="A84" s="10">
        <v>3114</v>
      </c>
      <c r="B84" s="11" t="s">
        <v>250</v>
      </c>
      <c r="C84" s="105" t="s">
        <v>251</v>
      </c>
      <c r="D84" s="11" t="s">
        <v>106</v>
      </c>
      <c r="E84" s="12">
        <v>11921</v>
      </c>
      <c r="F84" s="202">
        <v>35</v>
      </c>
      <c r="G84" s="11">
        <v>30000</v>
      </c>
      <c r="H84" s="116">
        <v>-3000</v>
      </c>
      <c r="I84" s="192"/>
      <c r="J84" s="204"/>
      <c r="K84" s="193"/>
      <c r="L84" s="193"/>
      <c r="M84" s="193">
        <v>30000</v>
      </c>
      <c r="N84" s="203">
        <f t="shared" si="56"/>
        <v>0</v>
      </c>
      <c r="O84" s="203">
        <f t="shared" si="57"/>
        <v>-3000</v>
      </c>
      <c r="P84" s="203">
        <f t="shared" si="58"/>
        <v>27000</v>
      </c>
      <c r="Q84" s="214">
        <v>46246</v>
      </c>
      <c r="R84" s="219">
        <v>46246</v>
      </c>
      <c r="S84" s="217">
        <v>46216</v>
      </c>
      <c r="T84" s="205"/>
      <c r="U84" s="205"/>
      <c r="V84" s="215" t="s">
        <v>521</v>
      </c>
      <c r="W84" s="212"/>
      <c r="X84" s="10">
        <v>7</v>
      </c>
      <c r="Y84" s="10">
        <v>7</v>
      </c>
      <c r="Z84" s="213">
        <f t="shared" si="59"/>
        <v>0</v>
      </c>
      <c r="AA84" s="62"/>
      <c r="AB84" s="62"/>
      <c r="AC84" s="62"/>
      <c r="AD84" s="62"/>
      <c r="AE84" s="62"/>
      <c r="AF84" s="63"/>
      <c r="AG84" s="64"/>
      <c r="AH84" s="6">
        <v>1</v>
      </c>
      <c r="AI84">
        <f t="shared" si="60"/>
        <v>25</v>
      </c>
      <c r="AJ84">
        <f t="shared" si="61"/>
        <v>25</v>
      </c>
      <c r="AK84">
        <f t="shared" si="62"/>
        <v>0</v>
      </c>
      <c r="AL84">
        <f t="shared" si="63"/>
        <v>0</v>
      </c>
      <c r="AM84">
        <f t="shared" si="64"/>
        <v>0</v>
      </c>
      <c r="AN84">
        <f t="shared" si="65"/>
        <v>0</v>
      </c>
      <c r="AO84">
        <f t="shared" si="66"/>
        <v>0</v>
      </c>
      <c r="AP84">
        <f t="shared" si="67"/>
        <v>0</v>
      </c>
      <c r="AQ84">
        <f t="shared" si="68"/>
        <v>0</v>
      </c>
      <c r="AR84">
        <f t="shared" si="69"/>
        <v>0</v>
      </c>
      <c r="AS84">
        <f t="shared" si="70"/>
        <v>1</v>
      </c>
      <c r="AT84">
        <f t="shared" si="71"/>
        <v>1</v>
      </c>
      <c r="AU84">
        <f t="shared" si="72"/>
        <v>0</v>
      </c>
      <c r="AV84">
        <f t="shared" si="73"/>
        <v>0</v>
      </c>
      <c r="AW84">
        <f t="shared" si="74"/>
        <v>0</v>
      </c>
      <c r="AX84">
        <f t="shared" si="75"/>
        <v>0</v>
      </c>
      <c r="AY84">
        <f t="shared" si="76"/>
        <v>0</v>
      </c>
      <c r="AZ84">
        <f t="shared" si="77"/>
        <v>0</v>
      </c>
      <c r="BA84">
        <f t="shared" si="78"/>
        <v>0</v>
      </c>
      <c r="BB84">
        <f t="shared" si="79"/>
        <v>0</v>
      </c>
      <c r="BC84">
        <f t="shared" si="80"/>
        <v>0</v>
      </c>
      <c r="BD84">
        <f t="shared" si="81"/>
        <v>0</v>
      </c>
      <c r="BE84">
        <f t="shared" si="82"/>
        <v>0</v>
      </c>
      <c r="BF84">
        <f t="shared" si="83"/>
        <v>0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s="201" customFormat="1" ht="14.25" x14ac:dyDescent="0.2">
      <c r="A85" s="10">
        <v>3115</v>
      </c>
      <c r="B85" s="11" t="s">
        <v>238</v>
      </c>
      <c r="C85" s="105" t="s">
        <v>239</v>
      </c>
      <c r="D85" s="11" t="s">
        <v>217</v>
      </c>
      <c r="E85" s="12">
        <v>11938</v>
      </c>
      <c r="F85" s="202">
        <v>35</v>
      </c>
      <c r="G85" s="11">
        <v>30000</v>
      </c>
      <c r="H85" s="116">
        <v>0</v>
      </c>
      <c r="I85" s="192"/>
      <c r="J85" s="204"/>
      <c r="K85" s="193"/>
      <c r="L85" s="193"/>
      <c r="M85" s="193">
        <v>30000</v>
      </c>
      <c r="N85" s="203">
        <f t="shared" si="56"/>
        <v>0</v>
      </c>
      <c r="O85" s="203">
        <f t="shared" si="57"/>
        <v>0</v>
      </c>
      <c r="P85" s="203">
        <f t="shared" si="58"/>
        <v>30000</v>
      </c>
      <c r="Q85" s="214">
        <v>46247</v>
      </c>
      <c r="R85" s="219">
        <v>46217</v>
      </c>
      <c r="S85" s="217">
        <v>46217</v>
      </c>
      <c r="T85" s="205"/>
      <c r="U85" s="205"/>
      <c r="V85" s="215" t="s">
        <v>521</v>
      </c>
      <c r="W85" s="212"/>
      <c r="X85" s="10">
        <v>7</v>
      </c>
      <c r="Y85" s="10">
        <v>7</v>
      </c>
      <c r="Z85" s="213">
        <f t="shared" si="59"/>
        <v>0</v>
      </c>
      <c r="AA85" s="62"/>
      <c r="AB85" s="62"/>
      <c r="AC85" s="62"/>
      <c r="AD85" s="62"/>
      <c r="AE85" s="62"/>
      <c r="AF85" s="63"/>
      <c r="AG85" s="64"/>
      <c r="AH85" s="6">
        <v>1</v>
      </c>
      <c r="AI85">
        <f t="shared" si="60"/>
        <v>25</v>
      </c>
      <c r="AJ85">
        <f t="shared" si="61"/>
        <v>15</v>
      </c>
      <c r="AK85">
        <f t="shared" si="62"/>
        <v>0</v>
      </c>
      <c r="AL85">
        <f t="shared" si="63"/>
        <v>0</v>
      </c>
      <c r="AM85">
        <f t="shared" si="64"/>
        <v>0</v>
      </c>
      <c r="AN85">
        <f t="shared" si="65"/>
        <v>0</v>
      </c>
      <c r="AO85">
        <f t="shared" si="66"/>
        <v>0</v>
      </c>
      <c r="AP85">
        <f t="shared" si="67"/>
        <v>0</v>
      </c>
      <c r="AQ85">
        <f t="shared" si="68"/>
        <v>0</v>
      </c>
      <c r="AR85">
        <f t="shared" si="69"/>
        <v>0</v>
      </c>
      <c r="AS85">
        <f t="shared" si="70"/>
        <v>1</v>
      </c>
      <c r="AT85">
        <f t="shared" si="71"/>
        <v>1</v>
      </c>
      <c r="AU85">
        <f t="shared" si="72"/>
        <v>0</v>
      </c>
      <c r="AV85">
        <f t="shared" si="73"/>
        <v>0</v>
      </c>
      <c r="AW85">
        <f t="shared" si="74"/>
        <v>0</v>
      </c>
      <c r="AX85">
        <f t="shared" si="75"/>
        <v>0</v>
      </c>
      <c r="AY85">
        <f t="shared" si="76"/>
        <v>0</v>
      </c>
      <c r="AZ85">
        <f t="shared" si="77"/>
        <v>0</v>
      </c>
      <c r="BA85">
        <f t="shared" si="78"/>
        <v>0</v>
      </c>
      <c r="BB85">
        <f t="shared" si="79"/>
        <v>0</v>
      </c>
      <c r="BC85">
        <f t="shared" si="80"/>
        <v>0</v>
      </c>
      <c r="BD85">
        <f t="shared" si="81"/>
        <v>0</v>
      </c>
      <c r="BE85">
        <f t="shared" si="82"/>
        <v>0</v>
      </c>
      <c r="BF85">
        <f t="shared" si="83"/>
        <v>0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s="201" customFormat="1" ht="14.25" x14ac:dyDescent="0.2">
      <c r="A86" s="10">
        <v>3118</v>
      </c>
      <c r="B86" s="11" t="s">
        <v>421</v>
      </c>
      <c r="C86" s="105" t="s">
        <v>422</v>
      </c>
      <c r="D86" s="11" t="s">
        <v>106</v>
      </c>
      <c r="E86" s="12">
        <v>11940</v>
      </c>
      <c r="F86" s="202">
        <v>35</v>
      </c>
      <c r="G86" s="11">
        <v>60000</v>
      </c>
      <c r="H86" s="116">
        <v>60000</v>
      </c>
      <c r="I86" s="192"/>
      <c r="J86" s="204"/>
      <c r="K86" s="193"/>
      <c r="L86" s="193"/>
      <c r="M86" s="193"/>
      <c r="N86" s="203">
        <f t="shared" si="56"/>
        <v>120000</v>
      </c>
      <c r="O86" s="203">
        <f t="shared" si="57"/>
        <v>120000</v>
      </c>
      <c r="P86" s="203">
        <f t="shared" si="58"/>
        <v>120000</v>
      </c>
      <c r="Q86" s="214"/>
      <c r="R86" s="219">
        <v>46233</v>
      </c>
      <c r="S86" s="217">
        <v>46203</v>
      </c>
      <c r="T86" s="205">
        <v>1</v>
      </c>
      <c r="U86" s="205">
        <v>1</v>
      </c>
      <c r="V86" s="215" t="s">
        <v>541</v>
      </c>
      <c r="W86" s="212"/>
      <c r="X86" s="10">
        <v>7</v>
      </c>
      <c r="Y86" s="10">
        <v>7</v>
      </c>
      <c r="Z86" s="213">
        <f t="shared" si="59"/>
        <v>120000</v>
      </c>
      <c r="AA86" s="62"/>
      <c r="AB86" s="62"/>
      <c r="AC86" s="62"/>
      <c r="AD86" s="62"/>
      <c r="AE86" s="62"/>
      <c r="AF86" s="63"/>
      <c r="AG86" s="64"/>
      <c r="AH86" s="6">
        <v>1</v>
      </c>
      <c r="AI86">
        <f t="shared" si="60"/>
        <v>25</v>
      </c>
      <c r="AJ86">
        <f t="shared" si="61"/>
        <v>25</v>
      </c>
      <c r="AK86">
        <f t="shared" si="62"/>
        <v>1</v>
      </c>
      <c r="AL86">
        <f t="shared" si="63"/>
        <v>1</v>
      </c>
      <c r="AM86">
        <f t="shared" si="64"/>
        <v>1</v>
      </c>
      <c r="AN86">
        <f t="shared" si="65"/>
        <v>120000</v>
      </c>
      <c r="AO86">
        <f t="shared" si="66"/>
        <v>0</v>
      </c>
      <c r="AP86">
        <f t="shared" si="67"/>
        <v>0</v>
      </c>
      <c r="AQ86">
        <f t="shared" si="68"/>
        <v>0</v>
      </c>
      <c r="AR86">
        <f t="shared" si="69"/>
        <v>0</v>
      </c>
      <c r="AS86">
        <f t="shared" si="70"/>
        <v>0</v>
      </c>
      <c r="AT86">
        <f t="shared" si="71"/>
        <v>0</v>
      </c>
      <c r="AU86">
        <f t="shared" si="72"/>
        <v>1</v>
      </c>
      <c r="AV86">
        <f t="shared" si="73"/>
        <v>0</v>
      </c>
      <c r="AW86">
        <f t="shared" si="74"/>
        <v>0</v>
      </c>
      <c r="AX86">
        <f t="shared" si="75"/>
        <v>0</v>
      </c>
      <c r="AY86">
        <f t="shared" si="76"/>
        <v>0</v>
      </c>
      <c r="AZ86">
        <f t="shared" si="77"/>
        <v>0</v>
      </c>
      <c r="BA86">
        <f t="shared" si="78"/>
        <v>0</v>
      </c>
      <c r="BB86">
        <f t="shared" si="79"/>
        <v>0</v>
      </c>
      <c r="BC86">
        <f t="shared" si="80"/>
        <v>0</v>
      </c>
      <c r="BD86">
        <f t="shared" si="81"/>
        <v>0</v>
      </c>
      <c r="BE86">
        <f t="shared" si="82"/>
        <v>0</v>
      </c>
      <c r="BF86">
        <f t="shared" si="83"/>
        <v>0</v>
      </c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s="201" customFormat="1" ht="14.25" x14ac:dyDescent="0.2">
      <c r="A87" s="10">
        <v>3119</v>
      </c>
      <c r="B87" s="11" t="s">
        <v>423</v>
      </c>
      <c r="C87" s="105" t="s">
        <v>424</v>
      </c>
      <c r="D87" s="11" t="s">
        <v>105</v>
      </c>
      <c r="E87" s="12">
        <v>11941</v>
      </c>
      <c r="F87" s="202">
        <v>35</v>
      </c>
      <c r="G87" s="11">
        <v>60000</v>
      </c>
      <c r="H87" s="116">
        <v>0</v>
      </c>
      <c r="I87" s="192"/>
      <c r="J87" s="204"/>
      <c r="K87" s="193"/>
      <c r="L87" s="193"/>
      <c r="M87" s="193">
        <v>60000</v>
      </c>
      <c r="N87" s="203">
        <f t="shared" si="56"/>
        <v>0</v>
      </c>
      <c r="O87" s="203">
        <f t="shared" si="57"/>
        <v>0</v>
      </c>
      <c r="P87" s="203">
        <f t="shared" si="58"/>
        <v>60000</v>
      </c>
      <c r="Q87" s="214">
        <v>46239</v>
      </c>
      <c r="R87" s="219">
        <v>46239</v>
      </c>
      <c r="S87" s="217">
        <v>46213</v>
      </c>
      <c r="T87" s="205"/>
      <c r="U87" s="205"/>
      <c r="V87" s="215" t="s">
        <v>521</v>
      </c>
      <c r="W87" s="212"/>
      <c r="X87" s="10">
        <v>7</v>
      </c>
      <c r="Y87" s="10">
        <v>7</v>
      </c>
      <c r="Z87" s="213">
        <f t="shared" si="59"/>
        <v>0</v>
      </c>
      <c r="AA87" s="62"/>
      <c r="AB87" s="62"/>
      <c r="AC87" s="62"/>
      <c r="AD87" s="62"/>
      <c r="AE87" s="62"/>
      <c r="AF87" s="63"/>
      <c r="AG87" s="64"/>
      <c r="AH87" s="6">
        <v>1</v>
      </c>
      <c r="AI87">
        <f t="shared" si="60"/>
        <v>25</v>
      </c>
      <c r="AJ87">
        <f t="shared" si="61"/>
        <v>15</v>
      </c>
      <c r="AK87">
        <f t="shared" si="62"/>
        <v>0</v>
      </c>
      <c r="AL87">
        <f t="shared" si="63"/>
        <v>0</v>
      </c>
      <c r="AM87">
        <f t="shared" si="64"/>
        <v>0</v>
      </c>
      <c r="AN87">
        <f t="shared" si="65"/>
        <v>0</v>
      </c>
      <c r="AO87">
        <f t="shared" si="66"/>
        <v>0</v>
      </c>
      <c r="AP87">
        <f t="shared" si="67"/>
        <v>0</v>
      </c>
      <c r="AQ87">
        <f t="shared" si="68"/>
        <v>0</v>
      </c>
      <c r="AR87">
        <f t="shared" si="69"/>
        <v>0</v>
      </c>
      <c r="AS87">
        <f t="shared" si="70"/>
        <v>1</v>
      </c>
      <c r="AT87">
        <f t="shared" si="71"/>
        <v>1</v>
      </c>
      <c r="AU87">
        <f t="shared" si="72"/>
        <v>0</v>
      </c>
      <c r="AV87">
        <f t="shared" si="73"/>
        <v>0</v>
      </c>
      <c r="AW87">
        <f t="shared" si="74"/>
        <v>0</v>
      </c>
      <c r="AX87">
        <f t="shared" si="75"/>
        <v>0</v>
      </c>
      <c r="AY87">
        <f t="shared" si="76"/>
        <v>0</v>
      </c>
      <c r="AZ87">
        <f t="shared" si="77"/>
        <v>0</v>
      </c>
      <c r="BA87">
        <f t="shared" si="78"/>
        <v>0</v>
      </c>
      <c r="BB87">
        <f t="shared" si="79"/>
        <v>0</v>
      </c>
      <c r="BC87">
        <f t="shared" si="80"/>
        <v>0</v>
      </c>
      <c r="BD87">
        <f t="shared" si="81"/>
        <v>0</v>
      </c>
      <c r="BE87">
        <f t="shared" si="82"/>
        <v>0</v>
      </c>
      <c r="BF87">
        <f t="shared" si="83"/>
        <v>0</v>
      </c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s="201" customFormat="1" ht="14.25" x14ac:dyDescent="0.2">
      <c r="A88" s="10">
        <v>3128</v>
      </c>
      <c r="B88" s="11" t="s">
        <v>425</v>
      </c>
      <c r="C88" s="105" t="s">
        <v>426</v>
      </c>
      <c r="D88" s="11" t="s">
        <v>105</v>
      </c>
      <c r="E88" s="12">
        <v>11977</v>
      </c>
      <c r="F88" s="202">
        <v>35</v>
      </c>
      <c r="G88" s="11">
        <v>60000</v>
      </c>
      <c r="H88" s="116">
        <v>0</v>
      </c>
      <c r="I88" s="192">
        <v>60000</v>
      </c>
      <c r="J88" s="204"/>
      <c r="K88" s="193"/>
      <c r="L88" s="193"/>
      <c r="M88" s="193"/>
      <c r="N88" s="203">
        <f t="shared" si="56"/>
        <v>0</v>
      </c>
      <c r="O88" s="203">
        <f t="shared" si="57"/>
        <v>0</v>
      </c>
      <c r="P88" s="203">
        <f t="shared" si="58"/>
        <v>60000</v>
      </c>
      <c r="Q88" s="214">
        <v>46237</v>
      </c>
      <c r="R88" s="219">
        <v>46237</v>
      </c>
      <c r="S88" s="217">
        <v>46206</v>
      </c>
      <c r="T88" s="205"/>
      <c r="U88" s="205"/>
      <c r="V88" s="215" t="s">
        <v>521</v>
      </c>
      <c r="W88" s="212"/>
      <c r="X88" s="10">
        <v>7</v>
      </c>
      <c r="Y88" s="10">
        <v>7</v>
      </c>
      <c r="Z88" s="213">
        <f t="shared" si="59"/>
        <v>0</v>
      </c>
      <c r="AA88" s="62"/>
      <c r="AB88" s="62"/>
      <c r="AC88" s="62"/>
      <c r="AD88" s="62"/>
      <c r="AE88" s="62"/>
      <c r="AF88" s="63"/>
      <c r="AG88" s="64"/>
      <c r="AH88" s="6">
        <v>1</v>
      </c>
      <c r="AI88">
        <f t="shared" si="60"/>
        <v>25</v>
      </c>
      <c r="AJ88">
        <f t="shared" si="61"/>
        <v>15</v>
      </c>
      <c r="AK88">
        <f t="shared" si="62"/>
        <v>0</v>
      </c>
      <c r="AL88">
        <f t="shared" si="63"/>
        <v>0</v>
      </c>
      <c r="AM88">
        <f t="shared" si="64"/>
        <v>0</v>
      </c>
      <c r="AN88">
        <f t="shared" si="65"/>
        <v>0</v>
      </c>
      <c r="AO88">
        <f t="shared" si="66"/>
        <v>0</v>
      </c>
      <c r="AP88">
        <f t="shared" si="67"/>
        <v>0</v>
      </c>
      <c r="AQ88">
        <f t="shared" si="68"/>
        <v>0</v>
      </c>
      <c r="AR88">
        <f t="shared" si="69"/>
        <v>0</v>
      </c>
      <c r="AS88">
        <f t="shared" si="70"/>
        <v>1</v>
      </c>
      <c r="AT88">
        <f t="shared" si="71"/>
        <v>1</v>
      </c>
      <c r="AU88">
        <f t="shared" si="72"/>
        <v>0</v>
      </c>
      <c r="AV88">
        <f t="shared" si="73"/>
        <v>0</v>
      </c>
      <c r="AW88">
        <f t="shared" si="74"/>
        <v>0</v>
      </c>
      <c r="AX88">
        <f t="shared" si="75"/>
        <v>0</v>
      </c>
      <c r="AY88">
        <f t="shared" si="76"/>
        <v>0</v>
      </c>
      <c r="AZ88">
        <f t="shared" si="77"/>
        <v>0</v>
      </c>
      <c r="BA88">
        <f t="shared" si="78"/>
        <v>0</v>
      </c>
      <c r="BB88">
        <f t="shared" si="79"/>
        <v>0</v>
      </c>
      <c r="BC88">
        <f t="shared" si="80"/>
        <v>0</v>
      </c>
      <c r="BD88">
        <f t="shared" si="81"/>
        <v>0</v>
      </c>
      <c r="BE88">
        <f t="shared" si="82"/>
        <v>0</v>
      </c>
      <c r="BF88">
        <f t="shared" si="83"/>
        <v>0</v>
      </c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s="201" customFormat="1" ht="14.25" x14ac:dyDescent="0.2">
      <c r="A89" s="10">
        <v>3129</v>
      </c>
      <c r="B89" s="11" t="s">
        <v>427</v>
      </c>
      <c r="C89" s="105" t="s">
        <v>428</v>
      </c>
      <c r="D89" s="11" t="s">
        <v>106</v>
      </c>
      <c r="E89" s="12">
        <v>11980</v>
      </c>
      <c r="F89" s="202">
        <v>35</v>
      </c>
      <c r="G89" s="11">
        <v>60000</v>
      </c>
      <c r="H89" s="116">
        <v>0</v>
      </c>
      <c r="I89" s="192"/>
      <c r="J89" s="204"/>
      <c r="K89" s="193"/>
      <c r="L89" s="193"/>
      <c r="M89" s="193">
        <v>60000</v>
      </c>
      <c r="N89" s="203">
        <f t="shared" si="56"/>
        <v>0</v>
      </c>
      <c r="O89" s="203">
        <f t="shared" si="57"/>
        <v>0</v>
      </c>
      <c r="P89" s="203">
        <f t="shared" si="58"/>
        <v>60000</v>
      </c>
      <c r="Q89" s="214">
        <v>46248</v>
      </c>
      <c r="R89" s="219">
        <v>46216</v>
      </c>
      <c r="S89" s="217">
        <v>46216</v>
      </c>
      <c r="T89" s="205"/>
      <c r="U89" s="205"/>
      <c r="V89" s="215" t="s">
        <v>521</v>
      </c>
      <c r="W89" s="212"/>
      <c r="X89" s="10">
        <v>7</v>
      </c>
      <c r="Y89" s="10">
        <v>7</v>
      </c>
      <c r="Z89" s="213">
        <f t="shared" si="59"/>
        <v>0</v>
      </c>
      <c r="AA89" s="62"/>
      <c r="AB89" s="62"/>
      <c r="AC89" s="62"/>
      <c r="AD89" s="62"/>
      <c r="AE89" s="62"/>
      <c r="AF89" s="63"/>
      <c r="AG89" s="64"/>
      <c r="AH89" s="6">
        <v>1</v>
      </c>
      <c r="AI89">
        <f t="shared" si="60"/>
        <v>25</v>
      </c>
      <c r="AJ89">
        <f t="shared" si="61"/>
        <v>15</v>
      </c>
      <c r="AK89">
        <f t="shared" si="62"/>
        <v>0</v>
      </c>
      <c r="AL89">
        <f t="shared" si="63"/>
        <v>0</v>
      </c>
      <c r="AM89">
        <f t="shared" si="64"/>
        <v>0</v>
      </c>
      <c r="AN89">
        <f t="shared" si="65"/>
        <v>0</v>
      </c>
      <c r="AO89">
        <f t="shared" si="66"/>
        <v>0</v>
      </c>
      <c r="AP89">
        <f t="shared" si="67"/>
        <v>0</v>
      </c>
      <c r="AQ89">
        <f t="shared" si="68"/>
        <v>0</v>
      </c>
      <c r="AR89">
        <f t="shared" si="69"/>
        <v>0</v>
      </c>
      <c r="AS89">
        <f t="shared" si="70"/>
        <v>1</v>
      </c>
      <c r="AT89">
        <f t="shared" si="71"/>
        <v>1</v>
      </c>
      <c r="AU89">
        <f t="shared" si="72"/>
        <v>0</v>
      </c>
      <c r="AV89">
        <f t="shared" si="73"/>
        <v>0</v>
      </c>
      <c r="AW89">
        <f t="shared" si="74"/>
        <v>0</v>
      </c>
      <c r="AX89">
        <f t="shared" si="75"/>
        <v>0</v>
      </c>
      <c r="AY89">
        <f t="shared" si="76"/>
        <v>0</v>
      </c>
      <c r="AZ89">
        <f t="shared" si="77"/>
        <v>0</v>
      </c>
      <c r="BA89">
        <f t="shared" si="78"/>
        <v>0</v>
      </c>
      <c r="BB89">
        <f t="shared" si="79"/>
        <v>0</v>
      </c>
      <c r="BC89">
        <f t="shared" si="80"/>
        <v>0</v>
      </c>
      <c r="BD89">
        <f t="shared" si="81"/>
        <v>0</v>
      </c>
      <c r="BE89">
        <f t="shared" si="82"/>
        <v>0</v>
      </c>
      <c r="BF89">
        <f t="shared" si="83"/>
        <v>0</v>
      </c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s="201" customFormat="1" ht="14.25" x14ac:dyDescent="0.2">
      <c r="A90" s="10">
        <v>3130</v>
      </c>
      <c r="B90" s="11" t="s">
        <v>429</v>
      </c>
      <c r="C90" s="105" t="s">
        <v>430</v>
      </c>
      <c r="D90" s="11" t="s">
        <v>170</v>
      </c>
      <c r="E90" s="12">
        <v>11623</v>
      </c>
      <c r="F90" s="202">
        <v>35</v>
      </c>
      <c r="G90" s="11">
        <v>60000</v>
      </c>
      <c r="H90" s="116">
        <v>0</v>
      </c>
      <c r="I90" s="192"/>
      <c r="J90" s="204"/>
      <c r="K90" s="193"/>
      <c r="L90" s="193"/>
      <c r="M90" s="193">
        <v>60000</v>
      </c>
      <c r="N90" s="203">
        <f t="shared" si="56"/>
        <v>0</v>
      </c>
      <c r="O90" s="203">
        <f t="shared" si="57"/>
        <v>0</v>
      </c>
      <c r="P90" s="203">
        <f t="shared" si="58"/>
        <v>60000</v>
      </c>
      <c r="Q90" s="214">
        <v>46237</v>
      </c>
      <c r="R90" s="219">
        <v>46237</v>
      </c>
      <c r="S90" s="217">
        <v>46213</v>
      </c>
      <c r="T90" s="205"/>
      <c r="U90" s="205"/>
      <c r="V90" s="215" t="s">
        <v>521</v>
      </c>
      <c r="W90" s="212"/>
      <c r="X90" s="10">
        <v>7</v>
      </c>
      <c r="Y90" s="10">
        <v>7</v>
      </c>
      <c r="Z90" s="213">
        <f t="shared" si="59"/>
        <v>0</v>
      </c>
      <c r="AA90" s="62"/>
      <c r="AB90" s="62"/>
      <c r="AC90" s="62"/>
      <c r="AD90" s="62"/>
      <c r="AE90" s="62"/>
      <c r="AF90" s="63"/>
      <c r="AG90" s="64"/>
      <c r="AH90" s="6">
        <v>1</v>
      </c>
      <c r="AI90">
        <f t="shared" si="60"/>
        <v>25</v>
      </c>
      <c r="AJ90">
        <f t="shared" si="61"/>
        <v>15</v>
      </c>
      <c r="AK90">
        <f t="shared" si="62"/>
        <v>0</v>
      </c>
      <c r="AL90">
        <f t="shared" si="63"/>
        <v>0</v>
      </c>
      <c r="AM90">
        <f t="shared" si="64"/>
        <v>0</v>
      </c>
      <c r="AN90">
        <f t="shared" si="65"/>
        <v>0</v>
      </c>
      <c r="AO90">
        <f t="shared" si="66"/>
        <v>0</v>
      </c>
      <c r="AP90">
        <f t="shared" si="67"/>
        <v>0</v>
      </c>
      <c r="AQ90">
        <f t="shared" si="68"/>
        <v>0</v>
      </c>
      <c r="AR90">
        <f t="shared" si="69"/>
        <v>0</v>
      </c>
      <c r="AS90">
        <f t="shared" si="70"/>
        <v>1</v>
      </c>
      <c r="AT90">
        <f t="shared" si="71"/>
        <v>1</v>
      </c>
      <c r="AU90">
        <f t="shared" si="72"/>
        <v>0</v>
      </c>
      <c r="AV90">
        <f t="shared" si="73"/>
        <v>0</v>
      </c>
      <c r="AW90">
        <f t="shared" si="74"/>
        <v>0</v>
      </c>
      <c r="AX90">
        <f t="shared" si="75"/>
        <v>0</v>
      </c>
      <c r="AY90">
        <f t="shared" si="76"/>
        <v>0</v>
      </c>
      <c r="AZ90">
        <f t="shared" si="77"/>
        <v>0</v>
      </c>
      <c r="BA90">
        <f t="shared" si="78"/>
        <v>0</v>
      </c>
      <c r="BB90">
        <f t="shared" si="79"/>
        <v>0</v>
      </c>
      <c r="BC90">
        <f t="shared" si="80"/>
        <v>0</v>
      </c>
      <c r="BD90">
        <f t="shared" si="81"/>
        <v>0</v>
      </c>
      <c r="BE90">
        <f t="shared" si="82"/>
        <v>0</v>
      </c>
      <c r="BF90">
        <f t="shared" si="83"/>
        <v>0</v>
      </c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s="201" customFormat="1" ht="14.25" x14ac:dyDescent="0.2">
      <c r="A91" s="10">
        <v>3134</v>
      </c>
      <c r="B91" s="11" t="s">
        <v>431</v>
      </c>
      <c r="C91" s="105" t="s">
        <v>432</v>
      </c>
      <c r="D91" s="11" t="s">
        <v>105</v>
      </c>
      <c r="E91" s="12">
        <v>269</v>
      </c>
      <c r="F91" s="202">
        <v>35</v>
      </c>
      <c r="G91" s="11">
        <v>60000</v>
      </c>
      <c r="H91" s="116">
        <v>0</v>
      </c>
      <c r="I91" s="192">
        <v>60000</v>
      </c>
      <c r="J91" s="204"/>
      <c r="K91" s="193"/>
      <c r="L91" s="193"/>
      <c r="M91" s="193"/>
      <c r="N91" s="203">
        <f t="shared" si="56"/>
        <v>0</v>
      </c>
      <c r="O91" s="203">
        <f t="shared" si="57"/>
        <v>0</v>
      </c>
      <c r="P91" s="203">
        <f t="shared" si="58"/>
        <v>60000</v>
      </c>
      <c r="Q91" s="214">
        <v>46246</v>
      </c>
      <c r="R91" s="219">
        <v>46246</v>
      </c>
      <c r="S91" s="217">
        <v>46216</v>
      </c>
      <c r="T91" s="205"/>
      <c r="U91" s="205"/>
      <c r="V91" s="215" t="s">
        <v>526</v>
      </c>
      <c r="W91" s="212"/>
      <c r="X91" s="10">
        <v>7</v>
      </c>
      <c r="Y91" s="10">
        <v>7</v>
      </c>
      <c r="Z91" s="213">
        <f t="shared" si="59"/>
        <v>0</v>
      </c>
      <c r="AA91" s="62"/>
      <c r="AB91" s="62"/>
      <c r="AC91" s="62"/>
      <c r="AD91" s="62"/>
      <c r="AE91" s="62"/>
      <c r="AF91" s="63"/>
      <c r="AG91" s="64"/>
      <c r="AH91" s="6">
        <v>1</v>
      </c>
      <c r="AI91">
        <f t="shared" si="60"/>
        <v>25</v>
      </c>
      <c r="AJ91">
        <f t="shared" si="61"/>
        <v>15</v>
      </c>
      <c r="AK91">
        <f t="shared" si="62"/>
        <v>0</v>
      </c>
      <c r="AL91">
        <f t="shared" si="63"/>
        <v>0</v>
      </c>
      <c r="AM91">
        <f t="shared" si="64"/>
        <v>0</v>
      </c>
      <c r="AN91">
        <f t="shared" si="65"/>
        <v>0</v>
      </c>
      <c r="AO91">
        <f t="shared" si="66"/>
        <v>0</v>
      </c>
      <c r="AP91">
        <f t="shared" si="67"/>
        <v>0</v>
      </c>
      <c r="AQ91">
        <f t="shared" si="68"/>
        <v>0</v>
      </c>
      <c r="AR91">
        <f t="shared" si="69"/>
        <v>0</v>
      </c>
      <c r="AS91">
        <f t="shared" si="70"/>
        <v>1</v>
      </c>
      <c r="AT91">
        <f t="shared" si="71"/>
        <v>1</v>
      </c>
      <c r="AU91">
        <f t="shared" si="72"/>
        <v>0</v>
      </c>
      <c r="AV91">
        <f t="shared" si="73"/>
        <v>0</v>
      </c>
      <c r="AW91">
        <f t="shared" si="74"/>
        <v>0</v>
      </c>
      <c r="AX91">
        <f t="shared" si="75"/>
        <v>0</v>
      </c>
      <c r="AY91">
        <f t="shared" si="76"/>
        <v>0</v>
      </c>
      <c r="AZ91">
        <f t="shared" si="77"/>
        <v>0</v>
      </c>
      <c r="BA91">
        <f t="shared" si="78"/>
        <v>0</v>
      </c>
      <c r="BB91">
        <f t="shared" si="79"/>
        <v>0</v>
      </c>
      <c r="BC91">
        <f t="shared" si="80"/>
        <v>0</v>
      </c>
      <c r="BD91">
        <f t="shared" si="81"/>
        <v>0</v>
      </c>
      <c r="BE91">
        <f t="shared" si="82"/>
        <v>0</v>
      </c>
      <c r="BF91">
        <f t="shared" si="83"/>
        <v>0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s="201" customFormat="1" ht="14.25" x14ac:dyDescent="0.2">
      <c r="A92" s="10">
        <v>3137</v>
      </c>
      <c r="B92" s="11" t="s">
        <v>433</v>
      </c>
      <c r="C92" s="105" t="s">
        <v>434</v>
      </c>
      <c r="D92" s="11" t="s">
        <v>106</v>
      </c>
      <c r="E92" s="12">
        <v>20002</v>
      </c>
      <c r="F92" s="202">
        <v>35</v>
      </c>
      <c r="G92" s="11">
        <v>55000</v>
      </c>
      <c r="H92" s="116">
        <v>0</v>
      </c>
      <c r="I92" s="192"/>
      <c r="J92" s="204"/>
      <c r="K92" s="193"/>
      <c r="L92" s="193"/>
      <c r="M92" s="193">
        <v>55000</v>
      </c>
      <c r="N92" s="203">
        <f t="shared" si="56"/>
        <v>0</v>
      </c>
      <c r="O92" s="203">
        <f t="shared" si="57"/>
        <v>0</v>
      </c>
      <c r="P92" s="203">
        <f t="shared" si="58"/>
        <v>55000</v>
      </c>
      <c r="Q92" s="214">
        <v>46237</v>
      </c>
      <c r="R92" s="219">
        <v>46237</v>
      </c>
      <c r="S92" s="217">
        <v>46213</v>
      </c>
      <c r="T92" s="205"/>
      <c r="U92" s="205"/>
      <c r="V92" s="215" t="s">
        <v>521</v>
      </c>
      <c r="W92" s="212"/>
      <c r="X92" s="10">
        <v>7</v>
      </c>
      <c r="Y92" s="10">
        <v>7</v>
      </c>
      <c r="Z92" s="213">
        <f t="shared" si="59"/>
        <v>0</v>
      </c>
      <c r="AA92" s="62"/>
      <c r="AB92" s="62"/>
      <c r="AC92" s="62"/>
      <c r="AD92" s="62"/>
      <c r="AE92" s="62"/>
      <c r="AF92" s="63"/>
      <c r="AG92" s="64"/>
      <c r="AH92" s="6">
        <v>1</v>
      </c>
      <c r="AI92">
        <f t="shared" si="60"/>
        <v>25</v>
      </c>
      <c r="AJ92">
        <f t="shared" si="61"/>
        <v>15</v>
      </c>
      <c r="AK92">
        <f t="shared" si="62"/>
        <v>0</v>
      </c>
      <c r="AL92">
        <f t="shared" si="63"/>
        <v>0</v>
      </c>
      <c r="AM92">
        <f t="shared" si="64"/>
        <v>0</v>
      </c>
      <c r="AN92">
        <f t="shared" si="65"/>
        <v>0</v>
      </c>
      <c r="AO92">
        <f t="shared" si="66"/>
        <v>0</v>
      </c>
      <c r="AP92">
        <f t="shared" si="67"/>
        <v>0</v>
      </c>
      <c r="AQ92">
        <f t="shared" si="68"/>
        <v>0</v>
      </c>
      <c r="AR92">
        <f t="shared" si="69"/>
        <v>0</v>
      </c>
      <c r="AS92">
        <f t="shared" si="70"/>
        <v>1</v>
      </c>
      <c r="AT92">
        <f t="shared" si="71"/>
        <v>1</v>
      </c>
      <c r="AU92">
        <f t="shared" si="72"/>
        <v>0</v>
      </c>
      <c r="AV92">
        <f t="shared" si="73"/>
        <v>0</v>
      </c>
      <c r="AW92">
        <f t="shared" si="74"/>
        <v>0</v>
      </c>
      <c r="AX92">
        <f t="shared" si="75"/>
        <v>0</v>
      </c>
      <c r="AY92">
        <f t="shared" si="76"/>
        <v>0</v>
      </c>
      <c r="AZ92">
        <f t="shared" si="77"/>
        <v>0</v>
      </c>
      <c r="BA92">
        <f t="shared" si="78"/>
        <v>0</v>
      </c>
      <c r="BB92">
        <f t="shared" si="79"/>
        <v>0</v>
      </c>
      <c r="BC92">
        <f t="shared" si="80"/>
        <v>0</v>
      </c>
      <c r="BD92">
        <f t="shared" si="81"/>
        <v>0</v>
      </c>
      <c r="BE92">
        <f t="shared" si="82"/>
        <v>0</v>
      </c>
      <c r="BF92">
        <f t="shared" si="83"/>
        <v>0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s="201" customFormat="1" ht="14.25" x14ac:dyDescent="0.2">
      <c r="A93" s="10">
        <v>3142</v>
      </c>
      <c r="B93" s="11" t="s">
        <v>435</v>
      </c>
      <c r="C93" s="105" t="s">
        <v>436</v>
      </c>
      <c r="D93" s="11" t="s">
        <v>154</v>
      </c>
      <c r="E93" s="12">
        <v>11965</v>
      </c>
      <c r="F93" s="202">
        <v>35</v>
      </c>
      <c r="G93" s="11">
        <v>60000</v>
      </c>
      <c r="H93" s="116">
        <v>-10000</v>
      </c>
      <c r="I93" s="192"/>
      <c r="J93" s="204"/>
      <c r="K93" s="193"/>
      <c r="L93" s="193"/>
      <c r="M93" s="193">
        <v>60000</v>
      </c>
      <c r="N93" s="203">
        <f t="shared" si="56"/>
        <v>0</v>
      </c>
      <c r="O93" s="203">
        <f t="shared" si="57"/>
        <v>-10000</v>
      </c>
      <c r="P93" s="203">
        <f t="shared" si="58"/>
        <v>50000</v>
      </c>
      <c r="Q93" s="214">
        <v>46239</v>
      </c>
      <c r="R93" s="219">
        <v>46239</v>
      </c>
      <c r="S93" s="217">
        <v>46204</v>
      </c>
      <c r="T93" s="205"/>
      <c r="U93" s="205"/>
      <c r="V93" s="215" t="s">
        <v>521</v>
      </c>
      <c r="W93" s="212"/>
      <c r="X93" s="10">
        <v>7</v>
      </c>
      <c r="Y93" s="10">
        <v>7</v>
      </c>
      <c r="Z93" s="213">
        <f t="shared" si="59"/>
        <v>0</v>
      </c>
      <c r="AA93" s="62"/>
      <c r="AB93" s="62"/>
      <c r="AC93" s="62"/>
      <c r="AD93" s="62"/>
      <c r="AE93" s="62"/>
      <c r="AF93" s="63"/>
      <c r="AG93" s="64"/>
      <c r="AH93" s="6">
        <v>1</v>
      </c>
      <c r="AI93">
        <f t="shared" si="60"/>
        <v>25</v>
      </c>
      <c r="AJ93">
        <f t="shared" si="61"/>
        <v>25</v>
      </c>
      <c r="AK93">
        <f t="shared" si="62"/>
        <v>0</v>
      </c>
      <c r="AL93">
        <f t="shared" si="63"/>
        <v>0</v>
      </c>
      <c r="AM93">
        <f t="shared" si="64"/>
        <v>0</v>
      </c>
      <c r="AN93">
        <f t="shared" si="65"/>
        <v>0</v>
      </c>
      <c r="AO93">
        <f t="shared" si="66"/>
        <v>0</v>
      </c>
      <c r="AP93">
        <f t="shared" si="67"/>
        <v>0</v>
      </c>
      <c r="AQ93">
        <f t="shared" si="68"/>
        <v>0</v>
      </c>
      <c r="AR93">
        <f t="shared" si="69"/>
        <v>0</v>
      </c>
      <c r="AS93">
        <f t="shared" si="70"/>
        <v>1</v>
      </c>
      <c r="AT93">
        <f t="shared" si="71"/>
        <v>1</v>
      </c>
      <c r="AU93">
        <f t="shared" si="72"/>
        <v>0</v>
      </c>
      <c r="AV93">
        <f t="shared" si="73"/>
        <v>0</v>
      </c>
      <c r="AW93">
        <f t="shared" si="74"/>
        <v>0</v>
      </c>
      <c r="AX93">
        <f t="shared" si="75"/>
        <v>0</v>
      </c>
      <c r="AY93">
        <f t="shared" si="76"/>
        <v>0</v>
      </c>
      <c r="AZ93">
        <f t="shared" si="77"/>
        <v>0</v>
      </c>
      <c r="BA93">
        <f t="shared" si="78"/>
        <v>0</v>
      </c>
      <c r="BB93">
        <f t="shared" si="79"/>
        <v>0</v>
      </c>
      <c r="BC93">
        <f t="shared" si="80"/>
        <v>0</v>
      </c>
      <c r="BD93">
        <f t="shared" si="81"/>
        <v>0</v>
      </c>
      <c r="BE93">
        <f t="shared" si="82"/>
        <v>0</v>
      </c>
      <c r="BF93">
        <f t="shared" si="83"/>
        <v>0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s="201" customFormat="1" ht="14.25" x14ac:dyDescent="0.2">
      <c r="A94" s="10">
        <v>3158</v>
      </c>
      <c r="B94" s="11" t="s">
        <v>437</v>
      </c>
      <c r="C94" s="105" t="s">
        <v>438</v>
      </c>
      <c r="D94" s="11" t="s">
        <v>325</v>
      </c>
      <c r="E94" s="12">
        <v>20018</v>
      </c>
      <c r="F94" s="202">
        <v>34</v>
      </c>
      <c r="G94" s="11">
        <v>80000</v>
      </c>
      <c r="H94" s="116">
        <v>0</v>
      </c>
      <c r="I94" s="192"/>
      <c r="J94" s="204"/>
      <c r="K94" s="193"/>
      <c r="L94" s="193"/>
      <c r="M94" s="193"/>
      <c r="N94" s="203">
        <f t="shared" si="56"/>
        <v>80000</v>
      </c>
      <c r="O94" s="203">
        <f t="shared" si="57"/>
        <v>80000</v>
      </c>
      <c r="P94" s="203">
        <f t="shared" si="58"/>
        <v>80000</v>
      </c>
      <c r="Q94" s="214"/>
      <c r="R94" s="219">
        <v>46259</v>
      </c>
      <c r="S94" s="217">
        <v>46209</v>
      </c>
      <c r="T94" s="205"/>
      <c r="U94" s="205"/>
      <c r="V94" s="215"/>
      <c r="W94" s="212" t="s">
        <v>542</v>
      </c>
      <c r="X94" s="10">
        <v>7</v>
      </c>
      <c r="Y94" s="10">
        <v>7</v>
      </c>
      <c r="Z94" s="213">
        <f t="shared" si="59"/>
        <v>80000</v>
      </c>
      <c r="AA94" s="62"/>
      <c r="AB94" s="62"/>
      <c r="AC94" s="62"/>
      <c r="AD94" s="62"/>
      <c r="AE94" s="62"/>
      <c r="AF94" s="63"/>
      <c r="AG94" s="64"/>
      <c r="AH94" s="6">
        <v>1</v>
      </c>
      <c r="AI94">
        <f t="shared" si="60"/>
        <v>25</v>
      </c>
      <c r="AJ94">
        <f t="shared" si="61"/>
        <v>25</v>
      </c>
      <c r="AK94">
        <f t="shared" si="62"/>
        <v>0</v>
      </c>
      <c r="AL94">
        <f t="shared" si="63"/>
        <v>0</v>
      </c>
      <c r="AM94">
        <f t="shared" si="64"/>
        <v>0</v>
      </c>
      <c r="AN94">
        <f t="shared" si="65"/>
        <v>0</v>
      </c>
      <c r="AO94">
        <f t="shared" si="66"/>
        <v>0</v>
      </c>
      <c r="AP94">
        <f t="shared" si="67"/>
        <v>0</v>
      </c>
      <c r="AQ94">
        <f t="shared" si="68"/>
        <v>0</v>
      </c>
      <c r="AR94">
        <f t="shared" si="69"/>
        <v>0</v>
      </c>
      <c r="AS94">
        <f t="shared" si="70"/>
        <v>0</v>
      </c>
      <c r="AT94">
        <f t="shared" si="71"/>
        <v>0</v>
      </c>
      <c r="AU94">
        <f t="shared" si="72"/>
        <v>1</v>
      </c>
      <c r="AV94">
        <f t="shared" si="73"/>
        <v>1</v>
      </c>
      <c r="AW94">
        <f t="shared" si="74"/>
        <v>1</v>
      </c>
      <c r="AX94">
        <f t="shared" si="75"/>
        <v>1</v>
      </c>
      <c r="AY94">
        <f t="shared" si="76"/>
        <v>80000</v>
      </c>
      <c r="AZ94">
        <f t="shared" si="77"/>
        <v>80000</v>
      </c>
      <c r="BA94">
        <f t="shared" si="78"/>
        <v>0</v>
      </c>
      <c r="BB94">
        <f t="shared" si="79"/>
        <v>0</v>
      </c>
      <c r="BC94">
        <f t="shared" si="80"/>
        <v>0</v>
      </c>
      <c r="BD94">
        <f t="shared" si="81"/>
        <v>0</v>
      </c>
      <c r="BE94">
        <f t="shared" si="82"/>
        <v>0</v>
      </c>
      <c r="BF94">
        <f t="shared" si="83"/>
        <v>0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s="201" customFormat="1" ht="14.25" x14ac:dyDescent="0.2">
      <c r="A95" s="10">
        <v>3163</v>
      </c>
      <c r="B95" s="11" t="s">
        <v>439</v>
      </c>
      <c r="C95" s="105" t="s">
        <v>440</v>
      </c>
      <c r="D95" s="11" t="s">
        <v>106</v>
      </c>
      <c r="E95" s="12">
        <v>20025</v>
      </c>
      <c r="F95" s="202">
        <v>34</v>
      </c>
      <c r="G95" s="11">
        <v>200000</v>
      </c>
      <c r="H95" s="116">
        <v>0</v>
      </c>
      <c r="I95" s="192"/>
      <c r="J95" s="204"/>
      <c r="K95" s="193"/>
      <c r="L95" s="193"/>
      <c r="M95" s="193">
        <v>200000</v>
      </c>
      <c r="N95" s="203">
        <f t="shared" si="56"/>
        <v>0</v>
      </c>
      <c r="O95" s="203">
        <f t="shared" si="57"/>
        <v>0</v>
      </c>
      <c r="P95" s="203">
        <f t="shared" si="58"/>
        <v>200000</v>
      </c>
      <c r="Q95" s="214">
        <v>46245</v>
      </c>
      <c r="R95" s="219">
        <v>46245</v>
      </c>
      <c r="S95" s="217">
        <v>46217</v>
      </c>
      <c r="T95" s="205"/>
      <c r="U95" s="205"/>
      <c r="V95" s="215" t="s">
        <v>521</v>
      </c>
      <c r="W95" s="212"/>
      <c r="X95" s="10">
        <v>7</v>
      </c>
      <c r="Y95" s="10">
        <v>7</v>
      </c>
      <c r="Z95" s="213">
        <f t="shared" si="59"/>
        <v>0</v>
      </c>
      <c r="AA95" s="62"/>
      <c r="AB95" s="62"/>
      <c r="AC95" s="62"/>
      <c r="AD95" s="62"/>
      <c r="AE95" s="62"/>
      <c r="AF95" s="63"/>
      <c r="AG95" s="64"/>
      <c r="AH95" s="6">
        <v>1</v>
      </c>
      <c r="AI95">
        <f t="shared" si="60"/>
        <v>25</v>
      </c>
      <c r="AJ95">
        <f t="shared" si="61"/>
        <v>15</v>
      </c>
      <c r="AK95">
        <f t="shared" si="62"/>
        <v>0</v>
      </c>
      <c r="AL95">
        <f t="shared" si="63"/>
        <v>0</v>
      </c>
      <c r="AM95">
        <f t="shared" si="64"/>
        <v>0</v>
      </c>
      <c r="AN95">
        <f t="shared" si="65"/>
        <v>0</v>
      </c>
      <c r="AO95">
        <f t="shared" si="66"/>
        <v>0</v>
      </c>
      <c r="AP95">
        <f t="shared" si="67"/>
        <v>0</v>
      </c>
      <c r="AQ95">
        <f t="shared" si="68"/>
        <v>0</v>
      </c>
      <c r="AR95">
        <f t="shared" si="69"/>
        <v>0</v>
      </c>
      <c r="AS95">
        <f t="shared" si="70"/>
        <v>1</v>
      </c>
      <c r="AT95">
        <f t="shared" si="71"/>
        <v>1</v>
      </c>
      <c r="AU95">
        <f t="shared" si="72"/>
        <v>0</v>
      </c>
      <c r="AV95">
        <f t="shared" si="73"/>
        <v>0</v>
      </c>
      <c r="AW95">
        <f t="shared" si="74"/>
        <v>0</v>
      </c>
      <c r="AX95">
        <f t="shared" si="75"/>
        <v>0</v>
      </c>
      <c r="AY95">
        <f t="shared" si="76"/>
        <v>0</v>
      </c>
      <c r="AZ95">
        <f t="shared" si="77"/>
        <v>0</v>
      </c>
      <c r="BA95">
        <f t="shared" si="78"/>
        <v>0</v>
      </c>
      <c r="BB95">
        <f t="shared" si="79"/>
        <v>0</v>
      </c>
      <c r="BC95">
        <f t="shared" si="80"/>
        <v>0</v>
      </c>
      <c r="BD95">
        <f t="shared" si="81"/>
        <v>0</v>
      </c>
      <c r="BE95">
        <f t="shared" si="82"/>
        <v>0</v>
      </c>
      <c r="BF95">
        <f t="shared" si="83"/>
        <v>0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s="201" customFormat="1" ht="14.25" x14ac:dyDescent="0.2">
      <c r="A96" s="10">
        <v>3177</v>
      </c>
      <c r="B96" s="11" t="s">
        <v>280</v>
      </c>
      <c r="C96" s="105" t="s">
        <v>281</v>
      </c>
      <c r="D96" s="11" t="s">
        <v>282</v>
      </c>
      <c r="E96" s="12">
        <v>11939</v>
      </c>
      <c r="F96" s="202">
        <v>34</v>
      </c>
      <c r="G96" s="11">
        <v>30000</v>
      </c>
      <c r="H96" s="116">
        <v>15000</v>
      </c>
      <c r="I96" s="192"/>
      <c r="J96" s="204"/>
      <c r="K96" s="193"/>
      <c r="L96" s="193"/>
      <c r="M96" s="193"/>
      <c r="N96" s="203">
        <f t="shared" si="56"/>
        <v>45000</v>
      </c>
      <c r="O96" s="203">
        <f t="shared" si="57"/>
        <v>45000</v>
      </c>
      <c r="P96" s="203">
        <f t="shared" si="58"/>
        <v>45000</v>
      </c>
      <c r="Q96" s="214"/>
      <c r="R96" s="219">
        <v>46264</v>
      </c>
      <c r="S96" s="217">
        <v>46203</v>
      </c>
      <c r="T96" s="205"/>
      <c r="U96" s="205"/>
      <c r="V96" s="215"/>
      <c r="W96" s="212" t="s">
        <v>543</v>
      </c>
      <c r="X96" s="10">
        <v>7</v>
      </c>
      <c r="Y96" s="10">
        <v>7</v>
      </c>
      <c r="Z96" s="213">
        <f t="shared" si="59"/>
        <v>45000</v>
      </c>
      <c r="AA96" s="62"/>
      <c r="AB96" s="62"/>
      <c r="AC96" s="62"/>
      <c r="AD96" s="62"/>
      <c r="AE96" s="62"/>
      <c r="AF96" s="63"/>
      <c r="AG96" s="64"/>
      <c r="AH96" s="6">
        <v>1</v>
      </c>
      <c r="AI96">
        <f t="shared" si="60"/>
        <v>25</v>
      </c>
      <c r="AJ96">
        <f t="shared" si="61"/>
        <v>25</v>
      </c>
      <c r="AK96">
        <f t="shared" si="62"/>
        <v>0</v>
      </c>
      <c r="AL96">
        <f t="shared" si="63"/>
        <v>0</v>
      </c>
      <c r="AM96">
        <f t="shared" si="64"/>
        <v>0</v>
      </c>
      <c r="AN96">
        <f t="shared" si="65"/>
        <v>0</v>
      </c>
      <c r="AO96">
        <f t="shared" si="66"/>
        <v>0</v>
      </c>
      <c r="AP96">
        <f t="shared" si="67"/>
        <v>0</v>
      </c>
      <c r="AQ96">
        <f t="shared" si="68"/>
        <v>0</v>
      </c>
      <c r="AR96">
        <f t="shared" si="69"/>
        <v>0</v>
      </c>
      <c r="AS96">
        <f t="shared" si="70"/>
        <v>0</v>
      </c>
      <c r="AT96">
        <f t="shared" si="71"/>
        <v>0</v>
      </c>
      <c r="AU96">
        <f t="shared" si="72"/>
        <v>1</v>
      </c>
      <c r="AV96">
        <f t="shared" si="73"/>
        <v>1</v>
      </c>
      <c r="AW96">
        <f t="shared" si="74"/>
        <v>1</v>
      </c>
      <c r="AX96">
        <f t="shared" si="75"/>
        <v>1</v>
      </c>
      <c r="AY96">
        <f t="shared" si="76"/>
        <v>45000</v>
      </c>
      <c r="AZ96">
        <f t="shared" si="77"/>
        <v>45000</v>
      </c>
      <c r="BA96">
        <f t="shared" si="78"/>
        <v>0</v>
      </c>
      <c r="BB96">
        <f t="shared" si="79"/>
        <v>0</v>
      </c>
      <c r="BC96">
        <f t="shared" si="80"/>
        <v>0</v>
      </c>
      <c r="BD96">
        <f t="shared" si="81"/>
        <v>0</v>
      </c>
      <c r="BE96">
        <f t="shared" si="82"/>
        <v>0</v>
      </c>
      <c r="BF96">
        <f t="shared" si="83"/>
        <v>0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s="201" customFormat="1" ht="14.25" x14ac:dyDescent="0.2">
      <c r="A97" s="10">
        <v>3182</v>
      </c>
      <c r="B97" s="11" t="s">
        <v>441</v>
      </c>
      <c r="C97" s="105" t="s">
        <v>442</v>
      </c>
      <c r="D97" s="11" t="s">
        <v>217</v>
      </c>
      <c r="E97" s="12">
        <v>11970</v>
      </c>
      <c r="F97" s="202">
        <v>34</v>
      </c>
      <c r="G97" s="11">
        <v>80000</v>
      </c>
      <c r="H97" s="116">
        <v>0</v>
      </c>
      <c r="I97" s="192"/>
      <c r="J97" s="204"/>
      <c r="K97" s="193"/>
      <c r="L97" s="193"/>
      <c r="M97" s="193">
        <v>80000</v>
      </c>
      <c r="N97" s="203">
        <f t="shared" si="56"/>
        <v>0</v>
      </c>
      <c r="O97" s="203">
        <f t="shared" si="57"/>
        <v>0</v>
      </c>
      <c r="P97" s="203">
        <f t="shared" si="58"/>
        <v>80000</v>
      </c>
      <c r="Q97" s="214">
        <v>46248</v>
      </c>
      <c r="R97" s="219">
        <v>46248</v>
      </c>
      <c r="S97" s="217">
        <v>46213</v>
      </c>
      <c r="T97" s="205"/>
      <c r="U97" s="205"/>
      <c r="V97" s="215" t="s">
        <v>521</v>
      </c>
      <c r="W97" s="212"/>
      <c r="X97" s="10">
        <v>7</v>
      </c>
      <c r="Y97" s="10">
        <v>7</v>
      </c>
      <c r="Z97" s="213">
        <f t="shared" si="59"/>
        <v>0</v>
      </c>
      <c r="AA97" s="62"/>
      <c r="AB97" s="62"/>
      <c r="AC97" s="62"/>
      <c r="AD97" s="62"/>
      <c r="AE97" s="62"/>
      <c r="AF97" s="63"/>
      <c r="AG97" s="64"/>
      <c r="AH97" s="6">
        <v>1</v>
      </c>
      <c r="AI97">
        <f t="shared" si="60"/>
        <v>25</v>
      </c>
      <c r="AJ97">
        <f t="shared" si="61"/>
        <v>15</v>
      </c>
      <c r="AK97">
        <f t="shared" si="62"/>
        <v>0</v>
      </c>
      <c r="AL97">
        <f t="shared" si="63"/>
        <v>0</v>
      </c>
      <c r="AM97">
        <f t="shared" si="64"/>
        <v>0</v>
      </c>
      <c r="AN97">
        <f t="shared" si="65"/>
        <v>0</v>
      </c>
      <c r="AO97">
        <f t="shared" si="66"/>
        <v>0</v>
      </c>
      <c r="AP97">
        <f t="shared" si="67"/>
        <v>0</v>
      </c>
      <c r="AQ97">
        <f t="shared" si="68"/>
        <v>0</v>
      </c>
      <c r="AR97">
        <f t="shared" si="69"/>
        <v>0</v>
      </c>
      <c r="AS97">
        <f t="shared" si="70"/>
        <v>1</v>
      </c>
      <c r="AT97">
        <f t="shared" si="71"/>
        <v>1</v>
      </c>
      <c r="AU97">
        <f t="shared" si="72"/>
        <v>0</v>
      </c>
      <c r="AV97">
        <f t="shared" si="73"/>
        <v>0</v>
      </c>
      <c r="AW97">
        <f t="shared" si="74"/>
        <v>0</v>
      </c>
      <c r="AX97">
        <f t="shared" si="75"/>
        <v>0</v>
      </c>
      <c r="AY97">
        <f t="shared" si="76"/>
        <v>0</v>
      </c>
      <c r="AZ97">
        <f t="shared" si="77"/>
        <v>0</v>
      </c>
      <c r="BA97">
        <f t="shared" si="78"/>
        <v>0</v>
      </c>
      <c r="BB97">
        <f t="shared" si="79"/>
        <v>0</v>
      </c>
      <c r="BC97">
        <f t="shared" si="80"/>
        <v>0</v>
      </c>
      <c r="BD97">
        <f t="shared" si="81"/>
        <v>0</v>
      </c>
      <c r="BE97">
        <f t="shared" si="82"/>
        <v>0</v>
      </c>
      <c r="BF97">
        <f t="shared" si="83"/>
        <v>0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s="201" customFormat="1" ht="14.25" x14ac:dyDescent="0.2">
      <c r="A98" s="10">
        <v>3184</v>
      </c>
      <c r="B98" s="11" t="s">
        <v>257</v>
      </c>
      <c r="C98" s="105">
        <v>2645439804</v>
      </c>
      <c r="D98" s="11" t="s">
        <v>144</v>
      </c>
      <c r="E98" s="12">
        <v>11981</v>
      </c>
      <c r="F98" s="202">
        <v>34</v>
      </c>
      <c r="G98" s="11">
        <v>30000</v>
      </c>
      <c r="H98" s="116">
        <v>0</v>
      </c>
      <c r="I98" s="192"/>
      <c r="J98" s="204"/>
      <c r="K98" s="193"/>
      <c r="L98" s="193"/>
      <c r="M98" s="193">
        <v>30000</v>
      </c>
      <c r="N98" s="203">
        <f t="shared" si="56"/>
        <v>0</v>
      </c>
      <c r="O98" s="203">
        <f t="shared" si="57"/>
        <v>0</v>
      </c>
      <c r="P98" s="203">
        <f t="shared" si="58"/>
        <v>30000</v>
      </c>
      <c r="Q98" s="214">
        <v>46235</v>
      </c>
      <c r="R98" s="219">
        <v>46235</v>
      </c>
      <c r="S98" s="217">
        <v>46204</v>
      </c>
      <c r="T98" s="205"/>
      <c r="U98" s="205"/>
      <c r="V98" s="215" t="s">
        <v>521</v>
      </c>
      <c r="W98" s="212"/>
      <c r="X98" s="10">
        <v>7</v>
      </c>
      <c r="Y98" s="10">
        <v>7</v>
      </c>
      <c r="Z98" s="213">
        <f t="shared" si="59"/>
        <v>0</v>
      </c>
      <c r="AA98" s="62"/>
      <c r="AB98" s="62"/>
      <c r="AC98" s="62"/>
      <c r="AD98" s="62"/>
      <c r="AE98" s="62"/>
      <c r="AF98" s="63"/>
      <c r="AG98" s="64"/>
      <c r="AH98" s="6">
        <v>1</v>
      </c>
      <c r="AI98">
        <f t="shared" si="60"/>
        <v>25</v>
      </c>
      <c r="AJ98">
        <f t="shared" si="61"/>
        <v>15</v>
      </c>
      <c r="AK98">
        <f t="shared" si="62"/>
        <v>0</v>
      </c>
      <c r="AL98">
        <f t="shared" si="63"/>
        <v>0</v>
      </c>
      <c r="AM98">
        <f t="shared" si="64"/>
        <v>0</v>
      </c>
      <c r="AN98">
        <f t="shared" si="65"/>
        <v>0</v>
      </c>
      <c r="AO98">
        <f t="shared" si="66"/>
        <v>0</v>
      </c>
      <c r="AP98">
        <f t="shared" si="67"/>
        <v>0</v>
      </c>
      <c r="AQ98">
        <f t="shared" si="68"/>
        <v>0</v>
      </c>
      <c r="AR98">
        <f t="shared" si="69"/>
        <v>0</v>
      </c>
      <c r="AS98">
        <f t="shared" si="70"/>
        <v>1</v>
      </c>
      <c r="AT98">
        <f t="shared" si="71"/>
        <v>1</v>
      </c>
      <c r="AU98">
        <f t="shared" si="72"/>
        <v>0</v>
      </c>
      <c r="AV98">
        <f t="shared" si="73"/>
        <v>0</v>
      </c>
      <c r="AW98">
        <f t="shared" si="74"/>
        <v>0</v>
      </c>
      <c r="AX98">
        <f t="shared" si="75"/>
        <v>0</v>
      </c>
      <c r="AY98">
        <f t="shared" si="76"/>
        <v>0</v>
      </c>
      <c r="AZ98">
        <f t="shared" si="77"/>
        <v>0</v>
      </c>
      <c r="BA98">
        <f t="shared" si="78"/>
        <v>0</v>
      </c>
      <c r="BB98">
        <f t="shared" si="79"/>
        <v>0</v>
      </c>
      <c r="BC98">
        <f t="shared" si="80"/>
        <v>0</v>
      </c>
      <c r="BD98">
        <f t="shared" si="81"/>
        <v>0</v>
      </c>
      <c r="BE98">
        <f t="shared" si="82"/>
        <v>0</v>
      </c>
      <c r="BF98">
        <f t="shared" si="83"/>
        <v>0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s="201" customFormat="1" ht="14.25" x14ac:dyDescent="0.2">
      <c r="A99" s="10">
        <v>3186</v>
      </c>
      <c r="B99" s="11" t="s">
        <v>283</v>
      </c>
      <c r="C99" s="105" t="s">
        <v>284</v>
      </c>
      <c r="D99" s="11" t="s">
        <v>157</v>
      </c>
      <c r="E99" s="12">
        <v>11983</v>
      </c>
      <c r="F99" s="202">
        <v>34</v>
      </c>
      <c r="G99" s="11">
        <v>70000</v>
      </c>
      <c r="H99" s="116">
        <v>0</v>
      </c>
      <c r="I99" s="192"/>
      <c r="J99" s="204"/>
      <c r="K99" s="193"/>
      <c r="L99" s="193"/>
      <c r="M99" s="193">
        <v>70000</v>
      </c>
      <c r="N99" s="203">
        <f t="shared" si="56"/>
        <v>0</v>
      </c>
      <c r="O99" s="203">
        <f t="shared" si="57"/>
        <v>0</v>
      </c>
      <c r="P99" s="203">
        <f t="shared" si="58"/>
        <v>70000</v>
      </c>
      <c r="Q99" s="214">
        <v>46263</v>
      </c>
      <c r="R99" s="219">
        <v>46265</v>
      </c>
      <c r="S99" s="217">
        <v>46234</v>
      </c>
      <c r="T99" s="205"/>
      <c r="U99" s="205"/>
      <c r="V99" s="215" t="s">
        <v>521</v>
      </c>
      <c r="W99" s="212"/>
      <c r="X99" s="10">
        <v>7</v>
      </c>
      <c r="Y99" s="10">
        <v>7</v>
      </c>
      <c r="Z99" s="213">
        <f t="shared" si="59"/>
        <v>0</v>
      </c>
      <c r="AA99" s="62"/>
      <c r="AB99" s="62"/>
      <c r="AC99" s="62"/>
      <c r="AD99" s="62"/>
      <c r="AE99" s="62"/>
      <c r="AF99" s="63"/>
      <c r="AG99" s="64"/>
      <c r="AH99" s="6">
        <v>1</v>
      </c>
      <c r="AI99">
        <f t="shared" si="60"/>
        <v>25</v>
      </c>
      <c r="AJ99">
        <f t="shared" si="61"/>
        <v>15</v>
      </c>
      <c r="AK99">
        <f t="shared" si="62"/>
        <v>0</v>
      </c>
      <c r="AL99">
        <f t="shared" si="63"/>
        <v>0</v>
      </c>
      <c r="AM99">
        <f t="shared" si="64"/>
        <v>0</v>
      </c>
      <c r="AN99">
        <f t="shared" si="65"/>
        <v>0</v>
      </c>
      <c r="AO99">
        <f t="shared" si="66"/>
        <v>0</v>
      </c>
      <c r="AP99">
        <f t="shared" si="67"/>
        <v>0</v>
      </c>
      <c r="AQ99">
        <f t="shared" si="68"/>
        <v>0</v>
      </c>
      <c r="AR99">
        <f t="shared" si="69"/>
        <v>0</v>
      </c>
      <c r="AS99">
        <f t="shared" si="70"/>
        <v>1</v>
      </c>
      <c r="AT99">
        <f t="shared" si="71"/>
        <v>1</v>
      </c>
      <c r="AU99">
        <f t="shared" si="72"/>
        <v>0</v>
      </c>
      <c r="AV99">
        <f t="shared" si="73"/>
        <v>0</v>
      </c>
      <c r="AW99">
        <f t="shared" si="74"/>
        <v>0</v>
      </c>
      <c r="AX99">
        <f t="shared" si="75"/>
        <v>0</v>
      </c>
      <c r="AY99">
        <f t="shared" si="76"/>
        <v>0</v>
      </c>
      <c r="AZ99">
        <f t="shared" si="77"/>
        <v>0</v>
      </c>
      <c r="BA99">
        <f t="shared" si="78"/>
        <v>0</v>
      </c>
      <c r="BB99">
        <f t="shared" si="79"/>
        <v>0</v>
      </c>
      <c r="BC99">
        <f t="shared" si="80"/>
        <v>0</v>
      </c>
      <c r="BD99">
        <f t="shared" si="81"/>
        <v>0</v>
      </c>
      <c r="BE99">
        <f t="shared" si="82"/>
        <v>0</v>
      </c>
      <c r="BF99">
        <f t="shared" si="83"/>
        <v>0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s="201" customFormat="1" ht="14.25" x14ac:dyDescent="0.2">
      <c r="A100" s="10">
        <v>3200</v>
      </c>
      <c r="B100" s="11" t="s">
        <v>443</v>
      </c>
      <c r="C100" s="105" t="s">
        <v>444</v>
      </c>
      <c r="D100" s="11" t="s">
        <v>105</v>
      </c>
      <c r="E100" s="12">
        <v>11990</v>
      </c>
      <c r="F100" s="202">
        <v>33</v>
      </c>
      <c r="G100" s="11">
        <v>60000</v>
      </c>
      <c r="H100" s="116">
        <v>0</v>
      </c>
      <c r="I100" s="192"/>
      <c r="J100" s="204"/>
      <c r="K100" s="193"/>
      <c r="L100" s="193"/>
      <c r="M100" s="193">
        <v>60000</v>
      </c>
      <c r="N100" s="203">
        <f t="shared" ref="N100:N131" si="84">IF(H100&gt;0,G100+H100-I100-J100-K100-L100-M100,G100-I100-J100-K100-L100-M100)</f>
        <v>0</v>
      </c>
      <c r="O100" s="203">
        <f t="shared" ref="O100:O131" si="85">G100+H100-J100-I100-K100-L100-M100</f>
        <v>0</v>
      </c>
      <c r="P100" s="203">
        <f t="shared" ref="P100:P131" si="86">IF(G100+H100&lt;0,0,G100+H100)</f>
        <v>60000</v>
      </c>
      <c r="Q100" s="214">
        <v>46245</v>
      </c>
      <c r="R100" s="219">
        <v>46245</v>
      </c>
      <c r="S100" s="217">
        <v>46205</v>
      </c>
      <c r="T100" s="205"/>
      <c r="U100" s="205"/>
      <c r="V100" s="215" t="s">
        <v>262</v>
      </c>
      <c r="W100" s="212"/>
      <c r="X100" s="10">
        <v>7</v>
      </c>
      <c r="Y100" s="10">
        <v>7</v>
      </c>
      <c r="Z100" s="213">
        <f t="shared" ref="Z100:Z131" si="87">IF(N100&lt;0,0,N100)</f>
        <v>0</v>
      </c>
      <c r="AA100" s="62"/>
      <c r="AB100" s="62"/>
      <c r="AC100" s="62"/>
      <c r="AD100" s="62"/>
      <c r="AE100" s="62"/>
      <c r="AF100" s="63"/>
      <c r="AG100" s="64"/>
      <c r="AH100" s="6">
        <v>1</v>
      </c>
      <c r="AI100">
        <f t="shared" ref="AI100:AI131" si="88">IF(F100&lt;=6,15,25)</f>
        <v>25</v>
      </c>
      <c r="AJ100">
        <f t="shared" ref="AJ100:AJ131" si="89">IF(O100&lt;&gt;0,25,15)</f>
        <v>15</v>
      </c>
      <c r="AK100">
        <f t="shared" ref="AK100:AK131" si="90">IF(AI100-T100=24,1,0)</f>
        <v>0</v>
      </c>
      <c r="AL100">
        <f t="shared" ref="AL100:AL131" si="91">IF(AH100-AK100=AH100,0,AH100)</f>
        <v>0</v>
      </c>
      <c r="AM100">
        <f t="shared" ref="AM100:AM131" si="92">IF(AK100&lt;&gt;0,U100,0)</f>
        <v>0</v>
      </c>
      <c r="AN100">
        <f t="shared" ref="AN100:AN131" si="93">IF(AK100=1,O100,0)</f>
        <v>0</v>
      </c>
      <c r="AO100">
        <f t="shared" ref="AO100:AO131" si="94">IF(AI100-T100=14,1,0)</f>
        <v>0</v>
      </c>
      <c r="AP100">
        <f t="shared" ref="AP100:AP131" si="95">IF(AH100-AO100=AH100,0,AH100)</f>
        <v>0</v>
      </c>
      <c r="AQ100">
        <f t="shared" ref="AQ100:AQ131" si="96">IF(AO100&lt;&gt;0,U100,0)</f>
        <v>0</v>
      </c>
      <c r="AR100">
        <f t="shared" ref="AR100:AR131" si="97">IF(AO100=1,O100,0)</f>
        <v>0</v>
      </c>
      <c r="AS100">
        <f t="shared" ref="AS100:AS131" si="98">IF(SUM(I100:M100)&lt;&gt;0,1,0)</f>
        <v>1</v>
      </c>
      <c r="AT100">
        <f t="shared" ref="AT100:AT131" si="99">AS100</f>
        <v>1</v>
      </c>
      <c r="AU100">
        <f t="shared" ref="AU100:AU131" si="100">IF(O100&gt;0,1,0)</f>
        <v>0</v>
      </c>
      <c r="AV100">
        <f t="shared" ref="AV100:AV131" si="101">IF(AK100+AO100+AU100=1,AU100,0)</f>
        <v>0</v>
      </c>
      <c r="AW100">
        <f t="shared" ref="AW100:AW131" si="102">IF(AI100-AV100=24,1,0)</f>
        <v>0</v>
      </c>
      <c r="AX100">
        <f t="shared" ref="AX100:AX131" si="103">IF(AH100-AW100=AH100,0,AH100)</f>
        <v>0</v>
      </c>
      <c r="AY100">
        <f t="shared" ref="AY100:AY131" si="104">IF(AW100=1,O100,0)</f>
        <v>0</v>
      </c>
      <c r="AZ100">
        <f t="shared" ref="AZ100:AZ131" si="105">IF(AY100-BA100&lt;&gt;0,AY100,0)</f>
        <v>0</v>
      </c>
      <c r="BA100">
        <f t="shared" ref="BA100:BA131" si="106">IF(AY100&lt;0,AY100,0)</f>
        <v>0</v>
      </c>
      <c r="BB100">
        <f t="shared" ref="BB100:BB131" si="107">IF(AI100-AV100=14,1,0)</f>
        <v>0</v>
      </c>
      <c r="BC100">
        <f t="shared" ref="BC100:BC131" si="108">IF(AH100-BB100=AH100,0,AH100)</f>
        <v>0</v>
      </c>
      <c r="BD100">
        <f t="shared" ref="BD100:BD131" si="109">IF(BB100=1,O100,0)</f>
        <v>0</v>
      </c>
      <c r="BE100">
        <f t="shared" ref="BE100:BE131" si="110">IF(BD100&lt;0,BD100,0)</f>
        <v>0</v>
      </c>
      <c r="BF100">
        <f t="shared" ref="BF100:BF131" si="111">IF(BD100-BE100&lt;&gt;0,BD100,0)</f>
        <v>0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s="201" customFormat="1" ht="14.25" x14ac:dyDescent="0.2">
      <c r="A101" s="10">
        <v>3203</v>
      </c>
      <c r="B101" s="11" t="s">
        <v>445</v>
      </c>
      <c r="C101" s="105" t="s">
        <v>446</v>
      </c>
      <c r="D101" s="11" t="s">
        <v>144</v>
      </c>
      <c r="E101" s="12">
        <v>20032</v>
      </c>
      <c r="F101" s="202">
        <v>33</v>
      </c>
      <c r="G101" s="11">
        <v>80000</v>
      </c>
      <c r="H101" s="116">
        <v>0</v>
      </c>
      <c r="I101" s="192"/>
      <c r="J101" s="204"/>
      <c r="K101" s="193"/>
      <c r="L101" s="193"/>
      <c r="M101" s="193">
        <v>80000</v>
      </c>
      <c r="N101" s="203">
        <f t="shared" si="84"/>
        <v>0</v>
      </c>
      <c r="O101" s="203">
        <f t="shared" si="85"/>
        <v>0</v>
      </c>
      <c r="P101" s="203">
        <f t="shared" si="86"/>
        <v>80000</v>
      </c>
      <c r="Q101" s="214">
        <v>46259</v>
      </c>
      <c r="R101" s="219">
        <v>46261</v>
      </c>
      <c r="S101" s="217">
        <v>46230</v>
      </c>
      <c r="T101" s="205"/>
      <c r="U101" s="205"/>
      <c r="V101" s="215" t="s">
        <v>521</v>
      </c>
      <c r="W101" s="212"/>
      <c r="X101" s="10">
        <v>7</v>
      </c>
      <c r="Y101" s="10">
        <v>7</v>
      </c>
      <c r="Z101" s="213">
        <f t="shared" si="87"/>
        <v>0</v>
      </c>
      <c r="AA101" s="62"/>
      <c r="AB101" s="62"/>
      <c r="AC101" s="62"/>
      <c r="AD101" s="62"/>
      <c r="AE101" s="62"/>
      <c r="AF101" s="63"/>
      <c r="AG101" s="64"/>
      <c r="AH101" s="6">
        <v>1</v>
      </c>
      <c r="AI101">
        <f t="shared" si="88"/>
        <v>25</v>
      </c>
      <c r="AJ101">
        <f t="shared" si="89"/>
        <v>15</v>
      </c>
      <c r="AK101">
        <f t="shared" si="90"/>
        <v>0</v>
      </c>
      <c r="AL101">
        <f t="shared" si="91"/>
        <v>0</v>
      </c>
      <c r="AM101">
        <f t="shared" si="92"/>
        <v>0</v>
      </c>
      <c r="AN101">
        <f t="shared" si="93"/>
        <v>0</v>
      </c>
      <c r="AO101">
        <f t="shared" si="94"/>
        <v>0</v>
      </c>
      <c r="AP101">
        <f t="shared" si="95"/>
        <v>0</v>
      </c>
      <c r="AQ101">
        <f t="shared" si="96"/>
        <v>0</v>
      </c>
      <c r="AR101">
        <f t="shared" si="97"/>
        <v>0</v>
      </c>
      <c r="AS101">
        <f t="shared" si="98"/>
        <v>1</v>
      </c>
      <c r="AT101">
        <f t="shared" si="99"/>
        <v>1</v>
      </c>
      <c r="AU101">
        <f t="shared" si="100"/>
        <v>0</v>
      </c>
      <c r="AV101">
        <f t="shared" si="101"/>
        <v>0</v>
      </c>
      <c r="AW101">
        <f t="shared" si="102"/>
        <v>0</v>
      </c>
      <c r="AX101">
        <f t="shared" si="103"/>
        <v>0</v>
      </c>
      <c r="AY101">
        <f t="shared" si="104"/>
        <v>0</v>
      </c>
      <c r="AZ101">
        <f t="shared" si="105"/>
        <v>0</v>
      </c>
      <c r="BA101">
        <f t="shared" si="106"/>
        <v>0</v>
      </c>
      <c r="BB101">
        <f t="shared" si="107"/>
        <v>0</v>
      </c>
      <c r="BC101">
        <f t="shared" si="108"/>
        <v>0</v>
      </c>
      <c r="BD101">
        <f t="shared" si="109"/>
        <v>0</v>
      </c>
      <c r="BE101">
        <f t="shared" si="110"/>
        <v>0</v>
      </c>
      <c r="BF101">
        <f t="shared" si="111"/>
        <v>0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s="201" customFormat="1" ht="14.25" x14ac:dyDescent="0.2">
      <c r="A102" s="10">
        <v>3211</v>
      </c>
      <c r="B102" s="11" t="s">
        <v>447</v>
      </c>
      <c r="C102" s="105" t="s">
        <v>448</v>
      </c>
      <c r="D102" s="11" t="s">
        <v>157</v>
      </c>
      <c r="E102" s="12">
        <v>20274</v>
      </c>
      <c r="F102" s="202">
        <v>33</v>
      </c>
      <c r="G102" s="11">
        <v>60000</v>
      </c>
      <c r="H102" s="116">
        <v>0</v>
      </c>
      <c r="I102" s="192"/>
      <c r="J102" s="204"/>
      <c r="K102" s="193"/>
      <c r="L102" s="193"/>
      <c r="M102" s="193">
        <v>60000</v>
      </c>
      <c r="N102" s="203">
        <f t="shared" si="84"/>
        <v>0</v>
      </c>
      <c r="O102" s="203">
        <f t="shared" si="85"/>
        <v>0</v>
      </c>
      <c r="P102" s="203">
        <f t="shared" si="86"/>
        <v>60000</v>
      </c>
      <c r="Q102" s="214">
        <v>46244</v>
      </c>
      <c r="R102" s="219">
        <v>46244</v>
      </c>
      <c r="S102" s="217">
        <v>46213</v>
      </c>
      <c r="T102" s="205"/>
      <c r="U102" s="205"/>
      <c r="V102" s="215" t="s">
        <v>521</v>
      </c>
      <c r="W102" s="212"/>
      <c r="X102" s="10">
        <v>7</v>
      </c>
      <c r="Y102" s="10">
        <v>7</v>
      </c>
      <c r="Z102" s="213">
        <f t="shared" si="87"/>
        <v>0</v>
      </c>
      <c r="AA102" s="62"/>
      <c r="AB102" s="62"/>
      <c r="AC102" s="62"/>
      <c r="AD102" s="62"/>
      <c r="AE102" s="62"/>
      <c r="AF102" s="63"/>
      <c r="AG102" s="64"/>
      <c r="AH102" s="6">
        <v>1</v>
      </c>
      <c r="AI102">
        <f t="shared" si="88"/>
        <v>25</v>
      </c>
      <c r="AJ102">
        <f t="shared" si="89"/>
        <v>15</v>
      </c>
      <c r="AK102">
        <f t="shared" si="90"/>
        <v>0</v>
      </c>
      <c r="AL102">
        <f t="shared" si="91"/>
        <v>0</v>
      </c>
      <c r="AM102">
        <f t="shared" si="92"/>
        <v>0</v>
      </c>
      <c r="AN102">
        <f t="shared" si="93"/>
        <v>0</v>
      </c>
      <c r="AO102">
        <f t="shared" si="94"/>
        <v>0</v>
      </c>
      <c r="AP102">
        <f t="shared" si="95"/>
        <v>0</v>
      </c>
      <c r="AQ102">
        <f t="shared" si="96"/>
        <v>0</v>
      </c>
      <c r="AR102">
        <f t="shared" si="97"/>
        <v>0</v>
      </c>
      <c r="AS102">
        <f t="shared" si="98"/>
        <v>1</v>
      </c>
      <c r="AT102">
        <f t="shared" si="99"/>
        <v>1</v>
      </c>
      <c r="AU102">
        <f t="shared" si="100"/>
        <v>0</v>
      </c>
      <c r="AV102">
        <f t="shared" si="101"/>
        <v>0</v>
      </c>
      <c r="AW102">
        <f t="shared" si="102"/>
        <v>0</v>
      </c>
      <c r="AX102">
        <f t="shared" si="103"/>
        <v>0</v>
      </c>
      <c r="AY102">
        <f t="shared" si="104"/>
        <v>0</v>
      </c>
      <c r="AZ102">
        <f t="shared" si="105"/>
        <v>0</v>
      </c>
      <c r="BA102">
        <f t="shared" si="106"/>
        <v>0</v>
      </c>
      <c r="BB102">
        <f t="shared" si="107"/>
        <v>0</v>
      </c>
      <c r="BC102">
        <f t="shared" si="108"/>
        <v>0</v>
      </c>
      <c r="BD102">
        <f t="shared" si="109"/>
        <v>0</v>
      </c>
      <c r="BE102">
        <f t="shared" si="110"/>
        <v>0</v>
      </c>
      <c r="BF102">
        <f t="shared" si="111"/>
        <v>0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s="201" customFormat="1" ht="14.25" x14ac:dyDescent="0.2">
      <c r="A103" s="10">
        <v>3223</v>
      </c>
      <c r="B103" s="11" t="s">
        <v>253</v>
      </c>
      <c r="C103" s="105" t="s">
        <v>254</v>
      </c>
      <c r="D103" s="11" t="s">
        <v>105</v>
      </c>
      <c r="E103" s="12">
        <v>268</v>
      </c>
      <c r="F103" s="202">
        <v>32</v>
      </c>
      <c r="G103" s="11">
        <v>40000</v>
      </c>
      <c r="H103" s="116">
        <v>-20000</v>
      </c>
      <c r="I103" s="192"/>
      <c r="J103" s="204"/>
      <c r="K103" s="193"/>
      <c r="L103" s="193"/>
      <c r="M103" s="193">
        <v>40000</v>
      </c>
      <c r="N103" s="203">
        <f t="shared" si="84"/>
        <v>0</v>
      </c>
      <c r="O103" s="203">
        <f t="shared" si="85"/>
        <v>-20000</v>
      </c>
      <c r="P103" s="203">
        <f t="shared" si="86"/>
        <v>20000</v>
      </c>
      <c r="Q103" s="214">
        <v>46254</v>
      </c>
      <c r="R103" s="219">
        <v>46254</v>
      </c>
      <c r="S103" s="217">
        <v>46223</v>
      </c>
      <c r="T103" s="205"/>
      <c r="U103" s="205"/>
      <c r="V103" s="215" t="s">
        <v>521</v>
      </c>
      <c r="W103" s="212"/>
      <c r="X103" s="10">
        <v>7</v>
      </c>
      <c r="Y103" s="10">
        <v>7</v>
      </c>
      <c r="Z103" s="213">
        <f t="shared" si="87"/>
        <v>0</v>
      </c>
      <c r="AA103" s="62"/>
      <c r="AB103" s="62"/>
      <c r="AC103" s="62"/>
      <c r="AD103" s="62"/>
      <c r="AE103" s="62"/>
      <c r="AF103" s="63"/>
      <c r="AG103" s="64"/>
      <c r="AH103" s="6">
        <v>1</v>
      </c>
      <c r="AI103">
        <f t="shared" si="88"/>
        <v>25</v>
      </c>
      <c r="AJ103">
        <f t="shared" si="89"/>
        <v>25</v>
      </c>
      <c r="AK103">
        <f t="shared" si="90"/>
        <v>0</v>
      </c>
      <c r="AL103">
        <f t="shared" si="91"/>
        <v>0</v>
      </c>
      <c r="AM103">
        <f t="shared" si="92"/>
        <v>0</v>
      </c>
      <c r="AN103">
        <f t="shared" si="93"/>
        <v>0</v>
      </c>
      <c r="AO103">
        <f t="shared" si="94"/>
        <v>0</v>
      </c>
      <c r="AP103">
        <f t="shared" si="95"/>
        <v>0</v>
      </c>
      <c r="AQ103">
        <f t="shared" si="96"/>
        <v>0</v>
      </c>
      <c r="AR103">
        <f t="shared" si="97"/>
        <v>0</v>
      </c>
      <c r="AS103">
        <f t="shared" si="98"/>
        <v>1</v>
      </c>
      <c r="AT103">
        <f t="shared" si="99"/>
        <v>1</v>
      </c>
      <c r="AU103">
        <f t="shared" si="100"/>
        <v>0</v>
      </c>
      <c r="AV103">
        <f t="shared" si="101"/>
        <v>0</v>
      </c>
      <c r="AW103">
        <f t="shared" si="102"/>
        <v>0</v>
      </c>
      <c r="AX103">
        <f t="shared" si="103"/>
        <v>0</v>
      </c>
      <c r="AY103">
        <f t="shared" si="104"/>
        <v>0</v>
      </c>
      <c r="AZ103">
        <f t="shared" si="105"/>
        <v>0</v>
      </c>
      <c r="BA103">
        <f t="shared" si="106"/>
        <v>0</v>
      </c>
      <c r="BB103">
        <f t="shared" si="107"/>
        <v>0</v>
      </c>
      <c r="BC103">
        <f t="shared" si="108"/>
        <v>0</v>
      </c>
      <c r="BD103">
        <f t="shared" si="109"/>
        <v>0</v>
      </c>
      <c r="BE103">
        <f t="shared" si="110"/>
        <v>0</v>
      </c>
      <c r="BF103">
        <f t="shared" si="111"/>
        <v>0</v>
      </c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s="201" customFormat="1" ht="14.25" x14ac:dyDescent="0.2">
      <c r="A104" s="10">
        <v>3226</v>
      </c>
      <c r="B104" s="11" t="s">
        <v>449</v>
      </c>
      <c r="C104" s="105" t="s">
        <v>450</v>
      </c>
      <c r="D104" s="11" t="s">
        <v>105</v>
      </c>
      <c r="E104" s="12">
        <v>20062</v>
      </c>
      <c r="F104" s="202">
        <v>32</v>
      </c>
      <c r="G104" s="11">
        <v>200000</v>
      </c>
      <c r="H104" s="116">
        <v>-380005</v>
      </c>
      <c r="I104" s="192"/>
      <c r="J104" s="204"/>
      <c r="K104" s="193"/>
      <c r="L104" s="193"/>
      <c r="M104" s="193">
        <v>200000</v>
      </c>
      <c r="N104" s="203">
        <f t="shared" si="84"/>
        <v>0</v>
      </c>
      <c r="O104" s="203">
        <f t="shared" si="85"/>
        <v>-380005</v>
      </c>
      <c r="P104" s="203">
        <f t="shared" si="86"/>
        <v>0</v>
      </c>
      <c r="Q104" s="214">
        <v>46265</v>
      </c>
      <c r="R104" s="219">
        <v>46265</v>
      </c>
      <c r="S104" s="217">
        <v>46234</v>
      </c>
      <c r="T104" s="205"/>
      <c r="U104" s="205"/>
      <c r="V104" s="215" t="s">
        <v>521</v>
      </c>
      <c r="W104" s="212"/>
      <c r="X104" s="10">
        <v>7</v>
      </c>
      <c r="Y104" s="10">
        <v>7</v>
      </c>
      <c r="Z104" s="213">
        <f t="shared" si="87"/>
        <v>0</v>
      </c>
      <c r="AA104" s="62"/>
      <c r="AB104" s="62"/>
      <c r="AC104" s="62"/>
      <c r="AD104" s="62"/>
      <c r="AE104" s="62"/>
      <c r="AF104" s="63"/>
      <c r="AG104" s="64"/>
      <c r="AH104" s="6">
        <v>1</v>
      </c>
      <c r="AI104">
        <f t="shared" si="88"/>
        <v>25</v>
      </c>
      <c r="AJ104">
        <f t="shared" si="89"/>
        <v>25</v>
      </c>
      <c r="AK104">
        <f t="shared" si="90"/>
        <v>0</v>
      </c>
      <c r="AL104">
        <f t="shared" si="91"/>
        <v>0</v>
      </c>
      <c r="AM104">
        <f t="shared" si="92"/>
        <v>0</v>
      </c>
      <c r="AN104">
        <f t="shared" si="93"/>
        <v>0</v>
      </c>
      <c r="AO104">
        <f t="shared" si="94"/>
        <v>0</v>
      </c>
      <c r="AP104">
        <f t="shared" si="95"/>
        <v>0</v>
      </c>
      <c r="AQ104">
        <f t="shared" si="96"/>
        <v>0</v>
      </c>
      <c r="AR104">
        <f t="shared" si="97"/>
        <v>0</v>
      </c>
      <c r="AS104">
        <f t="shared" si="98"/>
        <v>1</v>
      </c>
      <c r="AT104">
        <f t="shared" si="99"/>
        <v>1</v>
      </c>
      <c r="AU104">
        <f t="shared" si="100"/>
        <v>0</v>
      </c>
      <c r="AV104">
        <f t="shared" si="101"/>
        <v>0</v>
      </c>
      <c r="AW104">
        <f t="shared" si="102"/>
        <v>0</v>
      </c>
      <c r="AX104">
        <f t="shared" si="103"/>
        <v>0</v>
      </c>
      <c r="AY104">
        <f t="shared" si="104"/>
        <v>0</v>
      </c>
      <c r="AZ104">
        <f t="shared" si="105"/>
        <v>0</v>
      </c>
      <c r="BA104">
        <f t="shared" si="106"/>
        <v>0</v>
      </c>
      <c r="BB104">
        <f t="shared" si="107"/>
        <v>0</v>
      </c>
      <c r="BC104">
        <f t="shared" si="108"/>
        <v>0</v>
      </c>
      <c r="BD104">
        <f t="shared" si="109"/>
        <v>0</v>
      </c>
      <c r="BE104">
        <f t="shared" si="110"/>
        <v>0</v>
      </c>
      <c r="BF104">
        <f t="shared" si="111"/>
        <v>0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s="201" customFormat="1" ht="14.25" x14ac:dyDescent="0.2">
      <c r="A105" s="10">
        <v>3249</v>
      </c>
      <c r="B105" s="11" t="s">
        <v>451</v>
      </c>
      <c r="C105" s="105" t="s">
        <v>452</v>
      </c>
      <c r="D105" s="11" t="s">
        <v>154</v>
      </c>
      <c r="E105" s="12">
        <v>20300</v>
      </c>
      <c r="F105" s="202">
        <v>32</v>
      </c>
      <c r="G105" s="11">
        <v>60000</v>
      </c>
      <c r="H105" s="116">
        <v>60000</v>
      </c>
      <c r="I105" s="192"/>
      <c r="J105" s="204"/>
      <c r="K105" s="193"/>
      <c r="L105" s="193"/>
      <c r="M105" s="193">
        <v>60000</v>
      </c>
      <c r="N105" s="203">
        <f t="shared" si="84"/>
        <v>60000</v>
      </c>
      <c r="O105" s="203">
        <f t="shared" si="85"/>
        <v>60000</v>
      </c>
      <c r="P105" s="203">
        <f t="shared" si="86"/>
        <v>120000</v>
      </c>
      <c r="Q105" s="214">
        <v>46245</v>
      </c>
      <c r="R105" s="219">
        <v>46245</v>
      </c>
      <c r="S105" s="217">
        <v>46211</v>
      </c>
      <c r="T105" s="205"/>
      <c r="U105" s="205"/>
      <c r="V105" s="215" t="s">
        <v>521</v>
      </c>
      <c r="W105" s="212"/>
      <c r="X105" s="10">
        <v>7</v>
      </c>
      <c r="Y105" s="10">
        <v>7</v>
      </c>
      <c r="Z105" s="213">
        <f t="shared" si="87"/>
        <v>60000</v>
      </c>
      <c r="AA105" s="62"/>
      <c r="AB105" s="62"/>
      <c r="AC105" s="62"/>
      <c r="AD105" s="62"/>
      <c r="AE105" s="62"/>
      <c r="AF105" s="63"/>
      <c r="AG105" s="64"/>
      <c r="AH105" s="6">
        <v>1</v>
      </c>
      <c r="AI105">
        <f t="shared" si="88"/>
        <v>25</v>
      </c>
      <c r="AJ105">
        <f t="shared" si="89"/>
        <v>25</v>
      </c>
      <c r="AK105">
        <f t="shared" si="90"/>
        <v>0</v>
      </c>
      <c r="AL105">
        <f t="shared" si="91"/>
        <v>0</v>
      </c>
      <c r="AM105">
        <f t="shared" si="92"/>
        <v>0</v>
      </c>
      <c r="AN105">
        <f t="shared" si="93"/>
        <v>0</v>
      </c>
      <c r="AO105">
        <f t="shared" si="94"/>
        <v>0</v>
      </c>
      <c r="AP105">
        <f t="shared" si="95"/>
        <v>0</v>
      </c>
      <c r="AQ105">
        <f t="shared" si="96"/>
        <v>0</v>
      </c>
      <c r="AR105">
        <f t="shared" si="97"/>
        <v>0</v>
      </c>
      <c r="AS105">
        <f t="shared" si="98"/>
        <v>1</v>
      </c>
      <c r="AT105">
        <f t="shared" si="99"/>
        <v>1</v>
      </c>
      <c r="AU105">
        <f t="shared" si="100"/>
        <v>1</v>
      </c>
      <c r="AV105">
        <f t="shared" si="101"/>
        <v>1</v>
      </c>
      <c r="AW105">
        <f t="shared" si="102"/>
        <v>1</v>
      </c>
      <c r="AX105">
        <f t="shared" si="103"/>
        <v>1</v>
      </c>
      <c r="AY105">
        <f t="shared" si="104"/>
        <v>60000</v>
      </c>
      <c r="AZ105">
        <f t="shared" si="105"/>
        <v>60000</v>
      </c>
      <c r="BA105">
        <f t="shared" si="106"/>
        <v>0</v>
      </c>
      <c r="BB105">
        <f t="shared" si="107"/>
        <v>0</v>
      </c>
      <c r="BC105">
        <f t="shared" si="108"/>
        <v>0</v>
      </c>
      <c r="BD105">
        <f t="shared" si="109"/>
        <v>0</v>
      </c>
      <c r="BE105">
        <f t="shared" si="110"/>
        <v>0</v>
      </c>
      <c r="BF105">
        <f t="shared" si="111"/>
        <v>0</v>
      </c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s="201" customFormat="1" ht="14.25" x14ac:dyDescent="0.2">
      <c r="A106" s="10">
        <v>3250</v>
      </c>
      <c r="B106" s="11" t="s">
        <v>453</v>
      </c>
      <c r="C106" s="105" t="s">
        <v>454</v>
      </c>
      <c r="D106" s="11" t="s">
        <v>154</v>
      </c>
      <c r="E106" s="12">
        <v>20073</v>
      </c>
      <c r="F106" s="202">
        <v>31</v>
      </c>
      <c r="G106" s="11">
        <v>99999.99</v>
      </c>
      <c r="H106" s="116">
        <v>-0.22000000000000003</v>
      </c>
      <c r="I106" s="192"/>
      <c r="J106" s="204"/>
      <c r="K106" s="193"/>
      <c r="L106" s="193"/>
      <c r="M106" s="193">
        <v>100000</v>
      </c>
      <c r="N106" s="203">
        <f t="shared" si="84"/>
        <v>-9.9999999947613105E-3</v>
      </c>
      <c r="O106" s="203">
        <f t="shared" si="85"/>
        <v>-0.22999999999592546</v>
      </c>
      <c r="P106" s="203">
        <f t="shared" si="86"/>
        <v>99999.77</v>
      </c>
      <c r="Q106" s="214">
        <v>46237</v>
      </c>
      <c r="R106" s="219">
        <v>46237</v>
      </c>
      <c r="S106" s="217">
        <v>46205</v>
      </c>
      <c r="T106" s="205"/>
      <c r="U106" s="205"/>
      <c r="V106" s="215" t="s">
        <v>521</v>
      </c>
      <c r="W106" s="212"/>
      <c r="X106" s="10">
        <v>7</v>
      </c>
      <c r="Y106" s="10">
        <v>7</v>
      </c>
      <c r="Z106" s="213">
        <f t="shared" si="87"/>
        <v>0</v>
      </c>
      <c r="AA106" s="62"/>
      <c r="AB106" s="62"/>
      <c r="AC106" s="62"/>
      <c r="AD106" s="62"/>
      <c r="AE106" s="62"/>
      <c r="AF106" s="63"/>
      <c r="AG106" s="64"/>
      <c r="AH106" s="6">
        <v>1</v>
      </c>
      <c r="AI106">
        <f t="shared" si="88"/>
        <v>25</v>
      </c>
      <c r="AJ106">
        <f t="shared" si="89"/>
        <v>25</v>
      </c>
      <c r="AK106">
        <f t="shared" si="90"/>
        <v>0</v>
      </c>
      <c r="AL106">
        <f t="shared" si="91"/>
        <v>0</v>
      </c>
      <c r="AM106">
        <f t="shared" si="92"/>
        <v>0</v>
      </c>
      <c r="AN106">
        <f t="shared" si="93"/>
        <v>0</v>
      </c>
      <c r="AO106">
        <f t="shared" si="94"/>
        <v>0</v>
      </c>
      <c r="AP106">
        <f t="shared" si="95"/>
        <v>0</v>
      </c>
      <c r="AQ106">
        <f t="shared" si="96"/>
        <v>0</v>
      </c>
      <c r="AR106">
        <f t="shared" si="97"/>
        <v>0</v>
      </c>
      <c r="AS106">
        <f t="shared" si="98"/>
        <v>1</v>
      </c>
      <c r="AT106">
        <f t="shared" si="99"/>
        <v>1</v>
      </c>
      <c r="AU106">
        <f t="shared" si="100"/>
        <v>0</v>
      </c>
      <c r="AV106">
        <f t="shared" si="101"/>
        <v>0</v>
      </c>
      <c r="AW106">
        <f t="shared" si="102"/>
        <v>0</v>
      </c>
      <c r="AX106">
        <f t="shared" si="103"/>
        <v>0</v>
      </c>
      <c r="AY106">
        <f t="shared" si="104"/>
        <v>0</v>
      </c>
      <c r="AZ106">
        <f t="shared" si="105"/>
        <v>0</v>
      </c>
      <c r="BA106">
        <f t="shared" si="106"/>
        <v>0</v>
      </c>
      <c r="BB106">
        <f t="shared" si="107"/>
        <v>0</v>
      </c>
      <c r="BC106">
        <f t="shared" si="108"/>
        <v>0</v>
      </c>
      <c r="BD106">
        <f t="shared" si="109"/>
        <v>0</v>
      </c>
      <c r="BE106">
        <f t="shared" si="110"/>
        <v>0</v>
      </c>
      <c r="BF106">
        <f t="shared" si="111"/>
        <v>0</v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s="201" customFormat="1" ht="14.25" x14ac:dyDescent="0.2">
      <c r="A107" s="10">
        <v>3251</v>
      </c>
      <c r="B107" s="11" t="s">
        <v>455</v>
      </c>
      <c r="C107" s="105" t="s">
        <v>456</v>
      </c>
      <c r="D107" s="11" t="s">
        <v>106</v>
      </c>
      <c r="E107" s="12">
        <v>20298</v>
      </c>
      <c r="F107" s="202">
        <v>31</v>
      </c>
      <c r="G107" s="11">
        <v>70000</v>
      </c>
      <c r="H107" s="116">
        <v>-4000</v>
      </c>
      <c r="I107" s="192"/>
      <c r="J107" s="204"/>
      <c r="K107" s="193"/>
      <c r="L107" s="193"/>
      <c r="M107" s="193">
        <v>70000</v>
      </c>
      <c r="N107" s="203">
        <f t="shared" si="84"/>
        <v>0</v>
      </c>
      <c r="O107" s="203">
        <f t="shared" si="85"/>
        <v>-4000</v>
      </c>
      <c r="P107" s="203">
        <f t="shared" si="86"/>
        <v>66000</v>
      </c>
      <c r="Q107" s="214">
        <v>46244</v>
      </c>
      <c r="R107" s="219">
        <v>46244</v>
      </c>
      <c r="S107" s="217">
        <v>46178</v>
      </c>
      <c r="T107" s="205"/>
      <c r="U107" s="205"/>
      <c r="V107" s="215" t="s">
        <v>521</v>
      </c>
      <c r="W107" s="212"/>
      <c r="X107" s="10">
        <v>7</v>
      </c>
      <c r="Y107" s="10">
        <v>7</v>
      </c>
      <c r="Z107" s="213">
        <f t="shared" si="87"/>
        <v>0</v>
      </c>
      <c r="AA107" s="62"/>
      <c r="AB107" s="62"/>
      <c r="AC107" s="62"/>
      <c r="AD107" s="62"/>
      <c r="AE107" s="62"/>
      <c r="AF107" s="63"/>
      <c r="AG107" s="64"/>
      <c r="AH107" s="6">
        <v>1</v>
      </c>
      <c r="AI107">
        <f t="shared" si="88"/>
        <v>25</v>
      </c>
      <c r="AJ107">
        <f t="shared" si="89"/>
        <v>25</v>
      </c>
      <c r="AK107">
        <f t="shared" si="90"/>
        <v>0</v>
      </c>
      <c r="AL107">
        <f t="shared" si="91"/>
        <v>0</v>
      </c>
      <c r="AM107">
        <f t="shared" si="92"/>
        <v>0</v>
      </c>
      <c r="AN107">
        <f t="shared" si="93"/>
        <v>0</v>
      </c>
      <c r="AO107">
        <f t="shared" si="94"/>
        <v>0</v>
      </c>
      <c r="AP107">
        <f t="shared" si="95"/>
        <v>0</v>
      </c>
      <c r="AQ107">
        <f t="shared" si="96"/>
        <v>0</v>
      </c>
      <c r="AR107">
        <f t="shared" si="97"/>
        <v>0</v>
      </c>
      <c r="AS107">
        <f t="shared" si="98"/>
        <v>1</v>
      </c>
      <c r="AT107">
        <f t="shared" si="99"/>
        <v>1</v>
      </c>
      <c r="AU107">
        <f t="shared" si="100"/>
        <v>0</v>
      </c>
      <c r="AV107">
        <f t="shared" si="101"/>
        <v>0</v>
      </c>
      <c r="AW107">
        <f t="shared" si="102"/>
        <v>0</v>
      </c>
      <c r="AX107">
        <f t="shared" si="103"/>
        <v>0</v>
      </c>
      <c r="AY107">
        <f t="shared" si="104"/>
        <v>0</v>
      </c>
      <c r="AZ107">
        <f t="shared" si="105"/>
        <v>0</v>
      </c>
      <c r="BA107">
        <f t="shared" si="106"/>
        <v>0</v>
      </c>
      <c r="BB107">
        <f t="shared" si="107"/>
        <v>0</v>
      </c>
      <c r="BC107">
        <f t="shared" si="108"/>
        <v>0</v>
      </c>
      <c r="BD107">
        <f t="shared" si="109"/>
        <v>0</v>
      </c>
      <c r="BE107">
        <f t="shared" si="110"/>
        <v>0</v>
      </c>
      <c r="BF107">
        <f t="shared" si="111"/>
        <v>0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s="201" customFormat="1" ht="14.25" x14ac:dyDescent="0.2">
      <c r="A108" s="10">
        <v>3267</v>
      </c>
      <c r="B108" s="11" t="s">
        <v>384</v>
      </c>
      <c r="C108" s="105" t="s">
        <v>457</v>
      </c>
      <c r="D108" s="11" t="s">
        <v>369</v>
      </c>
      <c r="E108" s="12">
        <v>3974</v>
      </c>
      <c r="F108" s="202">
        <v>31</v>
      </c>
      <c r="G108" s="11">
        <v>55000</v>
      </c>
      <c r="H108" s="116">
        <v>0</v>
      </c>
      <c r="I108" s="192"/>
      <c r="J108" s="204"/>
      <c r="K108" s="193"/>
      <c r="L108" s="193"/>
      <c r="M108" s="193">
        <v>55000</v>
      </c>
      <c r="N108" s="203">
        <f t="shared" si="84"/>
        <v>0</v>
      </c>
      <c r="O108" s="203">
        <f t="shared" si="85"/>
        <v>0</v>
      </c>
      <c r="P108" s="203">
        <f t="shared" si="86"/>
        <v>55000</v>
      </c>
      <c r="Q108" s="214">
        <v>46254</v>
      </c>
      <c r="R108" s="219">
        <v>46259</v>
      </c>
      <c r="S108" s="217">
        <v>46220</v>
      </c>
      <c r="T108" s="205"/>
      <c r="U108" s="205"/>
      <c r="V108" s="215" t="s">
        <v>537</v>
      </c>
      <c r="W108" s="212"/>
      <c r="X108" s="10">
        <v>7</v>
      </c>
      <c r="Y108" s="10">
        <v>7</v>
      </c>
      <c r="Z108" s="213">
        <f t="shared" si="87"/>
        <v>0</v>
      </c>
      <c r="AA108" s="62"/>
      <c r="AB108" s="62"/>
      <c r="AC108" s="62"/>
      <c r="AD108" s="62"/>
      <c r="AE108" s="62"/>
      <c r="AF108" s="63"/>
      <c r="AG108" s="64"/>
      <c r="AH108" s="6">
        <v>1</v>
      </c>
      <c r="AI108">
        <f t="shared" si="88"/>
        <v>25</v>
      </c>
      <c r="AJ108">
        <f t="shared" si="89"/>
        <v>15</v>
      </c>
      <c r="AK108">
        <f t="shared" si="90"/>
        <v>0</v>
      </c>
      <c r="AL108">
        <f t="shared" si="91"/>
        <v>0</v>
      </c>
      <c r="AM108">
        <f t="shared" si="92"/>
        <v>0</v>
      </c>
      <c r="AN108">
        <f t="shared" si="93"/>
        <v>0</v>
      </c>
      <c r="AO108">
        <f t="shared" si="94"/>
        <v>0</v>
      </c>
      <c r="AP108">
        <f t="shared" si="95"/>
        <v>0</v>
      </c>
      <c r="AQ108">
        <f t="shared" si="96"/>
        <v>0</v>
      </c>
      <c r="AR108">
        <f t="shared" si="97"/>
        <v>0</v>
      </c>
      <c r="AS108">
        <f t="shared" si="98"/>
        <v>1</v>
      </c>
      <c r="AT108">
        <f t="shared" si="99"/>
        <v>1</v>
      </c>
      <c r="AU108">
        <f t="shared" si="100"/>
        <v>0</v>
      </c>
      <c r="AV108">
        <f t="shared" si="101"/>
        <v>0</v>
      </c>
      <c r="AW108">
        <f t="shared" si="102"/>
        <v>0</v>
      </c>
      <c r="AX108">
        <f t="shared" si="103"/>
        <v>0</v>
      </c>
      <c r="AY108">
        <f t="shared" si="104"/>
        <v>0</v>
      </c>
      <c r="AZ108">
        <f t="shared" si="105"/>
        <v>0</v>
      </c>
      <c r="BA108">
        <f t="shared" si="106"/>
        <v>0</v>
      </c>
      <c r="BB108">
        <f t="shared" si="107"/>
        <v>0</v>
      </c>
      <c r="BC108">
        <f t="shared" si="108"/>
        <v>0</v>
      </c>
      <c r="BD108">
        <f t="shared" si="109"/>
        <v>0</v>
      </c>
      <c r="BE108">
        <f t="shared" si="110"/>
        <v>0</v>
      </c>
      <c r="BF108">
        <f t="shared" si="111"/>
        <v>0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s="201" customFormat="1" ht="14.25" x14ac:dyDescent="0.2">
      <c r="A109" s="10">
        <v>3300</v>
      </c>
      <c r="B109" s="11" t="s">
        <v>285</v>
      </c>
      <c r="C109" s="105" t="s">
        <v>286</v>
      </c>
      <c r="D109" s="11" t="s">
        <v>144</v>
      </c>
      <c r="E109" s="12">
        <v>20118</v>
      </c>
      <c r="F109" s="202">
        <v>29</v>
      </c>
      <c r="G109" s="11">
        <v>50000</v>
      </c>
      <c r="H109" s="116">
        <v>0</v>
      </c>
      <c r="I109" s="192"/>
      <c r="J109" s="204"/>
      <c r="K109" s="193"/>
      <c r="L109" s="193"/>
      <c r="M109" s="193">
        <v>50000</v>
      </c>
      <c r="N109" s="203">
        <f t="shared" si="84"/>
        <v>0</v>
      </c>
      <c r="O109" s="203">
        <f t="shared" si="85"/>
        <v>0</v>
      </c>
      <c r="P109" s="203">
        <f t="shared" si="86"/>
        <v>50000</v>
      </c>
      <c r="Q109" s="214">
        <v>46263</v>
      </c>
      <c r="R109" s="219">
        <v>46264</v>
      </c>
      <c r="S109" s="217">
        <v>46203</v>
      </c>
      <c r="T109" s="205"/>
      <c r="U109" s="205"/>
      <c r="V109" s="215" t="s">
        <v>521</v>
      </c>
      <c r="W109" s="212"/>
      <c r="X109" s="10">
        <v>7</v>
      </c>
      <c r="Y109" s="10">
        <v>7</v>
      </c>
      <c r="Z109" s="213">
        <f t="shared" si="87"/>
        <v>0</v>
      </c>
      <c r="AA109" s="62"/>
      <c r="AB109" s="62"/>
      <c r="AC109" s="62"/>
      <c r="AD109" s="62"/>
      <c r="AE109" s="62"/>
      <c r="AF109" s="63"/>
      <c r="AG109" s="64"/>
      <c r="AH109" s="6">
        <v>1</v>
      </c>
      <c r="AI109">
        <f t="shared" si="88"/>
        <v>25</v>
      </c>
      <c r="AJ109">
        <f t="shared" si="89"/>
        <v>15</v>
      </c>
      <c r="AK109">
        <f t="shared" si="90"/>
        <v>0</v>
      </c>
      <c r="AL109">
        <f t="shared" si="91"/>
        <v>0</v>
      </c>
      <c r="AM109">
        <f t="shared" si="92"/>
        <v>0</v>
      </c>
      <c r="AN109">
        <f t="shared" si="93"/>
        <v>0</v>
      </c>
      <c r="AO109">
        <f t="shared" si="94"/>
        <v>0</v>
      </c>
      <c r="AP109">
        <f t="shared" si="95"/>
        <v>0</v>
      </c>
      <c r="AQ109">
        <f t="shared" si="96"/>
        <v>0</v>
      </c>
      <c r="AR109">
        <f t="shared" si="97"/>
        <v>0</v>
      </c>
      <c r="AS109">
        <f t="shared" si="98"/>
        <v>1</v>
      </c>
      <c r="AT109">
        <f t="shared" si="99"/>
        <v>1</v>
      </c>
      <c r="AU109">
        <f t="shared" si="100"/>
        <v>0</v>
      </c>
      <c r="AV109">
        <f t="shared" si="101"/>
        <v>0</v>
      </c>
      <c r="AW109">
        <f t="shared" si="102"/>
        <v>0</v>
      </c>
      <c r="AX109">
        <f t="shared" si="103"/>
        <v>0</v>
      </c>
      <c r="AY109">
        <f t="shared" si="104"/>
        <v>0</v>
      </c>
      <c r="AZ109">
        <f t="shared" si="105"/>
        <v>0</v>
      </c>
      <c r="BA109">
        <f t="shared" si="106"/>
        <v>0</v>
      </c>
      <c r="BB109">
        <f t="shared" si="107"/>
        <v>0</v>
      </c>
      <c r="BC109">
        <f t="shared" si="108"/>
        <v>0</v>
      </c>
      <c r="BD109">
        <f t="shared" si="109"/>
        <v>0</v>
      </c>
      <c r="BE109">
        <f t="shared" si="110"/>
        <v>0</v>
      </c>
      <c r="BF109">
        <f t="shared" si="111"/>
        <v>0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s="201" customFormat="1" ht="14.25" x14ac:dyDescent="0.2">
      <c r="A110" s="10">
        <v>3303</v>
      </c>
      <c r="B110" s="11" t="s">
        <v>458</v>
      </c>
      <c r="C110" s="105" t="s">
        <v>459</v>
      </c>
      <c r="D110" s="11" t="s">
        <v>106</v>
      </c>
      <c r="E110" s="12">
        <v>20123</v>
      </c>
      <c r="F110" s="202">
        <v>29</v>
      </c>
      <c r="G110" s="11">
        <v>60000</v>
      </c>
      <c r="H110" s="116">
        <v>-60000</v>
      </c>
      <c r="I110" s="192"/>
      <c r="J110" s="204"/>
      <c r="K110" s="193"/>
      <c r="L110" s="193"/>
      <c r="M110" s="193">
        <v>60000</v>
      </c>
      <c r="N110" s="203">
        <f t="shared" si="84"/>
        <v>0</v>
      </c>
      <c r="O110" s="203">
        <f t="shared" si="85"/>
        <v>-60000</v>
      </c>
      <c r="P110" s="203">
        <f t="shared" si="86"/>
        <v>0</v>
      </c>
      <c r="Q110" s="214">
        <v>46239</v>
      </c>
      <c r="R110" s="219">
        <v>46239</v>
      </c>
      <c r="S110" s="217">
        <v>46204</v>
      </c>
      <c r="T110" s="205"/>
      <c r="U110" s="205"/>
      <c r="V110" s="215" t="s">
        <v>521</v>
      </c>
      <c r="W110" s="212"/>
      <c r="X110" s="10">
        <v>7</v>
      </c>
      <c r="Y110" s="10">
        <v>7</v>
      </c>
      <c r="Z110" s="213">
        <f t="shared" si="87"/>
        <v>0</v>
      </c>
      <c r="AA110" s="62"/>
      <c r="AB110" s="62"/>
      <c r="AC110" s="62"/>
      <c r="AD110" s="62"/>
      <c r="AE110" s="62"/>
      <c r="AF110" s="63"/>
      <c r="AG110" s="64"/>
      <c r="AH110" s="6">
        <v>1</v>
      </c>
      <c r="AI110">
        <f t="shared" si="88"/>
        <v>25</v>
      </c>
      <c r="AJ110">
        <f t="shared" si="89"/>
        <v>25</v>
      </c>
      <c r="AK110">
        <f t="shared" si="90"/>
        <v>0</v>
      </c>
      <c r="AL110">
        <f t="shared" si="91"/>
        <v>0</v>
      </c>
      <c r="AM110">
        <f t="shared" si="92"/>
        <v>0</v>
      </c>
      <c r="AN110">
        <f t="shared" si="93"/>
        <v>0</v>
      </c>
      <c r="AO110">
        <f t="shared" si="94"/>
        <v>0</v>
      </c>
      <c r="AP110">
        <f t="shared" si="95"/>
        <v>0</v>
      </c>
      <c r="AQ110">
        <f t="shared" si="96"/>
        <v>0</v>
      </c>
      <c r="AR110">
        <f t="shared" si="97"/>
        <v>0</v>
      </c>
      <c r="AS110">
        <f t="shared" si="98"/>
        <v>1</v>
      </c>
      <c r="AT110">
        <f t="shared" si="99"/>
        <v>1</v>
      </c>
      <c r="AU110">
        <f t="shared" si="100"/>
        <v>0</v>
      </c>
      <c r="AV110">
        <f t="shared" si="101"/>
        <v>0</v>
      </c>
      <c r="AW110">
        <f t="shared" si="102"/>
        <v>0</v>
      </c>
      <c r="AX110">
        <f t="shared" si="103"/>
        <v>0</v>
      </c>
      <c r="AY110">
        <f t="shared" si="104"/>
        <v>0</v>
      </c>
      <c r="AZ110">
        <f t="shared" si="105"/>
        <v>0</v>
      </c>
      <c r="BA110">
        <f t="shared" si="106"/>
        <v>0</v>
      </c>
      <c r="BB110">
        <f t="shared" si="107"/>
        <v>0</v>
      </c>
      <c r="BC110">
        <f t="shared" si="108"/>
        <v>0</v>
      </c>
      <c r="BD110">
        <f t="shared" si="109"/>
        <v>0</v>
      </c>
      <c r="BE110">
        <f t="shared" si="110"/>
        <v>0</v>
      </c>
      <c r="BF110">
        <f t="shared" si="111"/>
        <v>0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s="201" customFormat="1" ht="14.25" x14ac:dyDescent="0.2">
      <c r="A111" s="10">
        <v>3307</v>
      </c>
      <c r="B111" s="11" t="s">
        <v>460</v>
      </c>
      <c r="C111" s="105" t="s">
        <v>461</v>
      </c>
      <c r="D111" s="11" t="s">
        <v>275</v>
      </c>
      <c r="E111" s="12">
        <v>20127</v>
      </c>
      <c r="F111" s="202">
        <v>29</v>
      </c>
      <c r="G111" s="11">
        <v>80000</v>
      </c>
      <c r="H111" s="116">
        <v>0</v>
      </c>
      <c r="I111" s="192"/>
      <c r="J111" s="204"/>
      <c r="K111" s="193"/>
      <c r="L111" s="193"/>
      <c r="M111" s="193">
        <v>80000</v>
      </c>
      <c r="N111" s="203">
        <f t="shared" si="84"/>
        <v>0</v>
      </c>
      <c r="O111" s="203">
        <f t="shared" si="85"/>
        <v>0</v>
      </c>
      <c r="P111" s="203">
        <f t="shared" si="86"/>
        <v>80000</v>
      </c>
      <c r="Q111" s="214">
        <v>46255</v>
      </c>
      <c r="R111" s="219">
        <v>46255</v>
      </c>
      <c r="S111" s="217">
        <v>46224</v>
      </c>
      <c r="T111" s="205"/>
      <c r="U111" s="205"/>
      <c r="V111" s="215" t="s">
        <v>521</v>
      </c>
      <c r="W111" s="212"/>
      <c r="X111" s="10">
        <v>7</v>
      </c>
      <c r="Y111" s="10">
        <v>7</v>
      </c>
      <c r="Z111" s="213">
        <f t="shared" si="87"/>
        <v>0</v>
      </c>
      <c r="AA111" s="62"/>
      <c r="AB111" s="62"/>
      <c r="AC111" s="62"/>
      <c r="AD111" s="62"/>
      <c r="AE111" s="62"/>
      <c r="AF111" s="63"/>
      <c r="AG111" s="64"/>
      <c r="AH111" s="6">
        <v>1</v>
      </c>
      <c r="AI111">
        <f t="shared" si="88"/>
        <v>25</v>
      </c>
      <c r="AJ111">
        <f t="shared" si="89"/>
        <v>15</v>
      </c>
      <c r="AK111">
        <f t="shared" si="90"/>
        <v>0</v>
      </c>
      <c r="AL111">
        <f t="shared" si="91"/>
        <v>0</v>
      </c>
      <c r="AM111">
        <f t="shared" si="92"/>
        <v>0</v>
      </c>
      <c r="AN111">
        <f t="shared" si="93"/>
        <v>0</v>
      </c>
      <c r="AO111">
        <f t="shared" si="94"/>
        <v>0</v>
      </c>
      <c r="AP111">
        <f t="shared" si="95"/>
        <v>0</v>
      </c>
      <c r="AQ111">
        <f t="shared" si="96"/>
        <v>0</v>
      </c>
      <c r="AR111">
        <f t="shared" si="97"/>
        <v>0</v>
      </c>
      <c r="AS111">
        <f t="shared" si="98"/>
        <v>1</v>
      </c>
      <c r="AT111">
        <f t="shared" si="99"/>
        <v>1</v>
      </c>
      <c r="AU111">
        <f t="shared" si="100"/>
        <v>0</v>
      </c>
      <c r="AV111">
        <f t="shared" si="101"/>
        <v>0</v>
      </c>
      <c r="AW111">
        <f t="shared" si="102"/>
        <v>0</v>
      </c>
      <c r="AX111">
        <f t="shared" si="103"/>
        <v>0</v>
      </c>
      <c r="AY111">
        <f t="shared" si="104"/>
        <v>0</v>
      </c>
      <c r="AZ111">
        <f t="shared" si="105"/>
        <v>0</v>
      </c>
      <c r="BA111">
        <f t="shared" si="106"/>
        <v>0</v>
      </c>
      <c r="BB111">
        <f t="shared" si="107"/>
        <v>0</v>
      </c>
      <c r="BC111">
        <f t="shared" si="108"/>
        <v>0</v>
      </c>
      <c r="BD111">
        <f t="shared" si="109"/>
        <v>0</v>
      </c>
      <c r="BE111">
        <f t="shared" si="110"/>
        <v>0</v>
      </c>
      <c r="BF111">
        <f t="shared" si="111"/>
        <v>0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s="201" customFormat="1" ht="14.25" x14ac:dyDescent="0.2">
      <c r="A112" s="10">
        <v>3315</v>
      </c>
      <c r="B112" s="11" t="s">
        <v>462</v>
      </c>
      <c r="C112" s="105" t="s">
        <v>463</v>
      </c>
      <c r="D112" s="11" t="s">
        <v>105</v>
      </c>
      <c r="E112" s="12">
        <v>20139</v>
      </c>
      <c r="F112" s="202">
        <v>29</v>
      </c>
      <c r="G112" s="11">
        <v>99999</v>
      </c>
      <c r="H112" s="116">
        <v>-70010</v>
      </c>
      <c r="I112" s="192"/>
      <c r="J112" s="204"/>
      <c r="K112" s="193"/>
      <c r="L112" s="193"/>
      <c r="M112" s="193">
        <v>100000</v>
      </c>
      <c r="N112" s="203">
        <f t="shared" si="84"/>
        <v>-1</v>
      </c>
      <c r="O112" s="203">
        <f t="shared" si="85"/>
        <v>-70011</v>
      </c>
      <c r="P112" s="203">
        <f t="shared" si="86"/>
        <v>29989</v>
      </c>
      <c r="Q112" s="214">
        <v>46266</v>
      </c>
      <c r="R112" s="219">
        <v>46261</v>
      </c>
      <c r="S112" s="217">
        <v>46230</v>
      </c>
      <c r="T112" s="205"/>
      <c r="U112" s="205"/>
      <c r="V112" s="215" t="s">
        <v>521</v>
      </c>
      <c r="W112" s="212"/>
      <c r="X112" s="10">
        <v>7</v>
      </c>
      <c r="Y112" s="10">
        <v>7</v>
      </c>
      <c r="Z112" s="213">
        <f t="shared" si="87"/>
        <v>0</v>
      </c>
      <c r="AA112" s="62"/>
      <c r="AB112" s="62"/>
      <c r="AC112" s="62"/>
      <c r="AD112" s="62"/>
      <c r="AE112" s="62"/>
      <c r="AF112" s="63"/>
      <c r="AG112" s="64"/>
      <c r="AH112" s="6">
        <v>1</v>
      </c>
      <c r="AI112">
        <f t="shared" si="88"/>
        <v>25</v>
      </c>
      <c r="AJ112">
        <f t="shared" si="89"/>
        <v>25</v>
      </c>
      <c r="AK112">
        <f t="shared" si="90"/>
        <v>0</v>
      </c>
      <c r="AL112">
        <f t="shared" si="91"/>
        <v>0</v>
      </c>
      <c r="AM112">
        <f t="shared" si="92"/>
        <v>0</v>
      </c>
      <c r="AN112">
        <f t="shared" si="93"/>
        <v>0</v>
      </c>
      <c r="AO112">
        <f t="shared" si="94"/>
        <v>0</v>
      </c>
      <c r="AP112">
        <f t="shared" si="95"/>
        <v>0</v>
      </c>
      <c r="AQ112">
        <f t="shared" si="96"/>
        <v>0</v>
      </c>
      <c r="AR112">
        <f t="shared" si="97"/>
        <v>0</v>
      </c>
      <c r="AS112">
        <f t="shared" si="98"/>
        <v>1</v>
      </c>
      <c r="AT112">
        <f t="shared" si="99"/>
        <v>1</v>
      </c>
      <c r="AU112">
        <f t="shared" si="100"/>
        <v>0</v>
      </c>
      <c r="AV112">
        <f t="shared" si="101"/>
        <v>0</v>
      </c>
      <c r="AW112">
        <f t="shared" si="102"/>
        <v>0</v>
      </c>
      <c r="AX112">
        <f t="shared" si="103"/>
        <v>0</v>
      </c>
      <c r="AY112">
        <f t="shared" si="104"/>
        <v>0</v>
      </c>
      <c r="AZ112">
        <f t="shared" si="105"/>
        <v>0</v>
      </c>
      <c r="BA112">
        <f t="shared" si="106"/>
        <v>0</v>
      </c>
      <c r="BB112">
        <f t="shared" si="107"/>
        <v>0</v>
      </c>
      <c r="BC112">
        <f t="shared" si="108"/>
        <v>0</v>
      </c>
      <c r="BD112">
        <f t="shared" si="109"/>
        <v>0</v>
      </c>
      <c r="BE112">
        <f t="shared" si="110"/>
        <v>0</v>
      </c>
      <c r="BF112">
        <f t="shared" si="111"/>
        <v>0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s="201" customFormat="1" ht="14.25" x14ac:dyDescent="0.2">
      <c r="A113" s="10">
        <v>3325</v>
      </c>
      <c r="B113" s="11" t="s">
        <v>464</v>
      </c>
      <c r="C113" s="105" t="s">
        <v>465</v>
      </c>
      <c r="D113" s="11" t="s">
        <v>106</v>
      </c>
      <c r="E113" s="12">
        <v>20132</v>
      </c>
      <c r="F113" s="202">
        <v>28</v>
      </c>
      <c r="G113" s="11">
        <v>200000</v>
      </c>
      <c r="H113" s="116">
        <v>-600000</v>
      </c>
      <c r="I113" s="192"/>
      <c r="J113" s="204"/>
      <c r="K113" s="193"/>
      <c r="L113" s="193"/>
      <c r="M113" s="193">
        <v>200000</v>
      </c>
      <c r="N113" s="203">
        <f t="shared" si="84"/>
        <v>0</v>
      </c>
      <c r="O113" s="203">
        <f t="shared" si="85"/>
        <v>-600000</v>
      </c>
      <c r="P113" s="203">
        <f t="shared" si="86"/>
        <v>0</v>
      </c>
      <c r="Q113" s="214">
        <v>46244</v>
      </c>
      <c r="R113" s="219">
        <v>46244</v>
      </c>
      <c r="S113" s="217">
        <v>46213</v>
      </c>
      <c r="T113" s="205"/>
      <c r="U113" s="205"/>
      <c r="V113" s="215" t="s">
        <v>521</v>
      </c>
      <c r="W113" s="212"/>
      <c r="X113" s="10">
        <v>7</v>
      </c>
      <c r="Y113" s="10">
        <v>7</v>
      </c>
      <c r="Z113" s="213">
        <f t="shared" si="87"/>
        <v>0</v>
      </c>
      <c r="AA113" s="62"/>
      <c r="AB113" s="62"/>
      <c r="AC113" s="62"/>
      <c r="AD113" s="62"/>
      <c r="AE113" s="62"/>
      <c r="AF113" s="63"/>
      <c r="AG113" s="64"/>
      <c r="AH113" s="6">
        <v>1</v>
      </c>
      <c r="AI113">
        <f t="shared" si="88"/>
        <v>25</v>
      </c>
      <c r="AJ113">
        <f t="shared" si="89"/>
        <v>25</v>
      </c>
      <c r="AK113">
        <f t="shared" si="90"/>
        <v>0</v>
      </c>
      <c r="AL113">
        <f t="shared" si="91"/>
        <v>0</v>
      </c>
      <c r="AM113">
        <f t="shared" si="92"/>
        <v>0</v>
      </c>
      <c r="AN113">
        <f t="shared" si="93"/>
        <v>0</v>
      </c>
      <c r="AO113">
        <f t="shared" si="94"/>
        <v>0</v>
      </c>
      <c r="AP113">
        <f t="shared" si="95"/>
        <v>0</v>
      </c>
      <c r="AQ113">
        <f t="shared" si="96"/>
        <v>0</v>
      </c>
      <c r="AR113">
        <f t="shared" si="97"/>
        <v>0</v>
      </c>
      <c r="AS113">
        <f t="shared" si="98"/>
        <v>1</v>
      </c>
      <c r="AT113">
        <f t="shared" si="99"/>
        <v>1</v>
      </c>
      <c r="AU113">
        <f t="shared" si="100"/>
        <v>0</v>
      </c>
      <c r="AV113">
        <f t="shared" si="101"/>
        <v>0</v>
      </c>
      <c r="AW113">
        <f t="shared" si="102"/>
        <v>0</v>
      </c>
      <c r="AX113">
        <f t="shared" si="103"/>
        <v>0</v>
      </c>
      <c r="AY113">
        <f t="shared" si="104"/>
        <v>0</v>
      </c>
      <c r="AZ113">
        <f t="shared" si="105"/>
        <v>0</v>
      </c>
      <c r="BA113">
        <f t="shared" si="106"/>
        <v>0</v>
      </c>
      <c r="BB113">
        <f t="shared" si="107"/>
        <v>0</v>
      </c>
      <c r="BC113">
        <f t="shared" si="108"/>
        <v>0</v>
      </c>
      <c r="BD113">
        <f t="shared" si="109"/>
        <v>0</v>
      </c>
      <c r="BE113">
        <f t="shared" si="110"/>
        <v>0</v>
      </c>
      <c r="BF113">
        <f t="shared" si="111"/>
        <v>0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s="201" customFormat="1" ht="14.25" x14ac:dyDescent="0.2">
      <c r="A114" s="10">
        <v>3342</v>
      </c>
      <c r="B114" s="11" t="s">
        <v>466</v>
      </c>
      <c r="C114" s="105" t="s">
        <v>467</v>
      </c>
      <c r="D114" s="11" t="s">
        <v>106</v>
      </c>
      <c r="E114" s="12">
        <v>20158</v>
      </c>
      <c r="F114" s="202">
        <v>28</v>
      </c>
      <c r="G114" s="11">
        <v>100000</v>
      </c>
      <c r="H114" s="116">
        <v>0</v>
      </c>
      <c r="I114" s="192"/>
      <c r="J114" s="204"/>
      <c r="K114" s="193"/>
      <c r="L114" s="193"/>
      <c r="M114" s="193">
        <v>100000</v>
      </c>
      <c r="N114" s="203">
        <f t="shared" si="84"/>
        <v>0</v>
      </c>
      <c r="O114" s="203">
        <f t="shared" si="85"/>
        <v>0</v>
      </c>
      <c r="P114" s="203">
        <f t="shared" si="86"/>
        <v>100000</v>
      </c>
      <c r="Q114" s="214">
        <v>46248</v>
      </c>
      <c r="R114" s="219">
        <v>46248</v>
      </c>
      <c r="S114" s="217">
        <v>46227</v>
      </c>
      <c r="T114" s="205"/>
      <c r="U114" s="205"/>
      <c r="V114" s="215" t="s">
        <v>521</v>
      </c>
      <c r="W114" s="212"/>
      <c r="X114" s="10">
        <v>7</v>
      </c>
      <c r="Y114" s="10">
        <v>7</v>
      </c>
      <c r="Z114" s="213">
        <f t="shared" si="87"/>
        <v>0</v>
      </c>
      <c r="AA114" s="62"/>
      <c r="AB114" s="62"/>
      <c r="AC114" s="62"/>
      <c r="AD114" s="62"/>
      <c r="AE114" s="62"/>
      <c r="AF114" s="63"/>
      <c r="AG114" s="64"/>
      <c r="AH114" s="6">
        <v>1</v>
      </c>
      <c r="AI114">
        <f t="shared" si="88"/>
        <v>25</v>
      </c>
      <c r="AJ114">
        <f t="shared" si="89"/>
        <v>15</v>
      </c>
      <c r="AK114">
        <f t="shared" si="90"/>
        <v>0</v>
      </c>
      <c r="AL114">
        <f t="shared" si="91"/>
        <v>0</v>
      </c>
      <c r="AM114">
        <f t="shared" si="92"/>
        <v>0</v>
      </c>
      <c r="AN114">
        <f t="shared" si="93"/>
        <v>0</v>
      </c>
      <c r="AO114">
        <f t="shared" si="94"/>
        <v>0</v>
      </c>
      <c r="AP114">
        <f t="shared" si="95"/>
        <v>0</v>
      </c>
      <c r="AQ114">
        <f t="shared" si="96"/>
        <v>0</v>
      </c>
      <c r="AR114">
        <f t="shared" si="97"/>
        <v>0</v>
      </c>
      <c r="AS114">
        <f t="shared" si="98"/>
        <v>1</v>
      </c>
      <c r="AT114">
        <f t="shared" si="99"/>
        <v>1</v>
      </c>
      <c r="AU114">
        <f t="shared" si="100"/>
        <v>0</v>
      </c>
      <c r="AV114">
        <f t="shared" si="101"/>
        <v>0</v>
      </c>
      <c r="AW114">
        <f t="shared" si="102"/>
        <v>0</v>
      </c>
      <c r="AX114">
        <f t="shared" si="103"/>
        <v>0</v>
      </c>
      <c r="AY114">
        <f t="shared" si="104"/>
        <v>0</v>
      </c>
      <c r="AZ114">
        <f t="shared" si="105"/>
        <v>0</v>
      </c>
      <c r="BA114">
        <f t="shared" si="106"/>
        <v>0</v>
      </c>
      <c r="BB114">
        <f t="shared" si="107"/>
        <v>0</v>
      </c>
      <c r="BC114">
        <f t="shared" si="108"/>
        <v>0</v>
      </c>
      <c r="BD114">
        <f t="shared" si="109"/>
        <v>0</v>
      </c>
      <c r="BE114">
        <f t="shared" si="110"/>
        <v>0</v>
      </c>
      <c r="BF114">
        <f t="shared" si="111"/>
        <v>0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s="201" customFormat="1" ht="14.25" x14ac:dyDescent="0.2">
      <c r="A115" s="10">
        <v>3349</v>
      </c>
      <c r="B115" s="11" t="s">
        <v>468</v>
      </c>
      <c r="C115" s="105" t="s">
        <v>469</v>
      </c>
      <c r="D115" s="11" t="s">
        <v>217</v>
      </c>
      <c r="E115" s="12">
        <v>20116</v>
      </c>
      <c r="F115" s="202">
        <v>27</v>
      </c>
      <c r="G115" s="11">
        <v>260000</v>
      </c>
      <c r="H115" s="116">
        <v>0</v>
      </c>
      <c r="I115" s="192"/>
      <c r="J115" s="204"/>
      <c r="K115" s="193"/>
      <c r="L115" s="193"/>
      <c r="M115" s="193">
        <v>260000</v>
      </c>
      <c r="N115" s="203">
        <f t="shared" si="84"/>
        <v>0</v>
      </c>
      <c r="O115" s="203">
        <f t="shared" si="85"/>
        <v>0</v>
      </c>
      <c r="P115" s="203">
        <f t="shared" si="86"/>
        <v>260000</v>
      </c>
      <c r="Q115" s="214">
        <v>46246</v>
      </c>
      <c r="R115" s="219">
        <v>46246</v>
      </c>
      <c r="S115" s="217">
        <v>46212</v>
      </c>
      <c r="T115" s="205"/>
      <c r="U115" s="205"/>
      <c r="V115" s="215" t="s">
        <v>521</v>
      </c>
      <c r="W115" s="212"/>
      <c r="X115" s="10">
        <v>7</v>
      </c>
      <c r="Y115" s="10">
        <v>7</v>
      </c>
      <c r="Z115" s="213">
        <f t="shared" si="87"/>
        <v>0</v>
      </c>
      <c r="AA115" s="62"/>
      <c r="AB115" s="62"/>
      <c r="AC115" s="62"/>
      <c r="AD115" s="62"/>
      <c r="AE115" s="62"/>
      <c r="AF115" s="63"/>
      <c r="AG115" s="64"/>
      <c r="AH115" s="6">
        <v>1</v>
      </c>
      <c r="AI115">
        <f t="shared" si="88"/>
        <v>25</v>
      </c>
      <c r="AJ115">
        <f t="shared" si="89"/>
        <v>15</v>
      </c>
      <c r="AK115">
        <f t="shared" si="90"/>
        <v>0</v>
      </c>
      <c r="AL115">
        <f t="shared" si="91"/>
        <v>0</v>
      </c>
      <c r="AM115">
        <f t="shared" si="92"/>
        <v>0</v>
      </c>
      <c r="AN115">
        <f t="shared" si="93"/>
        <v>0</v>
      </c>
      <c r="AO115">
        <f t="shared" si="94"/>
        <v>0</v>
      </c>
      <c r="AP115">
        <f t="shared" si="95"/>
        <v>0</v>
      </c>
      <c r="AQ115">
        <f t="shared" si="96"/>
        <v>0</v>
      </c>
      <c r="AR115">
        <f t="shared" si="97"/>
        <v>0</v>
      </c>
      <c r="AS115">
        <f t="shared" si="98"/>
        <v>1</v>
      </c>
      <c r="AT115">
        <f t="shared" si="99"/>
        <v>1</v>
      </c>
      <c r="AU115">
        <f t="shared" si="100"/>
        <v>0</v>
      </c>
      <c r="AV115">
        <f t="shared" si="101"/>
        <v>0</v>
      </c>
      <c r="AW115">
        <f t="shared" si="102"/>
        <v>0</v>
      </c>
      <c r="AX115">
        <f t="shared" si="103"/>
        <v>0</v>
      </c>
      <c r="AY115">
        <f t="shared" si="104"/>
        <v>0</v>
      </c>
      <c r="AZ115">
        <f t="shared" si="105"/>
        <v>0</v>
      </c>
      <c r="BA115">
        <f t="shared" si="106"/>
        <v>0</v>
      </c>
      <c r="BB115">
        <f t="shared" si="107"/>
        <v>0</v>
      </c>
      <c r="BC115">
        <f t="shared" si="108"/>
        <v>0</v>
      </c>
      <c r="BD115">
        <f t="shared" si="109"/>
        <v>0</v>
      </c>
      <c r="BE115">
        <f t="shared" si="110"/>
        <v>0</v>
      </c>
      <c r="BF115">
        <f t="shared" si="111"/>
        <v>0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s="201" customFormat="1" ht="14.25" x14ac:dyDescent="0.2">
      <c r="A116" s="10">
        <v>3355</v>
      </c>
      <c r="B116" s="11" t="s">
        <v>470</v>
      </c>
      <c r="C116" s="105" t="s">
        <v>471</v>
      </c>
      <c r="D116" s="11" t="s">
        <v>105</v>
      </c>
      <c r="E116" s="12">
        <v>20168</v>
      </c>
      <c r="F116" s="202">
        <v>27</v>
      </c>
      <c r="G116" s="11">
        <v>100000</v>
      </c>
      <c r="H116" s="116">
        <v>0</v>
      </c>
      <c r="I116" s="192"/>
      <c r="J116" s="204"/>
      <c r="K116" s="193"/>
      <c r="L116" s="193"/>
      <c r="M116" s="193">
        <v>100000</v>
      </c>
      <c r="N116" s="203">
        <f t="shared" si="84"/>
        <v>0</v>
      </c>
      <c r="O116" s="203">
        <f t="shared" si="85"/>
        <v>0</v>
      </c>
      <c r="P116" s="203">
        <f t="shared" si="86"/>
        <v>100000</v>
      </c>
      <c r="Q116" s="214">
        <v>46248</v>
      </c>
      <c r="R116" s="219">
        <v>46248</v>
      </c>
      <c r="S116" s="217">
        <v>46218</v>
      </c>
      <c r="T116" s="205"/>
      <c r="U116" s="205"/>
      <c r="V116" s="215" t="s">
        <v>521</v>
      </c>
      <c r="W116" s="212"/>
      <c r="X116" s="10">
        <v>7</v>
      </c>
      <c r="Y116" s="10">
        <v>7</v>
      </c>
      <c r="Z116" s="213">
        <f t="shared" si="87"/>
        <v>0</v>
      </c>
      <c r="AA116" s="62"/>
      <c r="AB116" s="62"/>
      <c r="AC116" s="62"/>
      <c r="AD116" s="62"/>
      <c r="AE116" s="62"/>
      <c r="AF116" s="63"/>
      <c r="AG116" s="64"/>
      <c r="AH116" s="6">
        <v>1</v>
      </c>
      <c r="AI116">
        <f t="shared" si="88"/>
        <v>25</v>
      </c>
      <c r="AJ116">
        <f t="shared" si="89"/>
        <v>15</v>
      </c>
      <c r="AK116">
        <f t="shared" si="90"/>
        <v>0</v>
      </c>
      <c r="AL116">
        <f t="shared" si="91"/>
        <v>0</v>
      </c>
      <c r="AM116">
        <f t="shared" si="92"/>
        <v>0</v>
      </c>
      <c r="AN116">
        <f t="shared" si="93"/>
        <v>0</v>
      </c>
      <c r="AO116">
        <f t="shared" si="94"/>
        <v>0</v>
      </c>
      <c r="AP116">
        <f t="shared" si="95"/>
        <v>0</v>
      </c>
      <c r="AQ116">
        <f t="shared" si="96"/>
        <v>0</v>
      </c>
      <c r="AR116">
        <f t="shared" si="97"/>
        <v>0</v>
      </c>
      <c r="AS116">
        <f t="shared" si="98"/>
        <v>1</v>
      </c>
      <c r="AT116">
        <f t="shared" si="99"/>
        <v>1</v>
      </c>
      <c r="AU116">
        <f t="shared" si="100"/>
        <v>0</v>
      </c>
      <c r="AV116">
        <f t="shared" si="101"/>
        <v>0</v>
      </c>
      <c r="AW116">
        <f t="shared" si="102"/>
        <v>0</v>
      </c>
      <c r="AX116">
        <f t="shared" si="103"/>
        <v>0</v>
      </c>
      <c r="AY116">
        <f t="shared" si="104"/>
        <v>0</v>
      </c>
      <c r="AZ116">
        <f t="shared" si="105"/>
        <v>0</v>
      </c>
      <c r="BA116">
        <f t="shared" si="106"/>
        <v>0</v>
      </c>
      <c r="BB116">
        <f t="shared" si="107"/>
        <v>0</v>
      </c>
      <c r="BC116">
        <f t="shared" si="108"/>
        <v>0</v>
      </c>
      <c r="BD116">
        <f t="shared" si="109"/>
        <v>0</v>
      </c>
      <c r="BE116">
        <f t="shared" si="110"/>
        <v>0</v>
      </c>
      <c r="BF116">
        <f t="shared" si="111"/>
        <v>0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s="201" customFormat="1" ht="14.25" x14ac:dyDescent="0.2">
      <c r="A117" s="10">
        <v>3356</v>
      </c>
      <c r="B117" s="11" t="s">
        <v>472</v>
      </c>
      <c r="C117" s="105" t="s">
        <v>473</v>
      </c>
      <c r="D117" s="11" t="s">
        <v>218</v>
      </c>
      <c r="E117" s="12">
        <v>20349</v>
      </c>
      <c r="F117" s="202">
        <v>27</v>
      </c>
      <c r="G117" s="11">
        <v>40000</v>
      </c>
      <c r="H117" s="116">
        <v>0</v>
      </c>
      <c r="I117" s="192"/>
      <c r="J117" s="204"/>
      <c r="K117" s="193"/>
      <c r="L117" s="193"/>
      <c r="M117" s="193">
        <v>40000</v>
      </c>
      <c r="N117" s="203">
        <f t="shared" si="84"/>
        <v>0</v>
      </c>
      <c r="O117" s="203">
        <f t="shared" si="85"/>
        <v>0</v>
      </c>
      <c r="P117" s="203">
        <f t="shared" si="86"/>
        <v>40000</v>
      </c>
      <c r="Q117" s="214">
        <v>46258</v>
      </c>
      <c r="R117" s="219">
        <v>46258</v>
      </c>
      <c r="S117" s="217">
        <v>46223</v>
      </c>
      <c r="T117" s="205"/>
      <c r="U117" s="205"/>
      <c r="V117" s="215" t="s">
        <v>521</v>
      </c>
      <c r="W117" s="212"/>
      <c r="X117" s="10">
        <v>7</v>
      </c>
      <c r="Y117" s="10">
        <v>7</v>
      </c>
      <c r="Z117" s="213">
        <f t="shared" si="87"/>
        <v>0</v>
      </c>
      <c r="AA117" s="62"/>
      <c r="AB117" s="62"/>
      <c r="AC117" s="62"/>
      <c r="AD117" s="62"/>
      <c r="AE117" s="62"/>
      <c r="AF117" s="63"/>
      <c r="AG117" s="64"/>
      <c r="AH117" s="6">
        <v>1</v>
      </c>
      <c r="AI117">
        <f t="shared" si="88"/>
        <v>25</v>
      </c>
      <c r="AJ117">
        <f t="shared" si="89"/>
        <v>15</v>
      </c>
      <c r="AK117">
        <f t="shared" si="90"/>
        <v>0</v>
      </c>
      <c r="AL117">
        <f t="shared" si="91"/>
        <v>0</v>
      </c>
      <c r="AM117">
        <f t="shared" si="92"/>
        <v>0</v>
      </c>
      <c r="AN117">
        <f t="shared" si="93"/>
        <v>0</v>
      </c>
      <c r="AO117">
        <f t="shared" si="94"/>
        <v>0</v>
      </c>
      <c r="AP117">
        <f t="shared" si="95"/>
        <v>0</v>
      </c>
      <c r="AQ117">
        <f t="shared" si="96"/>
        <v>0</v>
      </c>
      <c r="AR117">
        <f t="shared" si="97"/>
        <v>0</v>
      </c>
      <c r="AS117">
        <f t="shared" si="98"/>
        <v>1</v>
      </c>
      <c r="AT117">
        <f t="shared" si="99"/>
        <v>1</v>
      </c>
      <c r="AU117">
        <f t="shared" si="100"/>
        <v>0</v>
      </c>
      <c r="AV117">
        <f t="shared" si="101"/>
        <v>0</v>
      </c>
      <c r="AW117">
        <f t="shared" si="102"/>
        <v>0</v>
      </c>
      <c r="AX117">
        <f t="shared" si="103"/>
        <v>0</v>
      </c>
      <c r="AY117">
        <f t="shared" si="104"/>
        <v>0</v>
      </c>
      <c r="AZ117">
        <f t="shared" si="105"/>
        <v>0</v>
      </c>
      <c r="BA117">
        <f t="shared" si="106"/>
        <v>0</v>
      </c>
      <c r="BB117">
        <f t="shared" si="107"/>
        <v>0</v>
      </c>
      <c r="BC117">
        <f t="shared" si="108"/>
        <v>0</v>
      </c>
      <c r="BD117">
        <f t="shared" si="109"/>
        <v>0</v>
      </c>
      <c r="BE117">
        <f t="shared" si="110"/>
        <v>0</v>
      </c>
      <c r="BF117">
        <f t="shared" si="111"/>
        <v>0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s="201" customFormat="1" ht="14.25" x14ac:dyDescent="0.2">
      <c r="A118" s="10">
        <v>3366</v>
      </c>
      <c r="B118" s="11" t="s">
        <v>474</v>
      </c>
      <c r="C118" s="105" t="s">
        <v>475</v>
      </c>
      <c r="D118" s="11" t="s">
        <v>106</v>
      </c>
      <c r="E118" s="12">
        <v>20179</v>
      </c>
      <c r="F118" s="202">
        <v>27</v>
      </c>
      <c r="G118" s="11">
        <v>50000</v>
      </c>
      <c r="H118" s="116">
        <v>-50000</v>
      </c>
      <c r="I118" s="192"/>
      <c r="J118" s="204"/>
      <c r="K118" s="193"/>
      <c r="L118" s="193"/>
      <c r="M118" s="193">
        <v>50000</v>
      </c>
      <c r="N118" s="203">
        <f t="shared" si="84"/>
        <v>0</v>
      </c>
      <c r="O118" s="203">
        <f t="shared" si="85"/>
        <v>-50000</v>
      </c>
      <c r="P118" s="203">
        <f t="shared" si="86"/>
        <v>0</v>
      </c>
      <c r="Q118" s="214">
        <v>46244</v>
      </c>
      <c r="R118" s="219">
        <v>46244</v>
      </c>
      <c r="S118" s="217">
        <v>46212</v>
      </c>
      <c r="T118" s="205"/>
      <c r="U118" s="205"/>
      <c r="V118" s="215" t="s">
        <v>521</v>
      </c>
      <c r="W118" s="212"/>
      <c r="X118" s="10">
        <v>7</v>
      </c>
      <c r="Y118" s="10">
        <v>7</v>
      </c>
      <c r="Z118" s="213">
        <f t="shared" si="87"/>
        <v>0</v>
      </c>
      <c r="AA118" s="62"/>
      <c r="AB118" s="62"/>
      <c r="AC118" s="62"/>
      <c r="AD118" s="62"/>
      <c r="AE118" s="62"/>
      <c r="AF118" s="63"/>
      <c r="AG118" s="64"/>
      <c r="AH118" s="6">
        <v>1</v>
      </c>
      <c r="AI118">
        <f t="shared" si="88"/>
        <v>25</v>
      </c>
      <c r="AJ118">
        <f t="shared" si="89"/>
        <v>25</v>
      </c>
      <c r="AK118">
        <f t="shared" si="90"/>
        <v>0</v>
      </c>
      <c r="AL118">
        <f t="shared" si="91"/>
        <v>0</v>
      </c>
      <c r="AM118">
        <f t="shared" si="92"/>
        <v>0</v>
      </c>
      <c r="AN118">
        <f t="shared" si="93"/>
        <v>0</v>
      </c>
      <c r="AO118">
        <f t="shared" si="94"/>
        <v>0</v>
      </c>
      <c r="AP118">
        <f t="shared" si="95"/>
        <v>0</v>
      </c>
      <c r="AQ118">
        <f t="shared" si="96"/>
        <v>0</v>
      </c>
      <c r="AR118">
        <f t="shared" si="97"/>
        <v>0</v>
      </c>
      <c r="AS118">
        <f t="shared" si="98"/>
        <v>1</v>
      </c>
      <c r="AT118">
        <f t="shared" si="99"/>
        <v>1</v>
      </c>
      <c r="AU118">
        <f t="shared" si="100"/>
        <v>0</v>
      </c>
      <c r="AV118">
        <f t="shared" si="101"/>
        <v>0</v>
      </c>
      <c r="AW118">
        <f t="shared" si="102"/>
        <v>0</v>
      </c>
      <c r="AX118">
        <f t="shared" si="103"/>
        <v>0</v>
      </c>
      <c r="AY118">
        <f t="shared" si="104"/>
        <v>0</v>
      </c>
      <c r="AZ118">
        <f t="shared" si="105"/>
        <v>0</v>
      </c>
      <c r="BA118">
        <f t="shared" si="106"/>
        <v>0</v>
      </c>
      <c r="BB118">
        <f t="shared" si="107"/>
        <v>0</v>
      </c>
      <c r="BC118">
        <f t="shared" si="108"/>
        <v>0</v>
      </c>
      <c r="BD118">
        <f t="shared" si="109"/>
        <v>0</v>
      </c>
      <c r="BE118">
        <f t="shared" si="110"/>
        <v>0</v>
      </c>
      <c r="BF118">
        <f t="shared" si="111"/>
        <v>0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s="201" customFormat="1" ht="14.25" x14ac:dyDescent="0.2">
      <c r="A119" s="10">
        <v>3369</v>
      </c>
      <c r="B119" s="11" t="s">
        <v>476</v>
      </c>
      <c r="C119" s="105" t="s">
        <v>477</v>
      </c>
      <c r="D119" s="11" t="s">
        <v>154</v>
      </c>
      <c r="E119" s="12">
        <v>20151</v>
      </c>
      <c r="F119" s="202">
        <v>27</v>
      </c>
      <c r="G119" s="11">
        <v>40000</v>
      </c>
      <c r="H119" s="116">
        <v>-10000</v>
      </c>
      <c r="I119" s="192"/>
      <c r="J119" s="204"/>
      <c r="K119" s="193"/>
      <c r="L119" s="193"/>
      <c r="M119" s="193">
        <v>40000</v>
      </c>
      <c r="N119" s="203">
        <f t="shared" si="84"/>
        <v>0</v>
      </c>
      <c r="O119" s="203">
        <f t="shared" si="85"/>
        <v>-10000</v>
      </c>
      <c r="P119" s="203">
        <f t="shared" si="86"/>
        <v>30000</v>
      </c>
      <c r="Q119" s="214">
        <v>46257</v>
      </c>
      <c r="R119" s="219">
        <v>46257</v>
      </c>
      <c r="S119" s="217">
        <v>46224</v>
      </c>
      <c r="T119" s="205"/>
      <c r="U119" s="205"/>
      <c r="V119" s="215" t="s">
        <v>521</v>
      </c>
      <c r="W119" s="212"/>
      <c r="X119" s="10">
        <v>7</v>
      </c>
      <c r="Y119" s="10">
        <v>7</v>
      </c>
      <c r="Z119" s="213">
        <f t="shared" si="87"/>
        <v>0</v>
      </c>
      <c r="AA119" s="62"/>
      <c r="AB119" s="62"/>
      <c r="AC119" s="62"/>
      <c r="AD119" s="62"/>
      <c r="AE119" s="62"/>
      <c r="AF119" s="63"/>
      <c r="AG119" s="64"/>
      <c r="AH119" s="6">
        <v>1</v>
      </c>
      <c r="AI119">
        <f t="shared" si="88"/>
        <v>25</v>
      </c>
      <c r="AJ119">
        <f t="shared" si="89"/>
        <v>25</v>
      </c>
      <c r="AK119">
        <f t="shared" si="90"/>
        <v>0</v>
      </c>
      <c r="AL119">
        <f t="shared" si="91"/>
        <v>0</v>
      </c>
      <c r="AM119">
        <f t="shared" si="92"/>
        <v>0</v>
      </c>
      <c r="AN119">
        <f t="shared" si="93"/>
        <v>0</v>
      </c>
      <c r="AO119">
        <f t="shared" si="94"/>
        <v>0</v>
      </c>
      <c r="AP119">
        <f t="shared" si="95"/>
        <v>0</v>
      </c>
      <c r="AQ119">
        <f t="shared" si="96"/>
        <v>0</v>
      </c>
      <c r="AR119">
        <f t="shared" si="97"/>
        <v>0</v>
      </c>
      <c r="AS119">
        <f t="shared" si="98"/>
        <v>1</v>
      </c>
      <c r="AT119">
        <f t="shared" si="99"/>
        <v>1</v>
      </c>
      <c r="AU119">
        <f t="shared" si="100"/>
        <v>0</v>
      </c>
      <c r="AV119">
        <f t="shared" si="101"/>
        <v>0</v>
      </c>
      <c r="AW119">
        <f t="shared" si="102"/>
        <v>0</v>
      </c>
      <c r="AX119">
        <f t="shared" si="103"/>
        <v>0</v>
      </c>
      <c r="AY119">
        <f t="shared" si="104"/>
        <v>0</v>
      </c>
      <c r="AZ119">
        <f t="shared" si="105"/>
        <v>0</v>
      </c>
      <c r="BA119">
        <f t="shared" si="106"/>
        <v>0</v>
      </c>
      <c r="BB119">
        <f t="shared" si="107"/>
        <v>0</v>
      </c>
      <c r="BC119">
        <f t="shared" si="108"/>
        <v>0</v>
      </c>
      <c r="BD119">
        <f t="shared" si="109"/>
        <v>0</v>
      </c>
      <c r="BE119">
        <f t="shared" si="110"/>
        <v>0</v>
      </c>
      <c r="BF119">
        <f t="shared" si="111"/>
        <v>0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s="201" customFormat="1" ht="14.25" x14ac:dyDescent="0.2">
      <c r="A120" s="10">
        <v>3371</v>
      </c>
      <c r="B120" s="11" t="s">
        <v>478</v>
      </c>
      <c r="C120" s="105" t="s">
        <v>479</v>
      </c>
      <c r="D120" s="11" t="s">
        <v>106</v>
      </c>
      <c r="E120" s="12">
        <v>20186</v>
      </c>
      <c r="F120" s="202">
        <v>27</v>
      </c>
      <c r="G120" s="11">
        <v>99999</v>
      </c>
      <c r="H120" s="116">
        <v>-13</v>
      </c>
      <c r="I120" s="192"/>
      <c r="J120" s="204"/>
      <c r="K120" s="193"/>
      <c r="L120" s="193"/>
      <c r="M120" s="193"/>
      <c r="N120" s="203">
        <f t="shared" si="84"/>
        <v>99999</v>
      </c>
      <c r="O120" s="203">
        <f t="shared" si="85"/>
        <v>99986</v>
      </c>
      <c r="P120" s="203">
        <f t="shared" si="86"/>
        <v>99986</v>
      </c>
      <c r="Q120" s="214"/>
      <c r="R120" s="219">
        <v>46261</v>
      </c>
      <c r="S120" s="217">
        <v>46230</v>
      </c>
      <c r="T120" s="205"/>
      <c r="U120" s="205"/>
      <c r="V120" s="215"/>
      <c r="W120" s="212" t="s">
        <v>544</v>
      </c>
      <c r="X120" s="10">
        <v>7</v>
      </c>
      <c r="Y120" s="10">
        <v>7</v>
      </c>
      <c r="Z120" s="213">
        <f t="shared" si="87"/>
        <v>99999</v>
      </c>
      <c r="AA120" s="62"/>
      <c r="AB120" s="62"/>
      <c r="AC120" s="62"/>
      <c r="AD120" s="62"/>
      <c r="AE120" s="62"/>
      <c r="AF120" s="63"/>
      <c r="AG120" s="64"/>
      <c r="AH120" s="6">
        <v>1</v>
      </c>
      <c r="AI120">
        <f t="shared" si="88"/>
        <v>25</v>
      </c>
      <c r="AJ120">
        <f t="shared" si="89"/>
        <v>25</v>
      </c>
      <c r="AK120">
        <f t="shared" si="90"/>
        <v>0</v>
      </c>
      <c r="AL120">
        <f t="shared" si="91"/>
        <v>0</v>
      </c>
      <c r="AM120">
        <f t="shared" si="92"/>
        <v>0</v>
      </c>
      <c r="AN120">
        <f t="shared" si="93"/>
        <v>0</v>
      </c>
      <c r="AO120">
        <f t="shared" si="94"/>
        <v>0</v>
      </c>
      <c r="AP120">
        <f t="shared" si="95"/>
        <v>0</v>
      </c>
      <c r="AQ120">
        <f t="shared" si="96"/>
        <v>0</v>
      </c>
      <c r="AR120">
        <f t="shared" si="97"/>
        <v>0</v>
      </c>
      <c r="AS120">
        <f t="shared" si="98"/>
        <v>0</v>
      </c>
      <c r="AT120">
        <f t="shared" si="99"/>
        <v>0</v>
      </c>
      <c r="AU120">
        <f t="shared" si="100"/>
        <v>1</v>
      </c>
      <c r="AV120">
        <f t="shared" si="101"/>
        <v>1</v>
      </c>
      <c r="AW120">
        <f t="shared" si="102"/>
        <v>1</v>
      </c>
      <c r="AX120">
        <f t="shared" si="103"/>
        <v>1</v>
      </c>
      <c r="AY120">
        <f t="shared" si="104"/>
        <v>99986</v>
      </c>
      <c r="AZ120">
        <f t="shared" si="105"/>
        <v>99986</v>
      </c>
      <c r="BA120">
        <f t="shared" si="106"/>
        <v>0</v>
      </c>
      <c r="BB120">
        <f t="shared" si="107"/>
        <v>0</v>
      </c>
      <c r="BC120">
        <f t="shared" si="108"/>
        <v>0</v>
      </c>
      <c r="BD120">
        <f t="shared" si="109"/>
        <v>0</v>
      </c>
      <c r="BE120">
        <f t="shared" si="110"/>
        <v>0</v>
      </c>
      <c r="BF120">
        <f t="shared" si="111"/>
        <v>0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s="201" customFormat="1" ht="14.25" x14ac:dyDescent="0.2">
      <c r="A121" s="10">
        <v>3378</v>
      </c>
      <c r="B121" s="11" t="s">
        <v>480</v>
      </c>
      <c r="C121" s="105" t="s">
        <v>481</v>
      </c>
      <c r="D121" s="11" t="s">
        <v>170</v>
      </c>
      <c r="E121" s="12">
        <v>20192</v>
      </c>
      <c r="F121" s="202">
        <v>26</v>
      </c>
      <c r="G121" s="11">
        <v>150000</v>
      </c>
      <c r="H121" s="116">
        <v>0</v>
      </c>
      <c r="I121" s="192"/>
      <c r="J121" s="204"/>
      <c r="K121" s="193"/>
      <c r="L121" s="193"/>
      <c r="M121" s="193">
        <v>150000</v>
      </c>
      <c r="N121" s="203">
        <f t="shared" si="84"/>
        <v>0</v>
      </c>
      <c r="O121" s="203">
        <f t="shared" si="85"/>
        <v>0</v>
      </c>
      <c r="P121" s="203">
        <f t="shared" si="86"/>
        <v>150000</v>
      </c>
      <c r="Q121" s="214">
        <v>46243</v>
      </c>
      <c r="R121" s="219">
        <v>46243</v>
      </c>
      <c r="S121" s="217">
        <v>46211</v>
      </c>
      <c r="T121" s="205"/>
      <c r="U121" s="205"/>
      <c r="V121" s="215" t="s">
        <v>521</v>
      </c>
      <c r="W121" s="212"/>
      <c r="X121" s="10">
        <v>7</v>
      </c>
      <c r="Y121" s="10">
        <v>7</v>
      </c>
      <c r="Z121" s="213">
        <f t="shared" si="87"/>
        <v>0</v>
      </c>
      <c r="AA121" s="62"/>
      <c r="AB121" s="62"/>
      <c r="AC121" s="62"/>
      <c r="AD121" s="62"/>
      <c r="AE121" s="62"/>
      <c r="AF121" s="63"/>
      <c r="AG121" s="64"/>
      <c r="AH121" s="6">
        <v>1</v>
      </c>
      <c r="AI121">
        <f t="shared" si="88"/>
        <v>25</v>
      </c>
      <c r="AJ121">
        <f t="shared" si="89"/>
        <v>15</v>
      </c>
      <c r="AK121">
        <f t="shared" si="90"/>
        <v>0</v>
      </c>
      <c r="AL121">
        <f t="shared" si="91"/>
        <v>0</v>
      </c>
      <c r="AM121">
        <f t="shared" si="92"/>
        <v>0</v>
      </c>
      <c r="AN121">
        <f t="shared" si="93"/>
        <v>0</v>
      </c>
      <c r="AO121">
        <f t="shared" si="94"/>
        <v>0</v>
      </c>
      <c r="AP121">
        <f t="shared" si="95"/>
        <v>0</v>
      </c>
      <c r="AQ121">
        <f t="shared" si="96"/>
        <v>0</v>
      </c>
      <c r="AR121">
        <f t="shared" si="97"/>
        <v>0</v>
      </c>
      <c r="AS121">
        <f t="shared" si="98"/>
        <v>1</v>
      </c>
      <c r="AT121">
        <f t="shared" si="99"/>
        <v>1</v>
      </c>
      <c r="AU121">
        <f t="shared" si="100"/>
        <v>0</v>
      </c>
      <c r="AV121">
        <f t="shared" si="101"/>
        <v>0</v>
      </c>
      <c r="AW121">
        <f t="shared" si="102"/>
        <v>0</v>
      </c>
      <c r="AX121">
        <f t="shared" si="103"/>
        <v>0</v>
      </c>
      <c r="AY121">
        <f t="shared" si="104"/>
        <v>0</v>
      </c>
      <c r="AZ121">
        <f t="shared" si="105"/>
        <v>0</v>
      </c>
      <c r="BA121">
        <f t="shared" si="106"/>
        <v>0</v>
      </c>
      <c r="BB121">
        <f t="shared" si="107"/>
        <v>0</v>
      </c>
      <c r="BC121">
        <f t="shared" si="108"/>
        <v>0</v>
      </c>
      <c r="BD121">
        <f t="shared" si="109"/>
        <v>0</v>
      </c>
      <c r="BE121">
        <f t="shared" si="110"/>
        <v>0</v>
      </c>
      <c r="BF121">
        <f t="shared" si="111"/>
        <v>0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s="201" customFormat="1" ht="14.25" x14ac:dyDescent="0.2">
      <c r="A122" s="10">
        <v>3380</v>
      </c>
      <c r="B122" s="11" t="s">
        <v>482</v>
      </c>
      <c r="C122" s="105" t="s">
        <v>483</v>
      </c>
      <c r="D122" s="11" t="s">
        <v>154</v>
      </c>
      <c r="E122" s="12">
        <v>20198</v>
      </c>
      <c r="F122" s="202">
        <v>26</v>
      </c>
      <c r="G122" s="11">
        <v>50000</v>
      </c>
      <c r="H122" s="116">
        <v>-1</v>
      </c>
      <c r="I122" s="192"/>
      <c r="J122" s="204"/>
      <c r="K122" s="193"/>
      <c r="L122" s="193"/>
      <c r="M122" s="193">
        <v>50000</v>
      </c>
      <c r="N122" s="203">
        <f t="shared" si="84"/>
        <v>0</v>
      </c>
      <c r="O122" s="203">
        <f t="shared" si="85"/>
        <v>-1</v>
      </c>
      <c r="P122" s="203">
        <f t="shared" si="86"/>
        <v>49999</v>
      </c>
      <c r="Q122" s="214">
        <v>46265</v>
      </c>
      <c r="R122" s="219">
        <v>46265</v>
      </c>
      <c r="S122" s="217">
        <v>46234</v>
      </c>
      <c r="T122" s="205"/>
      <c r="U122" s="205"/>
      <c r="V122" s="215" t="s">
        <v>521</v>
      </c>
      <c r="W122" s="212"/>
      <c r="X122" s="10">
        <v>7</v>
      </c>
      <c r="Y122" s="10">
        <v>7</v>
      </c>
      <c r="Z122" s="213">
        <f t="shared" si="87"/>
        <v>0</v>
      </c>
      <c r="AA122" s="62"/>
      <c r="AB122" s="62"/>
      <c r="AC122" s="62"/>
      <c r="AD122" s="62"/>
      <c r="AE122" s="62"/>
      <c r="AF122" s="63"/>
      <c r="AG122" s="64"/>
      <c r="AH122" s="6">
        <v>1</v>
      </c>
      <c r="AI122">
        <f t="shared" si="88"/>
        <v>25</v>
      </c>
      <c r="AJ122">
        <f t="shared" si="89"/>
        <v>25</v>
      </c>
      <c r="AK122">
        <f t="shared" si="90"/>
        <v>0</v>
      </c>
      <c r="AL122">
        <f t="shared" si="91"/>
        <v>0</v>
      </c>
      <c r="AM122">
        <f t="shared" si="92"/>
        <v>0</v>
      </c>
      <c r="AN122">
        <f t="shared" si="93"/>
        <v>0</v>
      </c>
      <c r="AO122">
        <f t="shared" si="94"/>
        <v>0</v>
      </c>
      <c r="AP122">
        <f t="shared" si="95"/>
        <v>0</v>
      </c>
      <c r="AQ122">
        <f t="shared" si="96"/>
        <v>0</v>
      </c>
      <c r="AR122">
        <f t="shared" si="97"/>
        <v>0</v>
      </c>
      <c r="AS122">
        <f t="shared" si="98"/>
        <v>1</v>
      </c>
      <c r="AT122">
        <f t="shared" si="99"/>
        <v>1</v>
      </c>
      <c r="AU122">
        <f t="shared" si="100"/>
        <v>0</v>
      </c>
      <c r="AV122">
        <f t="shared" si="101"/>
        <v>0</v>
      </c>
      <c r="AW122">
        <f t="shared" si="102"/>
        <v>0</v>
      </c>
      <c r="AX122">
        <f t="shared" si="103"/>
        <v>0</v>
      </c>
      <c r="AY122">
        <f t="shared" si="104"/>
        <v>0</v>
      </c>
      <c r="AZ122">
        <f t="shared" si="105"/>
        <v>0</v>
      </c>
      <c r="BA122">
        <f t="shared" si="106"/>
        <v>0</v>
      </c>
      <c r="BB122">
        <f t="shared" si="107"/>
        <v>0</v>
      </c>
      <c r="BC122">
        <f t="shared" si="108"/>
        <v>0</v>
      </c>
      <c r="BD122">
        <f t="shared" si="109"/>
        <v>0</v>
      </c>
      <c r="BE122">
        <f t="shared" si="110"/>
        <v>0</v>
      </c>
      <c r="BF122">
        <f t="shared" si="111"/>
        <v>0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s="201" customFormat="1" ht="14.25" x14ac:dyDescent="0.2">
      <c r="A123" s="10">
        <v>3381</v>
      </c>
      <c r="B123" s="11" t="s">
        <v>484</v>
      </c>
      <c r="C123" s="105" t="s">
        <v>485</v>
      </c>
      <c r="D123" s="11" t="s">
        <v>154</v>
      </c>
      <c r="E123" s="12">
        <v>20200</v>
      </c>
      <c r="F123" s="202">
        <v>26</v>
      </c>
      <c r="G123" s="11">
        <v>99999</v>
      </c>
      <c r="H123" s="116">
        <v>-5</v>
      </c>
      <c r="I123" s="192"/>
      <c r="J123" s="204"/>
      <c r="K123" s="193"/>
      <c r="L123" s="193"/>
      <c r="M123" s="193">
        <v>100000</v>
      </c>
      <c r="N123" s="203">
        <f t="shared" si="84"/>
        <v>-1</v>
      </c>
      <c r="O123" s="203">
        <f t="shared" si="85"/>
        <v>-6</v>
      </c>
      <c r="P123" s="203">
        <f t="shared" si="86"/>
        <v>99994</v>
      </c>
      <c r="Q123" s="214">
        <v>46252</v>
      </c>
      <c r="R123" s="219">
        <v>46223</v>
      </c>
      <c r="S123" s="217">
        <v>46223</v>
      </c>
      <c r="T123" s="205"/>
      <c r="U123" s="205"/>
      <c r="V123" s="215" t="s">
        <v>521</v>
      </c>
      <c r="W123" s="212"/>
      <c r="X123" s="10">
        <v>7</v>
      </c>
      <c r="Y123" s="10">
        <v>7</v>
      </c>
      <c r="Z123" s="213">
        <f t="shared" si="87"/>
        <v>0</v>
      </c>
      <c r="AA123" s="62"/>
      <c r="AB123" s="62"/>
      <c r="AC123" s="62"/>
      <c r="AD123" s="62"/>
      <c r="AE123" s="62"/>
      <c r="AF123" s="63"/>
      <c r="AG123" s="64"/>
      <c r="AH123" s="6">
        <v>1</v>
      </c>
      <c r="AI123">
        <f t="shared" si="88"/>
        <v>25</v>
      </c>
      <c r="AJ123">
        <f t="shared" si="89"/>
        <v>25</v>
      </c>
      <c r="AK123">
        <f t="shared" si="90"/>
        <v>0</v>
      </c>
      <c r="AL123">
        <f t="shared" si="91"/>
        <v>0</v>
      </c>
      <c r="AM123">
        <f t="shared" si="92"/>
        <v>0</v>
      </c>
      <c r="AN123">
        <f t="shared" si="93"/>
        <v>0</v>
      </c>
      <c r="AO123">
        <f t="shared" si="94"/>
        <v>0</v>
      </c>
      <c r="AP123">
        <f t="shared" si="95"/>
        <v>0</v>
      </c>
      <c r="AQ123">
        <f t="shared" si="96"/>
        <v>0</v>
      </c>
      <c r="AR123">
        <f t="shared" si="97"/>
        <v>0</v>
      </c>
      <c r="AS123">
        <f t="shared" si="98"/>
        <v>1</v>
      </c>
      <c r="AT123">
        <f t="shared" si="99"/>
        <v>1</v>
      </c>
      <c r="AU123">
        <f t="shared" si="100"/>
        <v>0</v>
      </c>
      <c r="AV123">
        <f t="shared" si="101"/>
        <v>0</v>
      </c>
      <c r="AW123">
        <f t="shared" si="102"/>
        <v>0</v>
      </c>
      <c r="AX123">
        <f t="shared" si="103"/>
        <v>0</v>
      </c>
      <c r="AY123">
        <f t="shared" si="104"/>
        <v>0</v>
      </c>
      <c r="AZ123">
        <f t="shared" si="105"/>
        <v>0</v>
      </c>
      <c r="BA123">
        <f t="shared" si="106"/>
        <v>0</v>
      </c>
      <c r="BB123">
        <f t="shared" si="107"/>
        <v>0</v>
      </c>
      <c r="BC123">
        <f t="shared" si="108"/>
        <v>0</v>
      </c>
      <c r="BD123">
        <f t="shared" si="109"/>
        <v>0</v>
      </c>
      <c r="BE123">
        <f t="shared" si="110"/>
        <v>0</v>
      </c>
      <c r="BF123">
        <f t="shared" si="111"/>
        <v>0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s="201" customFormat="1" ht="14.25" x14ac:dyDescent="0.2">
      <c r="A124" s="10">
        <v>3388</v>
      </c>
      <c r="B124" s="11" t="s">
        <v>486</v>
      </c>
      <c r="C124" s="105" t="s">
        <v>487</v>
      </c>
      <c r="D124" s="11" t="s">
        <v>106</v>
      </c>
      <c r="E124" s="12">
        <v>20211</v>
      </c>
      <c r="F124" s="202">
        <v>26</v>
      </c>
      <c r="G124" s="11">
        <v>80000</v>
      </c>
      <c r="H124" s="116">
        <v>0</v>
      </c>
      <c r="I124" s="192"/>
      <c r="J124" s="204"/>
      <c r="K124" s="193"/>
      <c r="L124" s="193"/>
      <c r="M124" s="193">
        <v>80000</v>
      </c>
      <c r="N124" s="203">
        <f t="shared" si="84"/>
        <v>0</v>
      </c>
      <c r="O124" s="203">
        <f t="shared" si="85"/>
        <v>0</v>
      </c>
      <c r="P124" s="203">
        <f t="shared" si="86"/>
        <v>80000</v>
      </c>
      <c r="Q124" s="214">
        <v>46265</v>
      </c>
      <c r="R124" s="219">
        <v>46264</v>
      </c>
      <c r="S124" s="217">
        <v>46233</v>
      </c>
      <c r="T124" s="205"/>
      <c r="U124" s="205"/>
      <c r="V124" s="215" t="s">
        <v>531</v>
      </c>
      <c r="W124" s="212"/>
      <c r="X124" s="10">
        <v>7</v>
      </c>
      <c r="Y124" s="10">
        <v>7</v>
      </c>
      <c r="Z124" s="213">
        <f t="shared" si="87"/>
        <v>0</v>
      </c>
      <c r="AA124" s="62"/>
      <c r="AB124" s="62"/>
      <c r="AC124" s="62"/>
      <c r="AD124" s="62"/>
      <c r="AE124" s="62"/>
      <c r="AF124" s="63"/>
      <c r="AG124" s="64"/>
      <c r="AH124" s="6">
        <v>1</v>
      </c>
      <c r="AI124">
        <f t="shared" si="88"/>
        <v>25</v>
      </c>
      <c r="AJ124">
        <f t="shared" si="89"/>
        <v>15</v>
      </c>
      <c r="AK124">
        <f t="shared" si="90"/>
        <v>0</v>
      </c>
      <c r="AL124">
        <f t="shared" si="91"/>
        <v>0</v>
      </c>
      <c r="AM124">
        <f t="shared" si="92"/>
        <v>0</v>
      </c>
      <c r="AN124">
        <f t="shared" si="93"/>
        <v>0</v>
      </c>
      <c r="AO124">
        <f t="shared" si="94"/>
        <v>0</v>
      </c>
      <c r="AP124">
        <f t="shared" si="95"/>
        <v>0</v>
      </c>
      <c r="AQ124">
        <f t="shared" si="96"/>
        <v>0</v>
      </c>
      <c r="AR124">
        <f t="shared" si="97"/>
        <v>0</v>
      </c>
      <c r="AS124">
        <f t="shared" si="98"/>
        <v>1</v>
      </c>
      <c r="AT124">
        <f t="shared" si="99"/>
        <v>1</v>
      </c>
      <c r="AU124">
        <f t="shared" si="100"/>
        <v>0</v>
      </c>
      <c r="AV124">
        <f t="shared" si="101"/>
        <v>0</v>
      </c>
      <c r="AW124">
        <f t="shared" si="102"/>
        <v>0</v>
      </c>
      <c r="AX124">
        <f t="shared" si="103"/>
        <v>0</v>
      </c>
      <c r="AY124">
        <f t="shared" si="104"/>
        <v>0</v>
      </c>
      <c r="AZ124">
        <f t="shared" si="105"/>
        <v>0</v>
      </c>
      <c r="BA124">
        <f t="shared" si="106"/>
        <v>0</v>
      </c>
      <c r="BB124">
        <f t="shared" si="107"/>
        <v>0</v>
      </c>
      <c r="BC124">
        <f t="shared" si="108"/>
        <v>0</v>
      </c>
      <c r="BD124">
        <f t="shared" si="109"/>
        <v>0</v>
      </c>
      <c r="BE124">
        <f t="shared" si="110"/>
        <v>0</v>
      </c>
      <c r="BF124">
        <f t="shared" si="111"/>
        <v>0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</row>
    <row r="125" spans="1:256" s="201" customFormat="1" ht="14.25" x14ac:dyDescent="0.2">
      <c r="A125" s="10">
        <v>3400</v>
      </c>
      <c r="B125" s="11" t="s">
        <v>488</v>
      </c>
      <c r="C125" s="105" t="s">
        <v>489</v>
      </c>
      <c r="D125" s="11" t="s">
        <v>144</v>
      </c>
      <c r="E125" s="12">
        <v>20201</v>
      </c>
      <c r="F125" s="202">
        <v>25</v>
      </c>
      <c r="G125" s="11">
        <v>60000</v>
      </c>
      <c r="H125" s="116">
        <v>0</v>
      </c>
      <c r="I125" s="192"/>
      <c r="J125" s="204"/>
      <c r="K125" s="193"/>
      <c r="L125" s="193"/>
      <c r="M125" s="193"/>
      <c r="N125" s="203">
        <f t="shared" si="84"/>
        <v>60000</v>
      </c>
      <c r="O125" s="203">
        <f t="shared" si="85"/>
        <v>60000</v>
      </c>
      <c r="P125" s="203">
        <f t="shared" si="86"/>
        <v>60000</v>
      </c>
      <c r="Q125" s="214"/>
      <c r="R125" s="219"/>
      <c r="S125" s="217">
        <v>46211</v>
      </c>
      <c r="T125" s="205"/>
      <c r="U125" s="205"/>
      <c r="V125" s="215"/>
      <c r="W125" s="212" t="s">
        <v>542</v>
      </c>
      <c r="X125" s="10">
        <v>7</v>
      </c>
      <c r="Y125" s="10">
        <v>7</v>
      </c>
      <c r="Z125" s="213">
        <f t="shared" si="87"/>
        <v>60000</v>
      </c>
      <c r="AA125" s="62"/>
      <c r="AB125" s="62"/>
      <c r="AC125" s="62"/>
      <c r="AD125" s="62"/>
      <c r="AE125" s="62"/>
      <c r="AF125" s="63"/>
      <c r="AG125" s="64"/>
      <c r="AH125" s="6">
        <v>1</v>
      </c>
      <c r="AI125">
        <f t="shared" si="88"/>
        <v>25</v>
      </c>
      <c r="AJ125">
        <f t="shared" si="89"/>
        <v>25</v>
      </c>
      <c r="AK125">
        <f t="shared" si="90"/>
        <v>0</v>
      </c>
      <c r="AL125">
        <f t="shared" si="91"/>
        <v>0</v>
      </c>
      <c r="AM125">
        <f t="shared" si="92"/>
        <v>0</v>
      </c>
      <c r="AN125">
        <f t="shared" si="93"/>
        <v>0</v>
      </c>
      <c r="AO125">
        <f t="shared" si="94"/>
        <v>0</v>
      </c>
      <c r="AP125">
        <f t="shared" si="95"/>
        <v>0</v>
      </c>
      <c r="AQ125">
        <f t="shared" si="96"/>
        <v>0</v>
      </c>
      <c r="AR125">
        <f t="shared" si="97"/>
        <v>0</v>
      </c>
      <c r="AS125">
        <f t="shared" si="98"/>
        <v>0</v>
      </c>
      <c r="AT125">
        <f t="shared" si="99"/>
        <v>0</v>
      </c>
      <c r="AU125">
        <f t="shared" si="100"/>
        <v>1</v>
      </c>
      <c r="AV125">
        <f t="shared" si="101"/>
        <v>1</v>
      </c>
      <c r="AW125">
        <f t="shared" si="102"/>
        <v>1</v>
      </c>
      <c r="AX125">
        <f t="shared" si="103"/>
        <v>1</v>
      </c>
      <c r="AY125">
        <f t="shared" si="104"/>
        <v>60000</v>
      </c>
      <c r="AZ125">
        <f t="shared" si="105"/>
        <v>60000</v>
      </c>
      <c r="BA125">
        <f t="shared" si="106"/>
        <v>0</v>
      </c>
      <c r="BB125">
        <f t="shared" si="107"/>
        <v>0</v>
      </c>
      <c r="BC125">
        <f t="shared" si="108"/>
        <v>0</v>
      </c>
      <c r="BD125">
        <f t="shared" si="109"/>
        <v>0</v>
      </c>
      <c r="BE125">
        <f t="shared" si="110"/>
        <v>0</v>
      </c>
      <c r="BF125">
        <f t="shared" si="111"/>
        <v>0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</row>
    <row r="126" spans="1:256" s="201" customFormat="1" ht="14.25" x14ac:dyDescent="0.2">
      <c r="A126" s="10">
        <v>3401</v>
      </c>
      <c r="B126" s="11" t="s">
        <v>490</v>
      </c>
      <c r="C126" s="105" t="s">
        <v>491</v>
      </c>
      <c r="D126" s="11" t="s">
        <v>105</v>
      </c>
      <c r="E126" s="12">
        <v>20219</v>
      </c>
      <c r="F126" s="202">
        <v>25</v>
      </c>
      <c r="G126" s="11">
        <v>60000</v>
      </c>
      <c r="H126" s="116">
        <v>-60000</v>
      </c>
      <c r="I126" s="192"/>
      <c r="J126" s="204"/>
      <c r="K126" s="193"/>
      <c r="L126" s="193"/>
      <c r="M126" s="193"/>
      <c r="N126" s="203">
        <f t="shared" si="84"/>
        <v>60000</v>
      </c>
      <c r="O126" s="203">
        <f t="shared" si="85"/>
        <v>0</v>
      </c>
      <c r="P126" s="203">
        <f t="shared" si="86"/>
        <v>0</v>
      </c>
      <c r="Q126" s="214"/>
      <c r="R126" s="219">
        <v>46234</v>
      </c>
      <c r="S126" s="217">
        <v>46234</v>
      </c>
      <c r="T126" s="205"/>
      <c r="U126" s="205"/>
      <c r="V126" s="215"/>
      <c r="W126" s="212" t="s">
        <v>545</v>
      </c>
      <c r="X126" s="10">
        <v>7</v>
      </c>
      <c r="Y126" s="10">
        <v>7</v>
      </c>
      <c r="Z126" s="213">
        <f t="shared" si="87"/>
        <v>60000</v>
      </c>
      <c r="AA126" s="62"/>
      <c r="AB126" s="62"/>
      <c r="AC126" s="62"/>
      <c r="AD126" s="62"/>
      <c r="AE126" s="62"/>
      <c r="AF126" s="63"/>
      <c r="AG126" s="64"/>
      <c r="AH126" s="6">
        <v>1</v>
      </c>
      <c r="AI126">
        <f t="shared" si="88"/>
        <v>25</v>
      </c>
      <c r="AJ126">
        <f t="shared" si="89"/>
        <v>15</v>
      </c>
      <c r="AK126">
        <f t="shared" si="90"/>
        <v>0</v>
      </c>
      <c r="AL126">
        <f t="shared" si="91"/>
        <v>0</v>
      </c>
      <c r="AM126">
        <f t="shared" si="92"/>
        <v>0</v>
      </c>
      <c r="AN126">
        <f t="shared" si="93"/>
        <v>0</v>
      </c>
      <c r="AO126">
        <f t="shared" si="94"/>
        <v>0</v>
      </c>
      <c r="AP126">
        <f t="shared" si="95"/>
        <v>0</v>
      </c>
      <c r="AQ126">
        <f t="shared" si="96"/>
        <v>0</v>
      </c>
      <c r="AR126">
        <f t="shared" si="97"/>
        <v>0</v>
      </c>
      <c r="AS126">
        <f t="shared" si="98"/>
        <v>0</v>
      </c>
      <c r="AT126">
        <f t="shared" si="99"/>
        <v>0</v>
      </c>
      <c r="AU126">
        <f t="shared" si="100"/>
        <v>0</v>
      </c>
      <c r="AV126">
        <f t="shared" si="101"/>
        <v>0</v>
      </c>
      <c r="AW126">
        <f t="shared" si="102"/>
        <v>0</v>
      </c>
      <c r="AX126">
        <f t="shared" si="103"/>
        <v>0</v>
      </c>
      <c r="AY126">
        <f t="shared" si="104"/>
        <v>0</v>
      </c>
      <c r="AZ126">
        <f t="shared" si="105"/>
        <v>0</v>
      </c>
      <c r="BA126">
        <f t="shared" si="106"/>
        <v>0</v>
      </c>
      <c r="BB126">
        <f t="shared" si="107"/>
        <v>0</v>
      </c>
      <c r="BC126">
        <f t="shared" si="108"/>
        <v>0</v>
      </c>
      <c r="BD126">
        <f t="shared" si="109"/>
        <v>0</v>
      </c>
      <c r="BE126">
        <f t="shared" si="110"/>
        <v>0</v>
      </c>
      <c r="BF126">
        <f t="shared" si="111"/>
        <v>0</v>
      </c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</row>
    <row r="127" spans="1:256" s="201" customFormat="1" ht="14.25" x14ac:dyDescent="0.2">
      <c r="A127" s="10">
        <v>3402</v>
      </c>
      <c r="B127" s="11" t="s">
        <v>492</v>
      </c>
      <c r="C127" s="105" t="s">
        <v>493</v>
      </c>
      <c r="D127" s="11" t="s">
        <v>105</v>
      </c>
      <c r="E127" s="12">
        <v>20215</v>
      </c>
      <c r="F127" s="202">
        <v>25</v>
      </c>
      <c r="G127" s="11">
        <v>60000</v>
      </c>
      <c r="H127" s="116">
        <v>0</v>
      </c>
      <c r="I127" s="192"/>
      <c r="J127" s="204"/>
      <c r="K127" s="193"/>
      <c r="L127" s="193"/>
      <c r="M127" s="193">
        <v>60000</v>
      </c>
      <c r="N127" s="203">
        <f t="shared" si="84"/>
        <v>0</v>
      </c>
      <c r="O127" s="203">
        <f t="shared" si="85"/>
        <v>0</v>
      </c>
      <c r="P127" s="203">
        <f t="shared" si="86"/>
        <v>60000</v>
      </c>
      <c r="Q127" s="214">
        <v>46254</v>
      </c>
      <c r="R127" s="219">
        <v>46234</v>
      </c>
      <c r="S127" s="217">
        <v>46234</v>
      </c>
      <c r="T127" s="205"/>
      <c r="U127" s="205"/>
      <c r="V127" s="215" t="s">
        <v>521</v>
      </c>
      <c r="W127" s="212"/>
      <c r="X127" s="10">
        <v>7</v>
      </c>
      <c r="Y127" s="10">
        <v>7</v>
      </c>
      <c r="Z127" s="213">
        <f t="shared" si="87"/>
        <v>0</v>
      </c>
      <c r="AA127" s="62"/>
      <c r="AB127" s="62"/>
      <c r="AC127" s="62"/>
      <c r="AD127" s="62"/>
      <c r="AE127" s="62"/>
      <c r="AF127" s="63"/>
      <c r="AG127" s="64"/>
      <c r="AH127" s="6">
        <v>1</v>
      </c>
      <c r="AI127">
        <f t="shared" si="88"/>
        <v>25</v>
      </c>
      <c r="AJ127">
        <f t="shared" si="89"/>
        <v>15</v>
      </c>
      <c r="AK127">
        <f t="shared" si="90"/>
        <v>0</v>
      </c>
      <c r="AL127">
        <f t="shared" si="91"/>
        <v>0</v>
      </c>
      <c r="AM127">
        <f t="shared" si="92"/>
        <v>0</v>
      </c>
      <c r="AN127">
        <f t="shared" si="93"/>
        <v>0</v>
      </c>
      <c r="AO127">
        <f t="shared" si="94"/>
        <v>0</v>
      </c>
      <c r="AP127">
        <f t="shared" si="95"/>
        <v>0</v>
      </c>
      <c r="AQ127">
        <f t="shared" si="96"/>
        <v>0</v>
      </c>
      <c r="AR127">
        <f t="shared" si="97"/>
        <v>0</v>
      </c>
      <c r="AS127">
        <f t="shared" si="98"/>
        <v>1</v>
      </c>
      <c r="AT127">
        <f t="shared" si="99"/>
        <v>1</v>
      </c>
      <c r="AU127">
        <f t="shared" si="100"/>
        <v>0</v>
      </c>
      <c r="AV127">
        <f t="shared" si="101"/>
        <v>0</v>
      </c>
      <c r="AW127">
        <f t="shared" si="102"/>
        <v>0</v>
      </c>
      <c r="AX127">
        <f t="shared" si="103"/>
        <v>0</v>
      </c>
      <c r="AY127">
        <f t="shared" si="104"/>
        <v>0</v>
      </c>
      <c r="AZ127">
        <f t="shared" si="105"/>
        <v>0</v>
      </c>
      <c r="BA127">
        <f t="shared" si="106"/>
        <v>0</v>
      </c>
      <c r="BB127">
        <f t="shared" si="107"/>
        <v>0</v>
      </c>
      <c r="BC127">
        <f t="shared" si="108"/>
        <v>0</v>
      </c>
      <c r="BD127">
        <f t="shared" si="109"/>
        <v>0</v>
      </c>
      <c r="BE127">
        <f t="shared" si="110"/>
        <v>0</v>
      </c>
      <c r="BF127">
        <f t="shared" si="111"/>
        <v>0</v>
      </c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</row>
    <row r="128" spans="1:256" s="201" customFormat="1" ht="14.25" x14ac:dyDescent="0.2">
      <c r="A128" s="10">
        <v>3404</v>
      </c>
      <c r="B128" s="11" t="s">
        <v>494</v>
      </c>
      <c r="C128" s="105">
        <v>2644441339</v>
      </c>
      <c r="D128" s="11" t="s">
        <v>170</v>
      </c>
      <c r="E128" s="12">
        <v>20270</v>
      </c>
      <c r="F128" s="202">
        <v>25</v>
      </c>
      <c r="G128" s="11">
        <v>60000</v>
      </c>
      <c r="H128" s="116">
        <v>0</v>
      </c>
      <c r="I128" s="192"/>
      <c r="J128" s="204"/>
      <c r="K128" s="193"/>
      <c r="L128" s="193"/>
      <c r="M128" s="193">
        <v>60000</v>
      </c>
      <c r="N128" s="203">
        <f t="shared" si="84"/>
        <v>0</v>
      </c>
      <c r="O128" s="203">
        <f t="shared" si="85"/>
        <v>0</v>
      </c>
      <c r="P128" s="203">
        <f t="shared" si="86"/>
        <v>60000</v>
      </c>
      <c r="Q128" s="214">
        <v>46240</v>
      </c>
      <c r="R128" s="219">
        <v>46240</v>
      </c>
      <c r="S128" s="217">
        <v>46211</v>
      </c>
      <c r="T128" s="205"/>
      <c r="U128" s="205"/>
      <c r="V128" s="215" t="s">
        <v>521</v>
      </c>
      <c r="W128" s="212"/>
      <c r="X128" s="10">
        <v>7</v>
      </c>
      <c r="Y128" s="10">
        <v>7</v>
      </c>
      <c r="Z128" s="213">
        <f t="shared" si="87"/>
        <v>0</v>
      </c>
      <c r="AA128" s="62"/>
      <c r="AB128" s="62"/>
      <c r="AC128" s="62"/>
      <c r="AD128" s="62"/>
      <c r="AE128" s="62"/>
      <c r="AF128" s="63"/>
      <c r="AG128" s="64"/>
      <c r="AH128" s="6">
        <v>1</v>
      </c>
      <c r="AI128">
        <f t="shared" si="88"/>
        <v>25</v>
      </c>
      <c r="AJ128">
        <f t="shared" si="89"/>
        <v>15</v>
      </c>
      <c r="AK128">
        <f t="shared" si="90"/>
        <v>0</v>
      </c>
      <c r="AL128">
        <f t="shared" si="91"/>
        <v>0</v>
      </c>
      <c r="AM128">
        <f t="shared" si="92"/>
        <v>0</v>
      </c>
      <c r="AN128">
        <f t="shared" si="93"/>
        <v>0</v>
      </c>
      <c r="AO128">
        <f t="shared" si="94"/>
        <v>0</v>
      </c>
      <c r="AP128">
        <f t="shared" si="95"/>
        <v>0</v>
      </c>
      <c r="AQ128">
        <f t="shared" si="96"/>
        <v>0</v>
      </c>
      <c r="AR128">
        <f t="shared" si="97"/>
        <v>0</v>
      </c>
      <c r="AS128">
        <f t="shared" si="98"/>
        <v>1</v>
      </c>
      <c r="AT128">
        <f t="shared" si="99"/>
        <v>1</v>
      </c>
      <c r="AU128">
        <f t="shared" si="100"/>
        <v>0</v>
      </c>
      <c r="AV128">
        <f t="shared" si="101"/>
        <v>0</v>
      </c>
      <c r="AW128">
        <f t="shared" si="102"/>
        <v>0</v>
      </c>
      <c r="AX128">
        <f t="shared" si="103"/>
        <v>0</v>
      </c>
      <c r="AY128">
        <f t="shared" si="104"/>
        <v>0</v>
      </c>
      <c r="AZ128">
        <f t="shared" si="105"/>
        <v>0</v>
      </c>
      <c r="BA128">
        <f t="shared" si="106"/>
        <v>0</v>
      </c>
      <c r="BB128">
        <f t="shared" si="107"/>
        <v>0</v>
      </c>
      <c r="BC128">
        <f t="shared" si="108"/>
        <v>0</v>
      </c>
      <c r="BD128">
        <f t="shared" si="109"/>
        <v>0</v>
      </c>
      <c r="BE128">
        <f t="shared" si="110"/>
        <v>0</v>
      </c>
      <c r="BF128">
        <f t="shared" si="111"/>
        <v>0</v>
      </c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</row>
    <row r="129" spans="1:256" s="201" customFormat="1" ht="14.25" x14ac:dyDescent="0.2">
      <c r="A129" s="10">
        <v>3409</v>
      </c>
      <c r="B129" s="11" t="s">
        <v>495</v>
      </c>
      <c r="C129" s="105" t="s">
        <v>496</v>
      </c>
      <c r="D129" s="11" t="s">
        <v>235</v>
      </c>
      <c r="E129" s="12">
        <v>20227</v>
      </c>
      <c r="F129" s="202">
        <v>25</v>
      </c>
      <c r="G129" s="11">
        <v>120000</v>
      </c>
      <c r="H129" s="116">
        <v>-120000</v>
      </c>
      <c r="I129" s="192"/>
      <c r="J129" s="204"/>
      <c r="K129" s="193"/>
      <c r="L129" s="193"/>
      <c r="M129" s="193">
        <v>120000</v>
      </c>
      <c r="N129" s="203">
        <f t="shared" si="84"/>
        <v>0</v>
      </c>
      <c r="O129" s="203">
        <f t="shared" si="85"/>
        <v>-120000</v>
      </c>
      <c r="P129" s="203">
        <f t="shared" si="86"/>
        <v>0</v>
      </c>
      <c r="Q129" s="214">
        <v>46252</v>
      </c>
      <c r="R129" s="219">
        <v>46213</v>
      </c>
      <c r="S129" s="217">
        <v>46213</v>
      </c>
      <c r="T129" s="205"/>
      <c r="U129" s="205"/>
      <c r="V129" s="215" t="s">
        <v>521</v>
      </c>
      <c r="W129" s="212"/>
      <c r="X129" s="10">
        <v>7</v>
      </c>
      <c r="Y129" s="10">
        <v>7</v>
      </c>
      <c r="Z129" s="213">
        <f t="shared" si="87"/>
        <v>0</v>
      </c>
      <c r="AA129" s="62"/>
      <c r="AB129" s="62"/>
      <c r="AC129" s="62"/>
      <c r="AD129" s="62"/>
      <c r="AE129" s="62"/>
      <c r="AF129" s="63"/>
      <c r="AG129" s="64"/>
      <c r="AH129" s="6">
        <v>1</v>
      </c>
      <c r="AI129">
        <f t="shared" si="88"/>
        <v>25</v>
      </c>
      <c r="AJ129">
        <f t="shared" si="89"/>
        <v>25</v>
      </c>
      <c r="AK129">
        <f t="shared" si="90"/>
        <v>0</v>
      </c>
      <c r="AL129">
        <f t="shared" si="91"/>
        <v>0</v>
      </c>
      <c r="AM129">
        <f t="shared" si="92"/>
        <v>0</v>
      </c>
      <c r="AN129">
        <f t="shared" si="93"/>
        <v>0</v>
      </c>
      <c r="AO129">
        <f t="shared" si="94"/>
        <v>0</v>
      </c>
      <c r="AP129">
        <f t="shared" si="95"/>
        <v>0</v>
      </c>
      <c r="AQ129">
        <f t="shared" si="96"/>
        <v>0</v>
      </c>
      <c r="AR129">
        <f t="shared" si="97"/>
        <v>0</v>
      </c>
      <c r="AS129">
        <f t="shared" si="98"/>
        <v>1</v>
      </c>
      <c r="AT129">
        <f t="shared" si="99"/>
        <v>1</v>
      </c>
      <c r="AU129">
        <f t="shared" si="100"/>
        <v>0</v>
      </c>
      <c r="AV129">
        <f t="shared" si="101"/>
        <v>0</v>
      </c>
      <c r="AW129">
        <f t="shared" si="102"/>
        <v>0</v>
      </c>
      <c r="AX129">
        <f t="shared" si="103"/>
        <v>0</v>
      </c>
      <c r="AY129">
        <f t="shared" si="104"/>
        <v>0</v>
      </c>
      <c r="AZ129">
        <f t="shared" si="105"/>
        <v>0</v>
      </c>
      <c r="BA129">
        <f t="shared" si="106"/>
        <v>0</v>
      </c>
      <c r="BB129">
        <f t="shared" si="107"/>
        <v>0</v>
      </c>
      <c r="BC129">
        <f t="shared" si="108"/>
        <v>0</v>
      </c>
      <c r="BD129">
        <f t="shared" si="109"/>
        <v>0</v>
      </c>
      <c r="BE129">
        <f t="shared" si="110"/>
        <v>0</v>
      </c>
      <c r="BF129">
        <f t="shared" si="111"/>
        <v>0</v>
      </c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</row>
    <row r="130" spans="1:256" s="201" customFormat="1" ht="14.25" x14ac:dyDescent="0.2">
      <c r="A130" s="10">
        <v>3418</v>
      </c>
      <c r="B130" s="11" t="s">
        <v>497</v>
      </c>
      <c r="C130" s="105" t="s">
        <v>498</v>
      </c>
      <c r="D130" s="11" t="s">
        <v>105</v>
      </c>
      <c r="E130" s="12">
        <v>20242</v>
      </c>
      <c r="F130" s="202">
        <v>24</v>
      </c>
      <c r="G130" s="11">
        <v>90000</v>
      </c>
      <c r="H130" s="116">
        <v>0</v>
      </c>
      <c r="I130" s="192"/>
      <c r="J130" s="204"/>
      <c r="K130" s="193"/>
      <c r="L130" s="193"/>
      <c r="M130" s="193">
        <v>90000</v>
      </c>
      <c r="N130" s="203">
        <f t="shared" si="84"/>
        <v>0</v>
      </c>
      <c r="O130" s="203">
        <f t="shared" si="85"/>
        <v>0</v>
      </c>
      <c r="P130" s="203">
        <f t="shared" si="86"/>
        <v>90000</v>
      </c>
      <c r="Q130" s="214">
        <v>46245</v>
      </c>
      <c r="R130" s="219">
        <v>46245</v>
      </c>
      <c r="S130" s="217">
        <v>46209</v>
      </c>
      <c r="T130" s="205"/>
      <c r="U130" s="205"/>
      <c r="V130" s="215" t="s">
        <v>521</v>
      </c>
      <c r="W130" s="212"/>
      <c r="X130" s="10">
        <v>7</v>
      </c>
      <c r="Y130" s="10">
        <v>7</v>
      </c>
      <c r="Z130" s="213">
        <f t="shared" si="87"/>
        <v>0</v>
      </c>
      <c r="AA130" s="62"/>
      <c r="AB130" s="62"/>
      <c r="AC130" s="62"/>
      <c r="AD130" s="62"/>
      <c r="AE130" s="62"/>
      <c r="AF130" s="63"/>
      <c r="AG130" s="64"/>
      <c r="AH130" s="6">
        <v>1</v>
      </c>
      <c r="AI130">
        <f t="shared" si="88"/>
        <v>25</v>
      </c>
      <c r="AJ130">
        <f t="shared" si="89"/>
        <v>15</v>
      </c>
      <c r="AK130">
        <f t="shared" si="90"/>
        <v>0</v>
      </c>
      <c r="AL130">
        <f t="shared" si="91"/>
        <v>0</v>
      </c>
      <c r="AM130">
        <f t="shared" si="92"/>
        <v>0</v>
      </c>
      <c r="AN130">
        <f t="shared" si="93"/>
        <v>0</v>
      </c>
      <c r="AO130">
        <f t="shared" si="94"/>
        <v>0</v>
      </c>
      <c r="AP130">
        <f t="shared" si="95"/>
        <v>0</v>
      </c>
      <c r="AQ130">
        <f t="shared" si="96"/>
        <v>0</v>
      </c>
      <c r="AR130">
        <f t="shared" si="97"/>
        <v>0</v>
      </c>
      <c r="AS130">
        <f t="shared" si="98"/>
        <v>1</v>
      </c>
      <c r="AT130">
        <f t="shared" si="99"/>
        <v>1</v>
      </c>
      <c r="AU130">
        <f t="shared" si="100"/>
        <v>0</v>
      </c>
      <c r="AV130">
        <f t="shared" si="101"/>
        <v>0</v>
      </c>
      <c r="AW130">
        <f t="shared" si="102"/>
        <v>0</v>
      </c>
      <c r="AX130">
        <f t="shared" si="103"/>
        <v>0</v>
      </c>
      <c r="AY130">
        <f t="shared" si="104"/>
        <v>0</v>
      </c>
      <c r="AZ130">
        <f t="shared" si="105"/>
        <v>0</v>
      </c>
      <c r="BA130">
        <f t="shared" si="106"/>
        <v>0</v>
      </c>
      <c r="BB130">
        <f t="shared" si="107"/>
        <v>0</v>
      </c>
      <c r="BC130">
        <f t="shared" si="108"/>
        <v>0</v>
      </c>
      <c r="BD130">
        <f t="shared" si="109"/>
        <v>0</v>
      </c>
      <c r="BE130">
        <f t="shared" si="110"/>
        <v>0</v>
      </c>
      <c r="BF130">
        <f t="shared" si="111"/>
        <v>0</v>
      </c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</row>
    <row r="131" spans="1:256" s="201" customFormat="1" ht="14.25" x14ac:dyDescent="0.2">
      <c r="A131" s="10">
        <v>3423</v>
      </c>
      <c r="B131" s="11" t="s">
        <v>499</v>
      </c>
      <c r="C131" s="105" t="s">
        <v>500</v>
      </c>
      <c r="D131" s="11" t="s">
        <v>106</v>
      </c>
      <c r="E131" s="12">
        <v>20243</v>
      </c>
      <c r="F131" s="202">
        <v>24</v>
      </c>
      <c r="G131" s="11">
        <v>300000</v>
      </c>
      <c r="H131" s="116">
        <v>0</v>
      </c>
      <c r="I131" s="192"/>
      <c r="J131" s="204"/>
      <c r="K131" s="193"/>
      <c r="L131" s="193"/>
      <c r="M131" s="193">
        <v>300000</v>
      </c>
      <c r="N131" s="203">
        <f t="shared" si="84"/>
        <v>0</v>
      </c>
      <c r="O131" s="203">
        <f t="shared" si="85"/>
        <v>0</v>
      </c>
      <c r="P131" s="203">
        <f t="shared" si="86"/>
        <v>300000</v>
      </c>
      <c r="Q131" s="214">
        <v>46244</v>
      </c>
      <c r="R131" s="219">
        <v>46244</v>
      </c>
      <c r="S131" s="217">
        <v>46213</v>
      </c>
      <c r="T131" s="205"/>
      <c r="U131" s="205"/>
      <c r="V131" s="215" t="s">
        <v>521</v>
      </c>
      <c r="W131" s="212"/>
      <c r="X131" s="10">
        <v>7</v>
      </c>
      <c r="Y131" s="10">
        <v>7</v>
      </c>
      <c r="Z131" s="213">
        <f t="shared" si="87"/>
        <v>0</v>
      </c>
      <c r="AA131" s="62"/>
      <c r="AB131" s="62"/>
      <c r="AC131" s="62"/>
      <c r="AD131" s="62"/>
      <c r="AE131" s="62"/>
      <c r="AF131" s="63"/>
      <c r="AG131" s="64"/>
      <c r="AH131" s="6">
        <v>1</v>
      </c>
      <c r="AI131">
        <f t="shared" si="88"/>
        <v>25</v>
      </c>
      <c r="AJ131">
        <f t="shared" si="89"/>
        <v>15</v>
      </c>
      <c r="AK131">
        <f t="shared" si="90"/>
        <v>0</v>
      </c>
      <c r="AL131">
        <f t="shared" si="91"/>
        <v>0</v>
      </c>
      <c r="AM131">
        <f t="shared" si="92"/>
        <v>0</v>
      </c>
      <c r="AN131">
        <f t="shared" si="93"/>
        <v>0</v>
      </c>
      <c r="AO131">
        <f t="shared" si="94"/>
        <v>0</v>
      </c>
      <c r="AP131">
        <f t="shared" si="95"/>
        <v>0</v>
      </c>
      <c r="AQ131">
        <f t="shared" si="96"/>
        <v>0</v>
      </c>
      <c r="AR131">
        <f t="shared" si="97"/>
        <v>0</v>
      </c>
      <c r="AS131">
        <f t="shared" si="98"/>
        <v>1</v>
      </c>
      <c r="AT131">
        <f t="shared" si="99"/>
        <v>1</v>
      </c>
      <c r="AU131">
        <f t="shared" si="100"/>
        <v>0</v>
      </c>
      <c r="AV131">
        <f t="shared" si="101"/>
        <v>0</v>
      </c>
      <c r="AW131">
        <f t="shared" si="102"/>
        <v>0</v>
      </c>
      <c r="AX131">
        <f t="shared" si="103"/>
        <v>0</v>
      </c>
      <c r="AY131">
        <f t="shared" si="104"/>
        <v>0</v>
      </c>
      <c r="AZ131">
        <f t="shared" si="105"/>
        <v>0</v>
      </c>
      <c r="BA131">
        <f t="shared" si="106"/>
        <v>0</v>
      </c>
      <c r="BB131">
        <f t="shared" si="107"/>
        <v>0</v>
      </c>
      <c r="BC131">
        <f t="shared" si="108"/>
        <v>0</v>
      </c>
      <c r="BD131">
        <f t="shared" si="109"/>
        <v>0</v>
      </c>
      <c r="BE131">
        <f t="shared" si="110"/>
        <v>0</v>
      </c>
      <c r="BF131">
        <f t="shared" si="111"/>
        <v>0</v>
      </c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</row>
    <row r="132" spans="1:256" s="201" customFormat="1" ht="14.25" x14ac:dyDescent="0.2">
      <c r="A132" s="10">
        <v>3431</v>
      </c>
      <c r="B132" s="11" t="s">
        <v>501</v>
      </c>
      <c r="C132" s="105" t="s">
        <v>502</v>
      </c>
      <c r="D132" s="11" t="s">
        <v>106</v>
      </c>
      <c r="E132" s="12">
        <v>20052</v>
      </c>
      <c r="F132" s="202">
        <v>24</v>
      </c>
      <c r="G132" s="11">
        <v>150000</v>
      </c>
      <c r="H132" s="116">
        <v>0</v>
      </c>
      <c r="I132" s="192"/>
      <c r="J132" s="204"/>
      <c r="K132" s="193"/>
      <c r="L132" s="193"/>
      <c r="M132" s="193">
        <v>150000</v>
      </c>
      <c r="N132" s="203">
        <f t="shared" ref="N132:N140" si="112">IF(H132&gt;0,G132+H132-I132-J132-K132-L132-M132,G132-I132-J132-K132-L132-M132)</f>
        <v>0</v>
      </c>
      <c r="O132" s="203">
        <f t="shared" ref="O132:O140" si="113">G132+H132-J132-I132-K132-L132-M132</f>
        <v>0</v>
      </c>
      <c r="P132" s="203">
        <f t="shared" ref="P132:P140" si="114">IF(G132+H132&lt;0,0,G132+H132)</f>
        <v>150000</v>
      </c>
      <c r="Q132" s="214">
        <v>46244</v>
      </c>
      <c r="R132" s="219">
        <v>46244</v>
      </c>
      <c r="S132" s="217">
        <v>46211</v>
      </c>
      <c r="T132" s="205"/>
      <c r="U132" s="205"/>
      <c r="V132" s="215" t="s">
        <v>521</v>
      </c>
      <c r="W132" s="212"/>
      <c r="X132" s="10">
        <v>7</v>
      </c>
      <c r="Y132" s="10">
        <v>7</v>
      </c>
      <c r="Z132" s="213">
        <f t="shared" ref="Z132:Z140" si="115">IF(N132&lt;0,0,N132)</f>
        <v>0</v>
      </c>
      <c r="AA132" s="62"/>
      <c r="AB132" s="62"/>
      <c r="AC132" s="62"/>
      <c r="AD132" s="62"/>
      <c r="AE132" s="62"/>
      <c r="AF132" s="63"/>
      <c r="AG132" s="64"/>
      <c r="AH132" s="6">
        <v>1</v>
      </c>
      <c r="AI132">
        <f t="shared" ref="AI132:AI140" si="116">IF(F132&lt;=6,15,25)</f>
        <v>25</v>
      </c>
      <c r="AJ132">
        <f t="shared" ref="AJ132:AJ140" si="117">IF(O132&lt;&gt;0,25,15)</f>
        <v>15</v>
      </c>
      <c r="AK132">
        <f t="shared" ref="AK132:AK140" si="118">IF(AI132-T132=24,1,0)</f>
        <v>0</v>
      </c>
      <c r="AL132">
        <f t="shared" ref="AL132:AL140" si="119">IF(AH132-AK132=AH132,0,AH132)</f>
        <v>0</v>
      </c>
      <c r="AM132">
        <f t="shared" ref="AM132:AM140" si="120">IF(AK132&lt;&gt;0,U132,0)</f>
        <v>0</v>
      </c>
      <c r="AN132">
        <f t="shared" ref="AN132:AN140" si="121">IF(AK132=1,O132,0)</f>
        <v>0</v>
      </c>
      <c r="AO132">
        <f t="shared" ref="AO132:AO140" si="122">IF(AI132-T132=14,1,0)</f>
        <v>0</v>
      </c>
      <c r="AP132">
        <f t="shared" ref="AP132:AP140" si="123">IF(AH132-AO132=AH132,0,AH132)</f>
        <v>0</v>
      </c>
      <c r="AQ132">
        <f t="shared" ref="AQ132:AQ140" si="124">IF(AO132&lt;&gt;0,U132,0)</f>
        <v>0</v>
      </c>
      <c r="AR132">
        <f t="shared" ref="AR132:AR140" si="125">IF(AO132=1,O132,0)</f>
        <v>0</v>
      </c>
      <c r="AS132">
        <f t="shared" ref="AS132:AS140" si="126">IF(SUM(I132:M132)&lt;&gt;0,1,0)</f>
        <v>1</v>
      </c>
      <c r="AT132">
        <f t="shared" ref="AT132:AT140" si="127">AS132</f>
        <v>1</v>
      </c>
      <c r="AU132">
        <f t="shared" ref="AU132:AU140" si="128">IF(O132&gt;0,1,0)</f>
        <v>0</v>
      </c>
      <c r="AV132">
        <f t="shared" ref="AV132:AV140" si="129">IF(AK132+AO132+AU132=1,AU132,0)</f>
        <v>0</v>
      </c>
      <c r="AW132">
        <f t="shared" ref="AW132:AW140" si="130">IF(AI132-AV132=24,1,0)</f>
        <v>0</v>
      </c>
      <c r="AX132">
        <f t="shared" ref="AX132:AX140" si="131">IF(AH132-AW132=AH132,0,AH132)</f>
        <v>0</v>
      </c>
      <c r="AY132">
        <f t="shared" ref="AY132:AY140" si="132">IF(AW132=1,O132,0)</f>
        <v>0</v>
      </c>
      <c r="AZ132">
        <f t="shared" ref="AZ132:AZ140" si="133">IF(AY132-BA132&lt;&gt;0,AY132,0)</f>
        <v>0</v>
      </c>
      <c r="BA132">
        <f t="shared" ref="BA132:BA140" si="134">IF(AY132&lt;0,AY132,0)</f>
        <v>0</v>
      </c>
      <c r="BB132">
        <f t="shared" ref="BB132:BB140" si="135">IF(AI132-AV132=14,1,0)</f>
        <v>0</v>
      </c>
      <c r="BC132">
        <f t="shared" ref="BC132:BC140" si="136">IF(AH132-BB132=AH132,0,AH132)</f>
        <v>0</v>
      </c>
      <c r="BD132">
        <f t="shared" ref="BD132:BD140" si="137">IF(BB132=1,O132,0)</f>
        <v>0</v>
      </c>
      <c r="BE132">
        <f t="shared" ref="BE132:BE140" si="138">IF(BD132&lt;0,BD132,0)</f>
        <v>0</v>
      </c>
      <c r="BF132">
        <f t="shared" ref="BF132:BF140" si="139">IF(BD132-BE132&lt;&gt;0,BD132,0)</f>
        <v>0</v>
      </c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s="201" customFormat="1" ht="14.25" x14ac:dyDescent="0.2">
      <c r="A133" s="10">
        <v>3450</v>
      </c>
      <c r="B133" s="11" t="s">
        <v>503</v>
      </c>
      <c r="C133" s="105" t="s">
        <v>504</v>
      </c>
      <c r="D133" s="11" t="s">
        <v>105</v>
      </c>
      <c r="E133" s="12">
        <v>20315</v>
      </c>
      <c r="F133" s="202">
        <v>23</v>
      </c>
      <c r="G133" s="11">
        <v>200000</v>
      </c>
      <c r="H133" s="116">
        <v>0</v>
      </c>
      <c r="I133" s="192"/>
      <c r="J133" s="204"/>
      <c r="K133" s="193"/>
      <c r="L133" s="193"/>
      <c r="M133" s="193">
        <v>200000</v>
      </c>
      <c r="N133" s="203">
        <f t="shared" si="112"/>
        <v>0</v>
      </c>
      <c r="O133" s="203">
        <f t="shared" si="113"/>
        <v>0</v>
      </c>
      <c r="P133" s="203">
        <f t="shared" si="114"/>
        <v>200000</v>
      </c>
      <c r="Q133" s="214">
        <v>46244</v>
      </c>
      <c r="R133" s="219">
        <v>46244</v>
      </c>
      <c r="S133" s="217">
        <v>46209</v>
      </c>
      <c r="T133" s="205"/>
      <c r="U133" s="205"/>
      <c r="V133" s="215" t="s">
        <v>521</v>
      </c>
      <c r="W133" s="212"/>
      <c r="X133" s="10">
        <v>7</v>
      </c>
      <c r="Y133" s="10">
        <v>7</v>
      </c>
      <c r="Z133" s="213">
        <f t="shared" si="115"/>
        <v>0</v>
      </c>
      <c r="AA133" s="62"/>
      <c r="AB133" s="62"/>
      <c r="AC133" s="62"/>
      <c r="AD133" s="62"/>
      <c r="AE133" s="62"/>
      <c r="AF133" s="63"/>
      <c r="AG133" s="64"/>
      <c r="AH133" s="6">
        <v>1</v>
      </c>
      <c r="AI133">
        <f t="shared" si="116"/>
        <v>25</v>
      </c>
      <c r="AJ133">
        <f t="shared" si="117"/>
        <v>15</v>
      </c>
      <c r="AK133">
        <f t="shared" si="118"/>
        <v>0</v>
      </c>
      <c r="AL133">
        <f t="shared" si="119"/>
        <v>0</v>
      </c>
      <c r="AM133">
        <f t="shared" si="120"/>
        <v>0</v>
      </c>
      <c r="AN133">
        <f t="shared" si="121"/>
        <v>0</v>
      </c>
      <c r="AO133">
        <f t="shared" si="122"/>
        <v>0</v>
      </c>
      <c r="AP133">
        <f t="shared" si="123"/>
        <v>0</v>
      </c>
      <c r="AQ133">
        <f t="shared" si="124"/>
        <v>0</v>
      </c>
      <c r="AR133">
        <f t="shared" si="125"/>
        <v>0</v>
      </c>
      <c r="AS133">
        <f t="shared" si="126"/>
        <v>1</v>
      </c>
      <c r="AT133">
        <f t="shared" si="127"/>
        <v>1</v>
      </c>
      <c r="AU133">
        <f t="shared" si="128"/>
        <v>0</v>
      </c>
      <c r="AV133">
        <f t="shared" si="129"/>
        <v>0</v>
      </c>
      <c r="AW133">
        <f t="shared" si="130"/>
        <v>0</v>
      </c>
      <c r="AX133">
        <f t="shared" si="131"/>
        <v>0</v>
      </c>
      <c r="AY133">
        <f t="shared" si="132"/>
        <v>0</v>
      </c>
      <c r="AZ133">
        <f t="shared" si="133"/>
        <v>0</v>
      </c>
      <c r="BA133">
        <f t="shared" si="134"/>
        <v>0</v>
      </c>
      <c r="BB133">
        <f t="shared" si="135"/>
        <v>0</v>
      </c>
      <c r="BC133">
        <f t="shared" si="136"/>
        <v>0</v>
      </c>
      <c r="BD133">
        <f t="shared" si="137"/>
        <v>0</v>
      </c>
      <c r="BE133">
        <f t="shared" si="138"/>
        <v>0</v>
      </c>
      <c r="BF133">
        <f t="shared" si="139"/>
        <v>0</v>
      </c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</row>
    <row r="134" spans="1:256" s="201" customFormat="1" ht="14.25" x14ac:dyDescent="0.2">
      <c r="A134" s="10">
        <v>3451</v>
      </c>
      <c r="B134" s="11" t="s">
        <v>505</v>
      </c>
      <c r="C134" s="105" t="s">
        <v>506</v>
      </c>
      <c r="D134" s="11" t="s">
        <v>157</v>
      </c>
      <c r="E134" s="12">
        <v>3981</v>
      </c>
      <c r="F134" s="202">
        <v>22</v>
      </c>
      <c r="G134" s="11">
        <v>250000</v>
      </c>
      <c r="H134" s="116">
        <v>0</v>
      </c>
      <c r="I134" s="192"/>
      <c r="J134" s="204"/>
      <c r="K134" s="193"/>
      <c r="L134" s="193"/>
      <c r="M134" s="193">
        <v>250000</v>
      </c>
      <c r="N134" s="203">
        <f t="shared" si="112"/>
        <v>0</v>
      </c>
      <c r="O134" s="203">
        <f t="shared" si="113"/>
        <v>0</v>
      </c>
      <c r="P134" s="203">
        <f t="shared" si="114"/>
        <v>250000</v>
      </c>
      <c r="Q134" s="214">
        <v>46244</v>
      </c>
      <c r="R134" s="219">
        <v>46244</v>
      </c>
      <c r="S134" s="217">
        <v>46212</v>
      </c>
      <c r="T134" s="205"/>
      <c r="U134" s="205"/>
      <c r="V134" s="215" t="s">
        <v>521</v>
      </c>
      <c r="W134" s="212"/>
      <c r="X134" s="10">
        <v>7</v>
      </c>
      <c r="Y134" s="10">
        <v>7</v>
      </c>
      <c r="Z134" s="213">
        <f t="shared" si="115"/>
        <v>0</v>
      </c>
      <c r="AA134" s="62"/>
      <c r="AB134" s="62"/>
      <c r="AC134" s="62"/>
      <c r="AD134" s="62"/>
      <c r="AE134" s="62"/>
      <c r="AF134" s="63"/>
      <c r="AG134" s="64"/>
      <c r="AH134" s="6">
        <v>1</v>
      </c>
      <c r="AI134">
        <f t="shared" si="116"/>
        <v>25</v>
      </c>
      <c r="AJ134">
        <f t="shared" si="117"/>
        <v>15</v>
      </c>
      <c r="AK134">
        <f t="shared" si="118"/>
        <v>0</v>
      </c>
      <c r="AL134">
        <f t="shared" si="119"/>
        <v>0</v>
      </c>
      <c r="AM134">
        <f t="shared" si="120"/>
        <v>0</v>
      </c>
      <c r="AN134">
        <f t="shared" si="121"/>
        <v>0</v>
      </c>
      <c r="AO134">
        <f t="shared" si="122"/>
        <v>0</v>
      </c>
      <c r="AP134">
        <f t="shared" si="123"/>
        <v>0</v>
      </c>
      <c r="AQ134">
        <f t="shared" si="124"/>
        <v>0</v>
      </c>
      <c r="AR134">
        <f t="shared" si="125"/>
        <v>0</v>
      </c>
      <c r="AS134">
        <f t="shared" si="126"/>
        <v>1</v>
      </c>
      <c r="AT134">
        <f t="shared" si="127"/>
        <v>1</v>
      </c>
      <c r="AU134">
        <f t="shared" si="128"/>
        <v>0</v>
      </c>
      <c r="AV134">
        <f t="shared" si="129"/>
        <v>0</v>
      </c>
      <c r="AW134">
        <f t="shared" si="130"/>
        <v>0</v>
      </c>
      <c r="AX134">
        <f t="shared" si="131"/>
        <v>0</v>
      </c>
      <c r="AY134">
        <f t="shared" si="132"/>
        <v>0</v>
      </c>
      <c r="AZ134">
        <f t="shared" si="133"/>
        <v>0</v>
      </c>
      <c r="BA134">
        <f t="shared" si="134"/>
        <v>0</v>
      </c>
      <c r="BB134">
        <f t="shared" si="135"/>
        <v>0</v>
      </c>
      <c r="BC134">
        <f t="shared" si="136"/>
        <v>0</v>
      </c>
      <c r="BD134">
        <f t="shared" si="137"/>
        <v>0</v>
      </c>
      <c r="BE134">
        <f t="shared" si="138"/>
        <v>0</v>
      </c>
      <c r="BF134">
        <f t="shared" si="139"/>
        <v>0</v>
      </c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</row>
    <row r="135" spans="1:256" s="201" customFormat="1" ht="14.25" x14ac:dyDescent="0.2">
      <c r="A135" s="10">
        <v>3457</v>
      </c>
      <c r="B135" s="11" t="s">
        <v>507</v>
      </c>
      <c r="C135" s="105" t="s">
        <v>508</v>
      </c>
      <c r="D135" s="11" t="s">
        <v>154</v>
      </c>
      <c r="E135" s="12">
        <v>20336</v>
      </c>
      <c r="F135" s="202">
        <v>22</v>
      </c>
      <c r="G135" s="11">
        <v>80000</v>
      </c>
      <c r="H135" s="116">
        <v>0</v>
      </c>
      <c r="I135" s="192"/>
      <c r="J135" s="204"/>
      <c r="K135" s="193"/>
      <c r="L135" s="193"/>
      <c r="M135" s="193"/>
      <c r="N135" s="203">
        <f t="shared" si="112"/>
        <v>80000</v>
      </c>
      <c r="O135" s="203">
        <f t="shared" si="113"/>
        <v>80000</v>
      </c>
      <c r="P135" s="203">
        <f t="shared" si="114"/>
        <v>80000</v>
      </c>
      <c r="Q135" s="214"/>
      <c r="R135" s="219">
        <v>46234</v>
      </c>
      <c r="S135" s="217">
        <v>46234</v>
      </c>
      <c r="T135" s="205"/>
      <c r="U135" s="205"/>
      <c r="V135" s="215"/>
      <c r="W135" s="212" t="s">
        <v>533</v>
      </c>
      <c r="X135" s="10">
        <v>7</v>
      </c>
      <c r="Y135" s="10">
        <v>7</v>
      </c>
      <c r="Z135" s="213">
        <f t="shared" si="115"/>
        <v>80000</v>
      </c>
      <c r="AA135" s="62"/>
      <c r="AB135" s="62"/>
      <c r="AC135" s="62"/>
      <c r="AD135" s="62"/>
      <c r="AE135" s="62"/>
      <c r="AF135" s="63"/>
      <c r="AG135" s="64"/>
      <c r="AH135" s="6">
        <v>1</v>
      </c>
      <c r="AI135">
        <f t="shared" si="116"/>
        <v>25</v>
      </c>
      <c r="AJ135">
        <f t="shared" si="117"/>
        <v>25</v>
      </c>
      <c r="AK135">
        <f t="shared" si="118"/>
        <v>0</v>
      </c>
      <c r="AL135">
        <f t="shared" si="119"/>
        <v>0</v>
      </c>
      <c r="AM135">
        <f t="shared" si="120"/>
        <v>0</v>
      </c>
      <c r="AN135">
        <f t="shared" si="121"/>
        <v>0</v>
      </c>
      <c r="AO135">
        <f t="shared" si="122"/>
        <v>0</v>
      </c>
      <c r="AP135">
        <f t="shared" si="123"/>
        <v>0</v>
      </c>
      <c r="AQ135">
        <f t="shared" si="124"/>
        <v>0</v>
      </c>
      <c r="AR135">
        <f t="shared" si="125"/>
        <v>0</v>
      </c>
      <c r="AS135">
        <f t="shared" si="126"/>
        <v>0</v>
      </c>
      <c r="AT135">
        <f t="shared" si="127"/>
        <v>0</v>
      </c>
      <c r="AU135">
        <f t="shared" si="128"/>
        <v>1</v>
      </c>
      <c r="AV135">
        <f t="shared" si="129"/>
        <v>1</v>
      </c>
      <c r="AW135">
        <f t="shared" si="130"/>
        <v>1</v>
      </c>
      <c r="AX135">
        <f t="shared" si="131"/>
        <v>1</v>
      </c>
      <c r="AY135">
        <f t="shared" si="132"/>
        <v>80000</v>
      </c>
      <c r="AZ135">
        <f t="shared" si="133"/>
        <v>80000</v>
      </c>
      <c r="BA135">
        <f t="shared" si="134"/>
        <v>0</v>
      </c>
      <c r="BB135">
        <f t="shared" si="135"/>
        <v>0</v>
      </c>
      <c r="BC135">
        <f t="shared" si="136"/>
        <v>0</v>
      </c>
      <c r="BD135">
        <f t="shared" si="137"/>
        <v>0</v>
      </c>
      <c r="BE135">
        <f t="shared" si="138"/>
        <v>0</v>
      </c>
      <c r="BF135">
        <f t="shared" si="139"/>
        <v>0</v>
      </c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</row>
    <row r="136" spans="1:256" s="201" customFormat="1" ht="14.25" x14ac:dyDescent="0.2">
      <c r="A136" s="10">
        <v>3478</v>
      </c>
      <c r="B136" s="11" t="s">
        <v>512</v>
      </c>
      <c r="C136" s="105" t="s">
        <v>513</v>
      </c>
      <c r="D136" s="11" t="s">
        <v>222</v>
      </c>
      <c r="E136" s="12">
        <v>20331</v>
      </c>
      <c r="F136" s="202">
        <v>17</v>
      </c>
      <c r="G136" s="11">
        <v>120000</v>
      </c>
      <c r="H136" s="116">
        <v>0</v>
      </c>
      <c r="I136" s="192"/>
      <c r="J136" s="204"/>
      <c r="K136" s="193"/>
      <c r="L136" s="193"/>
      <c r="M136" s="193">
        <v>120000</v>
      </c>
      <c r="N136" s="203">
        <f t="shared" si="112"/>
        <v>0</v>
      </c>
      <c r="O136" s="203">
        <f t="shared" si="113"/>
        <v>0</v>
      </c>
      <c r="P136" s="203">
        <f t="shared" si="114"/>
        <v>120000</v>
      </c>
      <c r="Q136" s="214">
        <v>46238</v>
      </c>
      <c r="R136" s="219">
        <v>46238</v>
      </c>
      <c r="S136" s="217">
        <v>46205</v>
      </c>
      <c r="T136" s="205"/>
      <c r="U136" s="205"/>
      <c r="V136" s="215" t="s">
        <v>521</v>
      </c>
      <c r="W136" s="212"/>
      <c r="X136" s="10">
        <v>7</v>
      </c>
      <c r="Y136" s="10">
        <v>7</v>
      </c>
      <c r="Z136" s="213">
        <f t="shared" si="115"/>
        <v>0</v>
      </c>
      <c r="AA136" s="62"/>
      <c r="AB136" s="62"/>
      <c r="AC136" s="62"/>
      <c r="AD136" s="62"/>
      <c r="AE136" s="62"/>
      <c r="AF136" s="63"/>
      <c r="AG136" s="64"/>
      <c r="AH136" s="6">
        <v>1</v>
      </c>
      <c r="AI136">
        <f t="shared" si="116"/>
        <v>25</v>
      </c>
      <c r="AJ136">
        <f t="shared" si="117"/>
        <v>15</v>
      </c>
      <c r="AK136">
        <f t="shared" si="118"/>
        <v>0</v>
      </c>
      <c r="AL136">
        <f t="shared" si="119"/>
        <v>0</v>
      </c>
      <c r="AM136">
        <f t="shared" si="120"/>
        <v>0</v>
      </c>
      <c r="AN136">
        <f t="shared" si="121"/>
        <v>0</v>
      </c>
      <c r="AO136">
        <f t="shared" si="122"/>
        <v>0</v>
      </c>
      <c r="AP136">
        <f t="shared" si="123"/>
        <v>0</v>
      </c>
      <c r="AQ136">
        <f t="shared" si="124"/>
        <v>0</v>
      </c>
      <c r="AR136">
        <f t="shared" si="125"/>
        <v>0</v>
      </c>
      <c r="AS136">
        <f t="shared" si="126"/>
        <v>1</v>
      </c>
      <c r="AT136">
        <f t="shared" si="127"/>
        <v>1</v>
      </c>
      <c r="AU136">
        <f t="shared" si="128"/>
        <v>0</v>
      </c>
      <c r="AV136">
        <f t="shared" si="129"/>
        <v>0</v>
      </c>
      <c r="AW136">
        <f t="shared" si="130"/>
        <v>0</v>
      </c>
      <c r="AX136">
        <f t="shared" si="131"/>
        <v>0</v>
      </c>
      <c r="AY136">
        <f t="shared" si="132"/>
        <v>0</v>
      </c>
      <c r="AZ136">
        <f t="shared" si="133"/>
        <v>0</v>
      </c>
      <c r="BA136">
        <f t="shared" si="134"/>
        <v>0</v>
      </c>
      <c r="BB136">
        <f t="shared" si="135"/>
        <v>0</v>
      </c>
      <c r="BC136">
        <f t="shared" si="136"/>
        <v>0</v>
      </c>
      <c r="BD136">
        <f t="shared" si="137"/>
        <v>0</v>
      </c>
      <c r="BE136">
        <f t="shared" si="138"/>
        <v>0</v>
      </c>
      <c r="BF136">
        <f t="shared" si="139"/>
        <v>0</v>
      </c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</row>
    <row r="137" spans="1:256" s="201" customFormat="1" ht="14.25" x14ac:dyDescent="0.2">
      <c r="A137" s="10">
        <v>3488</v>
      </c>
      <c r="B137" s="11" t="s">
        <v>514</v>
      </c>
      <c r="C137" s="105" t="s">
        <v>515</v>
      </c>
      <c r="D137" s="11" t="s">
        <v>106</v>
      </c>
      <c r="E137" s="12">
        <v>11513</v>
      </c>
      <c r="F137" s="202">
        <v>15</v>
      </c>
      <c r="G137" s="11">
        <v>300000</v>
      </c>
      <c r="H137" s="116">
        <v>0</v>
      </c>
      <c r="I137" s="192"/>
      <c r="J137" s="204"/>
      <c r="K137" s="193"/>
      <c r="L137" s="193"/>
      <c r="M137" s="193">
        <v>300000</v>
      </c>
      <c r="N137" s="203">
        <f t="shared" si="112"/>
        <v>0</v>
      </c>
      <c r="O137" s="203">
        <f t="shared" si="113"/>
        <v>0</v>
      </c>
      <c r="P137" s="203">
        <f t="shared" si="114"/>
        <v>300000</v>
      </c>
      <c r="Q137" s="214">
        <v>46244</v>
      </c>
      <c r="R137" s="219">
        <v>46213</v>
      </c>
      <c r="S137" s="217">
        <v>46213</v>
      </c>
      <c r="T137" s="205"/>
      <c r="U137" s="205"/>
      <c r="V137" s="215" t="s">
        <v>521</v>
      </c>
      <c r="W137" s="212"/>
      <c r="X137" s="10">
        <v>7</v>
      </c>
      <c r="Y137" s="10">
        <v>7</v>
      </c>
      <c r="Z137" s="213">
        <f t="shared" si="115"/>
        <v>0</v>
      </c>
      <c r="AA137" s="62"/>
      <c r="AB137" s="62"/>
      <c r="AC137" s="62"/>
      <c r="AD137" s="62"/>
      <c r="AE137" s="62"/>
      <c r="AF137" s="63"/>
      <c r="AG137" s="64"/>
      <c r="AH137" s="6">
        <v>1</v>
      </c>
      <c r="AI137">
        <f t="shared" si="116"/>
        <v>25</v>
      </c>
      <c r="AJ137">
        <f t="shared" si="117"/>
        <v>15</v>
      </c>
      <c r="AK137">
        <f t="shared" si="118"/>
        <v>0</v>
      </c>
      <c r="AL137">
        <f t="shared" si="119"/>
        <v>0</v>
      </c>
      <c r="AM137">
        <f t="shared" si="120"/>
        <v>0</v>
      </c>
      <c r="AN137">
        <f t="shared" si="121"/>
        <v>0</v>
      </c>
      <c r="AO137">
        <f t="shared" si="122"/>
        <v>0</v>
      </c>
      <c r="AP137">
        <f t="shared" si="123"/>
        <v>0</v>
      </c>
      <c r="AQ137">
        <f t="shared" si="124"/>
        <v>0</v>
      </c>
      <c r="AR137">
        <f t="shared" si="125"/>
        <v>0</v>
      </c>
      <c r="AS137">
        <f t="shared" si="126"/>
        <v>1</v>
      </c>
      <c r="AT137">
        <f t="shared" si="127"/>
        <v>1</v>
      </c>
      <c r="AU137">
        <f t="shared" si="128"/>
        <v>0</v>
      </c>
      <c r="AV137">
        <f t="shared" si="129"/>
        <v>0</v>
      </c>
      <c r="AW137">
        <f t="shared" si="130"/>
        <v>0</v>
      </c>
      <c r="AX137">
        <f t="shared" si="131"/>
        <v>0</v>
      </c>
      <c r="AY137">
        <f t="shared" si="132"/>
        <v>0</v>
      </c>
      <c r="AZ137">
        <f t="shared" si="133"/>
        <v>0</v>
      </c>
      <c r="BA137">
        <f t="shared" si="134"/>
        <v>0</v>
      </c>
      <c r="BB137">
        <f t="shared" si="135"/>
        <v>0</v>
      </c>
      <c r="BC137">
        <f t="shared" si="136"/>
        <v>0</v>
      </c>
      <c r="BD137">
        <f t="shared" si="137"/>
        <v>0</v>
      </c>
      <c r="BE137">
        <f t="shared" si="138"/>
        <v>0</v>
      </c>
      <c r="BF137">
        <f t="shared" si="139"/>
        <v>0</v>
      </c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</row>
    <row r="138" spans="1:256" s="201" customFormat="1" ht="14.25" x14ac:dyDescent="0.2">
      <c r="A138" s="10">
        <v>3490</v>
      </c>
      <c r="B138" s="11" t="s">
        <v>516</v>
      </c>
      <c r="C138" s="105" t="s">
        <v>517</v>
      </c>
      <c r="D138" s="11" t="s">
        <v>144</v>
      </c>
      <c r="E138" s="12">
        <v>20351</v>
      </c>
      <c r="F138" s="202">
        <v>15</v>
      </c>
      <c r="G138" s="11">
        <v>300000</v>
      </c>
      <c r="H138" s="116">
        <v>-600000</v>
      </c>
      <c r="I138" s="192"/>
      <c r="J138" s="204"/>
      <c r="K138" s="193"/>
      <c r="L138" s="193"/>
      <c r="M138" s="193">
        <v>300000</v>
      </c>
      <c r="N138" s="203">
        <f t="shared" si="112"/>
        <v>0</v>
      </c>
      <c r="O138" s="203">
        <f t="shared" si="113"/>
        <v>-600000</v>
      </c>
      <c r="P138" s="203">
        <f t="shared" si="114"/>
        <v>0</v>
      </c>
      <c r="Q138" s="214">
        <v>46244</v>
      </c>
      <c r="R138" s="219">
        <v>46244</v>
      </c>
      <c r="S138" s="217">
        <v>46211</v>
      </c>
      <c r="T138" s="205"/>
      <c r="U138" s="205"/>
      <c r="V138" s="215" t="s">
        <v>521</v>
      </c>
      <c r="W138" s="212"/>
      <c r="X138" s="10">
        <v>7</v>
      </c>
      <c r="Y138" s="10">
        <v>7</v>
      </c>
      <c r="Z138" s="213">
        <f t="shared" si="115"/>
        <v>0</v>
      </c>
      <c r="AA138" s="62"/>
      <c r="AB138" s="62"/>
      <c r="AC138" s="62"/>
      <c r="AD138" s="62"/>
      <c r="AE138" s="62"/>
      <c r="AF138" s="63"/>
      <c r="AG138" s="64"/>
      <c r="AH138" s="6">
        <v>1</v>
      </c>
      <c r="AI138">
        <f t="shared" si="116"/>
        <v>25</v>
      </c>
      <c r="AJ138">
        <f t="shared" si="117"/>
        <v>25</v>
      </c>
      <c r="AK138">
        <f t="shared" si="118"/>
        <v>0</v>
      </c>
      <c r="AL138">
        <f t="shared" si="119"/>
        <v>0</v>
      </c>
      <c r="AM138">
        <f t="shared" si="120"/>
        <v>0</v>
      </c>
      <c r="AN138">
        <f t="shared" si="121"/>
        <v>0</v>
      </c>
      <c r="AO138">
        <f t="shared" si="122"/>
        <v>0</v>
      </c>
      <c r="AP138">
        <f t="shared" si="123"/>
        <v>0</v>
      </c>
      <c r="AQ138">
        <f t="shared" si="124"/>
        <v>0</v>
      </c>
      <c r="AR138">
        <f t="shared" si="125"/>
        <v>0</v>
      </c>
      <c r="AS138">
        <f t="shared" si="126"/>
        <v>1</v>
      </c>
      <c r="AT138">
        <f t="shared" si="127"/>
        <v>1</v>
      </c>
      <c r="AU138">
        <f t="shared" si="128"/>
        <v>0</v>
      </c>
      <c r="AV138">
        <f t="shared" si="129"/>
        <v>0</v>
      </c>
      <c r="AW138">
        <f t="shared" si="130"/>
        <v>0</v>
      </c>
      <c r="AX138">
        <f t="shared" si="131"/>
        <v>0</v>
      </c>
      <c r="AY138">
        <f t="shared" si="132"/>
        <v>0</v>
      </c>
      <c r="AZ138">
        <f t="shared" si="133"/>
        <v>0</v>
      </c>
      <c r="BA138">
        <f t="shared" si="134"/>
        <v>0</v>
      </c>
      <c r="BB138">
        <f t="shared" si="135"/>
        <v>0</v>
      </c>
      <c r="BC138">
        <f t="shared" si="136"/>
        <v>0</v>
      </c>
      <c r="BD138">
        <f t="shared" si="137"/>
        <v>0</v>
      </c>
      <c r="BE138">
        <f t="shared" si="138"/>
        <v>0</v>
      </c>
      <c r="BF138">
        <f t="shared" si="139"/>
        <v>0</v>
      </c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</row>
    <row r="139" spans="1:256" s="201" customFormat="1" ht="14.25" x14ac:dyDescent="0.2">
      <c r="A139" s="10">
        <v>3491</v>
      </c>
      <c r="B139" s="11" t="s">
        <v>518</v>
      </c>
      <c r="C139" s="105" t="s">
        <v>519</v>
      </c>
      <c r="D139" s="11" t="s">
        <v>106</v>
      </c>
      <c r="E139" s="12">
        <v>20356</v>
      </c>
      <c r="F139" s="202">
        <v>15</v>
      </c>
      <c r="G139" s="11">
        <v>200000</v>
      </c>
      <c r="H139" s="116">
        <v>0</v>
      </c>
      <c r="I139" s="192"/>
      <c r="J139" s="204"/>
      <c r="K139" s="193"/>
      <c r="L139" s="193"/>
      <c r="M139" s="193"/>
      <c r="N139" s="203">
        <f t="shared" si="112"/>
        <v>200000</v>
      </c>
      <c r="O139" s="203">
        <f t="shared" si="113"/>
        <v>200000</v>
      </c>
      <c r="P139" s="203">
        <f t="shared" si="114"/>
        <v>200000</v>
      </c>
      <c r="Q139" s="214"/>
      <c r="R139" s="219"/>
      <c r="S139" s="217">
        <v>46206</v>
      </c>
      <c r="T139" s="205">
        <v>1</v>
      </c>
      <c r="U139" s="205">
        <v>1</v>
      </c>
      <c r="V139" s="215" t="s">
        <v>529</v>
      </c>
      <c r="W139" s="212"/>
      <c r="X139" s="10">
        <v>7</v>
      </c>
      <c r="Y139" s="10">
        <v>7</v>
      </c>
      <c r="Z139" s="213">
        <f t="shared" si="115"/>
        <v>200000</v>
      </c>
      <c r="AA139" s="62"/>
      <c r="AB139" s="62"/>
      <c r="AC139" s="62"/>
      <c r="AD139" s="62"/>
      <c r="AE139" s="62"/>
      <c r="AF139" s="63"/>
      <c r="AG139" s="64"/>
      <c r="AH139" s="6">
        <v>1</v>
      </c>
      <c r="AI139">
        <f t="shared" si="116"/>
        <v>25</v>
      </c>
      <c r="AJ139">
        <f t="shared" si="117"/>
        <v>25</v>
      </c>
      <c r="AK139">
        <f t="shared" si="118"/>
        <v>1</v>
      </c>
      <c r="AL139">
        <f t="shared" si="119"/>
        <v>1</v>
      </c>
      <c r="AM139">
        <f t="shared" si="120"/>
        <v>1</v>
      </c>
      <c r="AN139">
        <f t="shared" si="121"/>
        <v>200000</v>
      </c>
      <c r="AO139">
        <f t="shared" si="122"/>
        <v>0</v>
      </c>
      <c r="AP139">
        <f t="shared" si="123"/>
        <v>0</v>
      </c>
      <c r="AQ139">
        <f t="shared" si="124"/>
        <v>0</v>
      </c>
      <c r="AR139">
        <f t="shared" si="125"/>
        <v>0</v>
      </c>
      <c r="AS139">
        <f t="shared" si="126"/>
        <v>0</v>
      </c>
      <c r="AT139">
        <f t="shared" si="127"/>
        <v>0</v>
      </c>
      <c r="AU139">
        <f t="shared" si="128"/>
        <v>1</v>
      </c>
      <c r="AV139">
        <f t="shared" si="129"/>
        <v>0</v>
      </c>
      <c r="AW139">
        <f t="shared" si="130"/>
        <v>0</v>
      </c>
      <c r="AX139">
        <f t="shared" si="131"/>
        <v>0</v>
      </c>
      <c r="AY139">
        <f t="shared" si="132"/>
        <v>0</v>
      </c>
      <c r="AZ139">
        <f t="shared" si="133"/>
        <v>0</v>
      </c>
      <c r="BA139">
        <f t="shared" si="134"/>
        <v>0</v>
      </c>
      <c r="BB139">
        <f t="shared" si="135"/>
        <v>0</v>
      </c>
      <c r="BC139">
        <f t="shared" si="136"/>
        <v>0</v>
      </c>
      <c r="BD139">
        <f t="shared" si="137"/>
        <v>0</v>
      </c>
      <c r="BE139">
        <f t="shared" si="138"/>
        <v>0</v>
      </c>
      <c r="BF139">
        <f t="shared" si="139"/>
        <v>0</v>
      </c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</row>
    <row r="140" spans="1:256" s="201" customFormat="1" ht="14.25" x14ac:dyDescent="0.2">
      <c r="A140" s="10">
        <v>3548</v>
      </c>
      <c r="B140" s="11" t="s">
        <v>246</v>
      </c>
      <c r="C140" s="105" t="s">
        <v>247</v>
      </c>
      <c r="D140" s="11" t="s">
        <v>106</v>
      </c>
      <c r="E140" s="12">
        <v>10674</v>
      </c>
      <c r="F140" s="202">
        <v>4</v>
      </c>
      <c r="G140" s="11">
        <v>100000</v>
      </c>
      <c r="H140" s="116">
        <v>0</v>
      </c>
      <c r="I140" s="192"/>
      <c r="J140" s="204"/>
      <c r="K140" s="193"/>
      <c r="L140" s="193"/>
      <c r="M140" s="193">
        <v>100000</v>
      </c>
      <c r="N140" s="203">
        <f t="shared" si="112"/>
        <v>0</v>
      </c>
      <c r="O140" s="203">
        <f t="shared" si="113"/>
        <v>0</v>
      </c>
      <c r="P140" s="203">
        <f t="shared" si="114"/>
        <v>100000</v>
      </c>
      <c r="Q140" s="214">
        <v>46265</v>
      </c>
      <c r="R140" s="219">
        <v>46234</v>
      </c>
      <c r="S140" s="217">
        <v>46234</v>
      </c>
      <c r="T140" s="205"/>
      <c r="U140" s="205"/>
      <c r="V140" s="215" t="s">
        <v>521</v>
      </c>
      <c r="W140" s="212"/>
      <c r="X140" s="10">
        <v>7</v>
      </c>
      <c r="Y140" s="10">
        <v>7</v>
      </c>
      <c r="Z140" s="213">
        <f t="shared" si="115"/>
        <v>0</v>
      </c>
      <c r="AA140" s="62"/>
      <c r="AB140" s="62"/>
      <c r="AC140" s="62"/>
      <c r="AD140" s="62"/>
      <c r="AE140" s="62"/>
      <c r="AF140" s="63"/>
      <c r="AG140" s="64"/>
      <c r="AH140" s="6">
        <v>1</v>
      </c>
      <c r="AI140">
        <f t="shared" si="116"/>
        <v>15</v>
      </c>
      <c r="AJ140">
        <f t="shared" si="117"/>
        <v>15</v>
      </c>
      <c r="AK140">
        <f t="shared" si="118"/>
        <v>0</v>
      </c>
      <c r="AL140">
        <f t="shared" si="119"/>
        <v>0</v>
      </c>
      <c r="AM140">
        <f t="shared" si="120"/>
        <v>0</v>
      </c>
      <c r="AN140">
        <f t="shared" si="121"/>
        <v>0</v>
      </c>
      <c r="AO140">
        <f t="shared" si="122"/>
        <v>0</v>
      </c>
      <c r="AP140">
        <f t="shared" si="123"/>
        <v>0</v>
      </c>
      <c r="AQ140">
        <f t="shared" si="124"/>
        <v>0</v>
      </c>
      <c r="AR140">
        <f t="shared" si="125"/>
        <v>0</v>
      </c>
      <c r="AS140">
        <f t="shared" si="126"/>
        <v>1</v>
      </c>
      <c r="AT140">
        <f t="shared" si="127"/>
        <v>1</v>
      </c>
      <c r="AU140">
        <f t="shared" si="128"/>
        <v>0</v>
      </c>
      <c r="AV140">
        <f t="shared" si="129"/>
        <v>0</v>
      </c>
      <c r="AW140">
        <f t="shared" si="130"/>
        <v>0</v>
      </c>
      <c r="AX140">
        <f t="shared" si="131"/>
        <v>0</v>
      </c>
      <c r="AY140">
        <f t="shared" si="132"/>
        <v>0</v>
      </c>
      <c r="AZ140">
        <f t="shared" si="133"/>
        <v>0</v>
      </c>
      <c r="BA140">
        <f t="shared" si="134"/>
        <v>0</v>
      </c>
      <c r="BB140">
        <f t="shared" si="135"/>
        <v>0</v>
      </c>
      <c r="BC140">
        <f t="shared" si="136"/>
        <v>0</v>
      </c>
      <c r="BD140">
        <f t="shared" si="137"/>
        <v>0</v>
      </c>
      <c r="BE140">
        <f t="shared" si="138"/>
        <v>0</v>
      </c>
      <c r="BF140">
        <f t="shared" si="139"/>
        <v>0</v>
      </c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</row>
    <row r="141" spans="1:256" x14ac:dyDescent="0.2">
      <c r="A141" s="10"/>
      <c r="B141" s="12" t="s">
        <v>68</v>
      </c>
      <c r="C141" s="105"/>
      <c r="D141" s="11"/>
      <c r="E141" s="12"/>
      <c r="F141" s="106"/>
      <c r="G141" s="11">
        <f>'COBRANZA SIN CUPONES'!G26</f>
        <v>0</v>
      </c>
      <c r="H141" s="107"/>
      <c r="I141" s="108">
        <f>'COBRANZA SIN CUPONES'!H26</f>
        <v>525000</v>
      </c>
      <c r="J141" s="109">
        <f>'COBRANZA SIN CUPONES'!I26</f>
        <v>0</v>
      </c>
      <c r="K141" s="108"/>
      <c r="L141" s="108"/>
      <c r="M141" s="108"/>
      <c r="N141" s="108"/>
      <c r="O141" s="14">
        <f t="shared" ref="O141" si="140">G141+H141-J141-I141-K141-L141-M141</f>
        <v>-525000</v>
      </c>
      <c r="P141" s="14"/>
      <c r="Q141" s="171"/>
      <c r="R141" s="220"/>
      <c r="S141" s="13"/>
      <c r="T141" s="81"/>
      <c r="U141" s="81"/>
      <c r="V141" s="13"/>
      <c r="W141" s="210"/>
      <c r="X141" s="10">
        <v>1</v>
      </c>
      <c r="Y141" s="10"/>
      <c r="Z141" s="13"/>
      <c r="AA141" s="62"/>
      <c r="AB141" s="62"/>
      <c r="AC141" s="62"/>
      <c r="AD141" s="62"/>
      <c r="AE141" s="62"/>
      <c r="AF141" s="63"/>
      <c r="AG141" s="64"/>
      <c r="AH141" s="6">
        <f>COUNTIF(A$4:B$140,A141)</f>
        <v>0</v>
      </c>
      <c r="AI141">
        <f t="shared" ref="AI141" si="141">IF(F141&lt;=6,15,25)</f>
        <v>15</v>
      </c>
      <c r="AJ141">
        <f t="shared" ref="AJ141" si="142">IF(O141&lt;&gt;0,25,15)</f>
        <v>25</v>
      </c>
      <c r="AK141">
        <f t="shared" ref="AK141" si="143">IF(AI141-T141=24,1,0)</f>
        <v>0</v>
      </c>
      <c r="AL141">
        <f t="shared" ref="AL141" si="144">IF(AH141-AK141=AH141,0,AH141)</f>
        <v>0</v>
      </c>
      <c r="AM141">
        <f t="shared" ref="AM141" si="145">IF(AK141&lt;&gt;0,U141,0)</f>
        <v>0</v>
      </c>
      <c r="AN141">
        <f t="shared" ref="AN141" si="146">IF(AK141=1,O141,0)</f>
        <v>0</v>
      </c>
      <c r="AO141">
        <f t="shared" ref="AO141" si="147">IF(AI141-T141=14,1,0)</f>
        <v>0</v>
      </c>
      <c r="AP141">
        <f t="shared" ref="AP141" si="148">IF(AH141-AO141=AH141,0,AH141)</f>
        <v>0</v>
      </c>
      <c r="AQ141">
        <f t="shared" ref="AQ141" si="149">IF(AO141&lt;&gt;0,U141,0)</f>
        <v>0</v>
      </c>
      <c r="AR141">
        <f t="shared" ref="AR141" si="150">IF(AO141=1,O141,0)</f>
        <v>0</v>
      </c>
      <c r="AS141">
        <f t="shared" ref="AS141" si="151">IF(SUM(I141:M141)&lt;&gt;0,1,0)</f>
        <v>1</v>
      </c>
      <c r="AT141">
        <f t="shared" ref="AT141" si="152">AS141</f>
        <v>1</v>
      </c>
      <c r="AU141">
        <f t="shared" ref="AU141" si="153">IF(O141&gt;0,1,0)</f>
        <v>0</v>
      </c>
      <c r="AV141">
        <f t="shared" ref="AV141" si="154">IF(AK141+AO141+AU141=1,AU141,0)</f>
        <v>0</v>
      </c>
      <c r="AW141">
        <f t="shared" ref="AW141" si="155">IF(AI141-AV141=24,1,0)</f>
        <v>0</v>
      </c>
      <c r="AX141">
        <f t="shared" ref="AX141" si="156">IF(AH141-AW141=AH141,0,AH141)</f>
        <v>0</v>
      </c>
      <c r="AY141">
        <f t="shared" ref="AY141" si="157">IF(AW141=1,O141,0)</f>
        <v>0</v>
      </c>
      <c r="AZ141">
        <f t="shared" ref="AZ141" si="158">IF(AY141-BA141&lt;&gt;0,AY141,0)</f>
        <v>0</v>
      </c>
      <c r="BA141">
        <f t="shared" ref="BA141" si="159">IF(AY141&lt;0,AY141,0)</f>
        <v>0</v>
      </c>
      <c r="BB141">
        <f t="shared" ref="BB141" si="160">IF(AI141-AV141=14,1,0)</f>
        <v>0</v>
      </c>
      <c r="BC141">
        <f t="shared" ref="BC141" si="161">IF(AH141-BB141=AH141,0,AH141)</f>
        <v>0</v>
      </c>
      <c r="BD141">
        <f t="shared" ref="BD141" si="162">IF(BB141=1,O141,0)</f>
        <v>0</v>
      </c>
      <c r="BE141">
        <f t="shared" ref="BE141" si="163">IF(BD141&lt;0,BD141,0)</f>
        <v>0</v>
      </c>
      <c r="BF141">
        <f t="shared" ref="BF141" si="164">IF(BD141-BE141&lt;&gt;0,BD141,0)</f>
        <v>0</v>
      </c>
    </row>
    <row r="142" spans="1:256" x14ac:dyDescent="0.2">
      <c r="I142" s="66" t="s">
        <v>51</v>
      </c>
      <c r="J142" s="67" t="s">
        <v>52</v>
      </c>
      <c r="K142" s="66" t="s">
        <v>49</v>
      </c>
      <c r="L142" s="66"/>
      <c r="M142" s="67" t="s">
        <v>50</v>
      </c>
      <c r="N142" s="67"/>
      <c r="Q142" s="122" t="s">
        <v>72</v>
      </c>
      <c r="R142" s="221"/>
      <c r="AH142" s="6">
        <f>COUNTIF(AH4:AH140,"1")</f>
        <v>137</v>
      </c>
    </row>
    <row r="143" spans="1:256" x14ac:dyDescent="0.2">
      <c r="AH143" s="6">
        <f>COUNTIFS($X$1:$X$140,$A$1,AH1:AH140,1)</f>
        <v>137</v>
      </c>
      <c r="AI143" s="22" t="s">
        <v>22</v>
      </c>
      <c r="AJ143" s="22" t="s">
        <v>22</v>
      </c>
      <c r="AK143" s="8">
        <f>SUMIF($X$4:$X$140,$A$1,AK4:AK140)</f>
        <v>3</v>
      </c>
      <c r="AL143" s="6">
        <f>COUNTIFS($X$1:$X$140,$A$1,AL1:AL140,1)</f>
        <v>3</v>
      </c>
      <c r="AM143" s="6">
        <f>COUNTIFS($X$1:$X$140,$A$1,AM1:AM140,1)</f>
        <v>3</v>
      </c>
      <c r="AN143" s="8">
        <f>SUMIF($X$4:$X$140,$A$1,AN4:AN140)</f>
        <v>272000</v>
      </c>
      <c r="AO143" s="8">
        <f>SUMIF($X$4:$X$140,$A$1,AO4:AO140)</f>
        <v>0</v>
      </c>
      <c r="AP143" s="6">
        <f>COUNTIFS($X$1:$X$140,$A$1,AP1:AP140,1)</f>
        <v>0</v>
      </c>
      <c r="AQ143" s="6">
        <f>COUNTIFS($X$1:$X$140,$A$1,AQ1:AQ140,1)</f>
        <v>0</v>
      </c>
      <c r="AR143" s="8">
        <f>SUMIF($X$4:$X$140,$A$1,AR4:AR140)</f>
        <v>0</v>
      </c>
      <c r="AS143" s="8">
        <f>SUMIF($X$4:$X$140,$A$1,AS4:AS140)</f>
        <v>123</v>
      </c>
      <c r="AT143" s="6">
        <f>COUNTIFS($X$1:$X$140,$A$1,AT1:AT140,1)</f>
        <v>123</v>
      </c>
      <c r="AU143" s="8">
        <f>SUMIF($X$4:$X$140,$A$1,AU4:AU140)</f>
        <v>13</v>
      </c>
      <c r="AV143" s="6">
        <f>COUNTIFS($X$1:$X$140,$A$1,AV1:AV140,1)</f>
        <v>11</v>
      </c>
      <c r="AW143" s="8">
        <f>SUMIF($X$4:$X$140,$A$1,AW4:AW140)</f>
        <v>11</v>
      </c>
      <c r="AX143" s="6">
        <f>COUNTIFS($X$1:$X$140,$A$1,AX1:AX140,1)</f>
        <v>11</v>
      </c>
      <c r="AY143" s="8">
        <f>SUMIF($X$4:$X$140,$A$1,AY4:AY140)</f>
        <v>994986</v>
      </c>
      <c r="AZ143" s="8">
        <f>SUMIF($X$4:$X$140,$A$1,AZ4:AZ140)</f>
        <v>994986</v>
      </c>
      <c r="BA143" s="8">
        <f>SUMIF($X$4:$X$140,$A$1,BA4:BA140)</f>
        <v>0</v>
      </c>
      <c r="BB143" s="8">
        <f>SUMIF($X$4:$X$140,$A$1,BB4:BB140)</f>
        <v>0</v>
      </c>
      <c r="BC143" s="6">
        <f>COUNTIFS($X$1:$X$140,$A$1,BC1:BC140,1)</f>
        <v>0</v>
      </c>
      <c r="BD143" s="8">
        <f>SUMIF($X$4:$X$140,$A$1,BD4:BD140)</f>
        <v>0</v>
      </c>
      <c r="BE143" s="8">
        <f>SUMIF($X$4:$X$140,$A$1,BE4:BE140)</f>
        <v>0</v>
      </c>
      <c r="BF143" s="8">
        <f>SUMIF($X$4:$X$140,$A$1,BF4:BF140)</f>
        <v>0</v>
      </c>
    </row>
    <row r="144" spans="1:256" ht="12.75" hidden="1" customHeight="1" x14ac:dyDescent="0.2"/>
    <row r="145" spans="1:32" ht="12.75" hidden="1" customHeight="1" x14ac:dyDescent="0.2"/>
    <row r="146" spans="1:32" ht="12.75" hidden="1" customHeight="1" x14ac:dyDescent="0.2"/>
    <row r="147" spans="1:32" ht="12.75" hidden="1" customHeight="1" x14ac:dyDescent="0.2"/>
    <row r="148" spans="1:32" ht="12.75" hidden="1" customHeight="1" x14ac:dyDescent="0.2"/>
    <row r="149" spans="1:32" ht="12.75" hidden="1" customHeight="1" x14ac:dyDescent="0.2"/>
    <row r="150" spans="1:32" ht="12.75" hidden="1" customHeight="1" x14ac:dyDescent="0.2"/>
    <row r="151" spans="1:32" ht="13.5" thickBot="1" x14ac:dyDescent="0.25">
      <c r="O151" s="151"/>
      <c r="P151" s="8" t="s">
        <v>108</v>
      </c>
    </row>
    <row r="152" spans="1:32" ht="14.25" thickTop="1" thickBot="1" x14ac:dyDescent="0.25">
      <c r="A152" s="17">
        <f>COUNTIF(X4:X140,A1)</f>
        <v>137</v>
      </c>
      <c r="B152" s="123" t="s">
        <v>14</v>
      </c>
      <c r="C152" s="160" t="s">
        <v>102</v>
      </c>
      <c r="D152" s="161"/>
      <c r="E152" s="162">
        <f>I152</f>
        <v>220000</v>
      </c>
      <c r="F152" s="159" t="s">
        <v>21</v>
      </c>
      <c r="G152" s="20">
        <f>SUMIF(X4:X140,A1,G4:G140)</f>
        <v>11550994.99</v>
      </c>
      <c r="H152" s="116">
        <f>SUMIF(X4:X140,A1,H4:H140)</f>
        <v>-3437050.2199999997</v>
      </c>
      <c r="I152" s="99">
        <f>SUMIF(X4:X140,A1,I4:I140)</f>
        <v>220000</v>
      </c>
      <c r="J152" s="96">
        <f>SUMIF(X4:X140,A1,J4:J140)</f>
        <v>0</v>
      </c>
      <c r="K152" s="97">
        <f>SUMIF(X4:X140,A1,K4:K140)</f>
        <v>0</v>
      </c>
      <c r="L152" s="97">
        <f>SUMIF(X4:X140,A1,L4:L140)</f>
        <v>0</v>
      </c>
      <c r="M152" s="97">
        <f>SUMIF(X4:X140,A1,M4:M140)</f>
        <v>10081000</v>
      </c>
      <c r="N152" s="102">
        <f>SUM(N4:N141)</f>
        <v>1454994.99</v>
      </c>
      <c r="O152" s="102">
        <f>SUMIF(X4:X140,A1,O4:O140)</f>
        <v>-2187055.23</v>
      </c>
      <c r="P152" s="102">
        <f>SUMIF(X4:X140,A1,P4:P140)</f>
        <v>9528961.7699999996</v>
      </c>
      <c r="Q152" s="121">
        <f>P152-O152</f>
        <v>11716017</v>
      </c>
      <c r="R152" s="222"/>
      <c r="T152" s="21">
        <f>SUMIF(X4:X140,A1,T4:T140)</f>
        <v>3</v>
      </c>
      <c r="U152" s="82">
        <f>COUNTIFS(X1:X140,A1,U1:U140,"&lt;=5")</f>
        <v>3</v>
      </c>
      <c r="Z152" s="102">
        <f>SUM(Z4:Z141)</f>
        <v>1514999</v>
      </c>
      <c r="AA152" s="8"/>
      <c r="AB152" s="8"/>
      <c r="AC152" s="8"/>
      <c r="AD152" s="8"/>
      <c r="AE152" s="8"/>
      <c r="AF152" s="8"/>
    </row>
    <row r="153" spans="1:32" ht="14.25" thickTop="1" thickBot="1" x14ac:dyDescent="0.25">
      <c r="A153" s="128">
        <f>AH142</f>
        <v>137</v>
      </c>
      <c r="B153" s="123" t="s">
        <v>73</v>
      </c>
      <c r="C153" s="163" t="s">
        <v>126</v>
      </c>
      <c r="D153" s="8"/>
      <c r="E153" s="164">
        <f>J152</f>
        <v>0</v>
      </c>
      <c r="F153" s="142"/>
      <c r="G153" s="19"/>
      <c r="I153" s="100"/>
      <c r="J153" s="16"/>
      <c r="K153" s="16"/>
      <c r="L153" s="16"/>
      <c r="M153" s="16"/>
      <c r="N153" s="16"/>
    </row>
    <row r="154" spans="1:32" ht="15.95" customHeight="1" thickTop="1" thickBot="1" x14ac:dyDescent="0.25">
      <c r="C154" s="163" t="s">
        <v>104</v>
      </c>
      <c r="D154" s="8"/>
      <c r="E154" s="164">
        <f>L152</f>
        <v>0</v>
      </c>
    </row>
    <row r="155" spans="1:32" ht="15.95" customHeight="1" thickTop="1" thickBot="1" x14ac:dyDescent="0.25">
      <c r="C155" s="167" t="s">
        <v>103</v>
      </c>
      <c r="D155" s="168"/>
      <c r="E155" s="169">
        <f>'COBRANZA SIN CUPONES'!J26</f>
        <v>525000</v>
      </c>
      <c r="F155" s="18" t="s">
        <v>120</v>
      </c>
      <c r="I155" s="179">
        <f>E152+E153+E155</f>
        <v>745000</v>
      </c>
      <c r="J155" s="23"/>
      <c r="K155" s="24"/>
      <c r="L155" s="180" t="s">
        <v>122</v>
      </c>
      <c r="M155" s="186" t="s">
        <v>66</v>
      </c>
    </row>
    <row r="156" spans="1:32" ht="15.95" customHeight="1" thickTop="1" thickBot="1" x14ac:dyDescent="0.25">
      <c r="C156" s="167" t="s">
        <v>125</v>
      </c>
      <c r="D156" s="168"/>
      <c r="E156" s="178">
        <f>M152</f>
        <v>10081000</v>
      </c>
      <c r="J156" s="7" t="s">
        <v>51</v>
      </c>
      <c r="L156" s="181">
        <f>I152</f>
        <v>220000</v>
      </c>
      <c r="M156" s="187">
        <f>L156*M165%</f>
        <v>17600</v>
      </c>
    </row>
    <row r="157" spans="1:32" ht="15.95" customHeight="1" thickTop="1" thickBot="1" x14ac:dyDescent="0.25">
      <c r="C157" s="165" t="s">
        <v>121</v>
      </c>
      <c r="D157" s="166"/>
      <c r="E157" s="170">
        <f>SUM(E152:E156)</f>
        <v>10826000</v>
      </c>
      <c r="J157" s="7" t="s">
        <v>124</v>
      </c>
      <c r="L157" s="181">
        <f>E153</f>
        <v>0</v>
      </c>
      <c r="M157" s="187">
        <f>L157*M166%</f>
        <v>0</v>
      </c>
      <c r="T157"/>
      <c r="U157"/>
    </row>
    <row r="158" spans="1:32" ht="15.95" customHeight="1" thickTop="1" x14ac:dyDescent="0.2">
      <c r="D158" s="15"/>
      <c r="E158" s="15"/>
      <c r="F158" s="15"/>
      <c r="H158"/>
      <c r="J158" s="7" t="s">
        <v>129</v>
      </c>
      <c r="L158" s="181">
        <f>E154</f>
        <v>0</v>
      </c>
      <c r="M158" s="187">
        <f>L158*M168%</f>
        <v>0</v>
      </c>
      <c r="T158"/>
      <c r="U158"/>
    </row>
    <row r="159" spans="1:32" ht="15.95" customHeight="1" x14ac:dyDescent="0.2">
      <c r="C159"/>
      <c r="F159" s="8"/>
      <c r="G159" s="8"/>
      <c r="J159" s="7" t="s">
        <v>123</v>
      </c>
      <c r="L159" s="181">
        <f>E155</f>
        <v>525000</v>
      </c>
      <c r="M159" s="187">
        <f>L159*M165%</f>
        <v>42000</v>
      </c>
      <c r="T159"/>
      <c r="U159"/>
    </row>
    <row r="160" spans="1:32" ht="15.95" customHeight="1" thickBot="1" x14ac:dyDescent="0.25">
      <c r="C160"/>
      <c r="H160"/>
      <c r="J160" s="7" t="s">
        <v>127</v>
      </c>
      <c r="L160" s="181">
        <f>E156</f>
        <v>10081000</v>
      </c>
      <c r="M160" s="187">
        <f>L160*M167%</f>
        <v>806480</v>
      </c>
      <c r="T160"/>
      <c r="U160"/>
    </row>
    <row r="161" spans="1:23" ht="15.95" customHeight="1" thickTop="1" thickBot="1" x14ac:dyDescent="0.25">
      <c r="A161" s="23"/>
      <c r="B161" s="24"/>
      <c r="C161" s="24"/>
      <c r="D161" s="24"/>
      <c r="E161" s="25" t="s">
        <v>15</v>
      </c>
      <c r="F161" s="25" t="s">
        <v>23</v>
      </c>
      <c r="G161" s="24"/>
      <c r="H161" s="77"/>
      <c r="I161" s="9"/>
      <c r="J161" s="182" t="s">
        <v>67</v>
      </c>
      <c r="K161" s="183"/>
      <c r="L161" s="184">
        <f>SUM(L156:L160)</f>
        <v>10826000</v>
      </c>
      <c r="M161" s="188">
        <f>SUM(M156:M160)</f>
        <v>866080</v>
      </c>
      <c r="T161"/>
      <c r="U161"/>
    </row>
    <row r="162" spans="1:23" ht="15.95" customHeight="1" thickTop="1" thickBot="1" x14ac:dyDescent="0.25">
      <c r="A162" s="131" t="s">
        <v>14</v>
      </c>
      <c r="B162" s="132"/>
      <c r="C162" s="132" t="s">
        <v>6</v>
      </c>
      <c r="D162" s="26" t="s">
        <v>24</v>
      </c>
      <c r="E162" s="132" t="s">
        <v>25</v>
      </c>
      <c r="F162" s="27"/>
      <c r="G162" s="27"/>
      <c r="H162" s="78"/>
      <c r="T162"/>
      <c r="U162"/>
    </row>
    <row r="163" spans="1:23" ht="15.95" customHeight="1" thickTop="1" x14ac:dyDescent="0.2">
      <c r="A163" s="28">
        <f>A152</f>
        <v>137</v>
      </c>
      <c r="B163" s="29" t="s">
        <v>26</v>
      </c>
      <c r="C163" s="30">
        <f>P152</f>
        <v>9528961.7699999996</v>
      </c>
      <c r="D163" s="31">
        <f>A152</f>
        <v>137</v>
      </c>
      <c r="E163" s="32">
        <f>C163/A163</f>
        <v>69554.465474452547</v>
      </c>
      <c r="F163" s="33">
        <f>H163-G163</f>
        <v>1</v>
      </c>
      <c r="G163" s="33">
        <f>IF(H163=100,0,SUM(F164+F167+F168+F171+F169)-1)</f>
        <v>0.21398178303322135</v>
      </c>
      <c r="H163" s="33">
        <f>SUM(F164+F167+F168+F171+F169)</f>
        <v>1.2139817830332214</v>
      </c>
      <c r="S163" s="136"/>
      <c r="T163"/>
      <c r="U163"/>
      <c r="W163" s="136"/>
    </row>
    <row r="164" spans="1:23" ht="15.95" customHeight="1" x14ac:dyDescent="0.2">
      <c r="A164" s="34">
        <f>A165+A166</f>
        <v>3</v>
      </c>
      <c r="B164" s="10" t="s">
        <v>27</v>
      </c>
      <c r="C164" s="35">
        <f>C165+C166</f>
        <v>272000</v>
      </c>
      <c r="D164" s="36">
        <f>T152</f>
        <v>3</v>
      </c>
      <c r="E164" s="37">
        <f t="shared" ref="E164:E172" si="165">C164/D164</f>
        <v>90666.666666666672</v>
      </c>
      <c r="F164" s="38">
        <f>C164/C163</f>
        <v>2.8544557798136701E-2</v>
      </c>
      <c r="G164" s="11"/>
      <c r="H164" s="65"/>
      <c r="O164" s="172" t="s">
        <v>109</v>
      </c>
      <c r="P164" s="172"/>
      <c r="Q164" s="173">
        <f>SUMIF(H4:H140,"&gt;0",H4:H140)+G152</f>
        <v>11755994.99</v>
      </c>
      <c r="S164" s="136"/>
      <c r="T164"/>
      <c r="U164"/>
      <c r="W164" s="136"/>
    </row>
    <row r="165" spans="1:23" ht="20.25" x14ac:dyDescent="0.3">
      <c r="A165" s="39">
        <f>AP143</f>
        <v>0</v>
      </c>
      <c r="B165" s="10" t="s">
        <v>28</v>
      </c>
      <c r="C165" s="40">
        <f>AR143</f>
        <v>0</v>
      </c>
      <c r="D165" s="12">
        <f>AO143</f>
        <v>0</v>
      </c>
      <c r="E165" s="37" t="e">
        <f t="shared" si="165"/>
        <v>#DIV/0!</v>
      </c>
      <c r="F165" s="41">
        <f>C165/C163</f>
        <v>0</v>
      </c>
      <c r="G165" s="11"/>
      <c r="H165" s="65"/>
      <c r="J165" s="189"/>
      <c r="K165" s="189"/>
      <c r="L165" s="189" t="s">
        <v>99</v>
      </c>
      <c r="M165" s="156">
        <v>8</v>
      </c>
      <c r="N165" s="8"/>
      <c r="O165" s="172" t="s">
        <v>110</v>
      </c>
      <c r="P165" s="172"/>
      <c r="Q165" s="173">
        <f>E157</f>
        <v>10826000</v>
      </c>
      <c r="U165" s="143"/>
    </row>
    <row r="166" spans="1:23" ht="21" thickBot="1" x14ac:dyDescent="0.35">
      <c r="A166" s="39">
        <f>AL143</f>
        <v>3</v>
      </c>
      <c r="B166" s="10" t="s">
        <v>29</v>
      </c>
      <c r="C166" s="40">
        <f>AN143</f>
        <v>272000</v>
      </c>
      <c r="D166" s="12">
        <f>AK143</f>
        <v>3</v>
      </c>
      <c r="E166" s="37">
        <f t="shared" si="165"/>
        <v>90666.666666666672</v>
      </c>
      <c r="F166" s="41">
        <f>C166/C163</f>
        <v>2.8544557798136701E-2</v>
      </c>
      <c r="G166" s="11"/>
      <c r="H166" s="65"/>
      <c r="J166" s="189"/>
      <c r="K166" s="189"/>
      <c r="L166" s="189" t="s">
        <v>133</v>
      </c>
      <c r="M166" s="156">
        <v>8</v>
      </c>
      <c r="O166" s="172" t="s">
        <v>8</v>
      </c>
      <c r="P166" s="172"/>
      <c r="Q166" s="173">
        <f>Q164-Q165</f>
        <v>929994.99000000022</v>
      </c>
    </row>
    <row r="167" spans="1:23" ht="21.75" thickTop="1" thickBot="1" x14ac:dyDescent="0.35">
      <c r="A167" s="39">
        <f>AT143</f>
        <v>123</v>
      </c>
      <c r="B167" s="10" t="s">
        <v>17</v>
      </c>
      <c r="C167" s="42">
        <f>I152+M152+L152</f>
        <v>10301000</v>
      </c>
      <c r="D167" s="43">
        <f>AS143</f>
        <v>123</v>
      </c>
      <c r="E167" s="37">
        <f t="shared" si="165"/>
        <v>83747.9674796748</v>
      </c>
      <c r="F167" s="38">
        <f>C167/C163</f>
        <v>1.0810201833772286</v>
      </c>
      <c r="G167" s="44">
        <f>C167/(C163-C164)</f>
        <v>1.1127841138313355</v>
      </c>
      <c r="H167" s="65" t="s">
        <v>30</v>
      </c>
      <c r="J167" s="190"/>
      <c r="K167" s="190"/>
      <c r="L167" s="190" t="s">
        <v>134</v>
      </c>
      <c r="M167" s="156">
        <v>8</v>
      </c>
      <c r="O167" s="172" t="s">
        <v>111</v>
      </c>
      <c r="P167" s="172"/>
      <c r="Q167" s="174">
        <f>Q165/Q164</f>
        <v>0.92089185213237312</v>
      </c>
    </row>
    <row r="168" spans="1:23" ht="21" thickTop="1" x14ac:dyDescent="0.3">
      <c r="A168" s="39"/>
      <c r="B168" s="10" t="s">
        <v>53</v>
      </c>
      <c r="C168" s="74">
        <f>J152</f>
        <v>0</v>
      </c>
      <c r="D168" s="43"/>
      <c r="E168" s="43"/>
      <c r="F168" s="33">
        <f>C168/C163</f>
        <v>0</v>
      </c>
      <c r="G168" s="98">
        <f>(I152+L152+J152+M152)/P152</f>
        <v>1.0810201833772286</v>
      </c>
      <c r="H168" s="65" t="s">
        <v>63</v>
      </c>
      <c r="J168" s="189"/>
      <c r="K168" s="189"/>
      <c r="L168" s="189" t="s">
        <v>130</v>
      </c>
      <c r="M168" s="156">
        <v>2</v>
      </c>
      <c r="T168" s="142"/>
    </row>
    <row r="169" spans="1:23" ht="13.5" thickBot="1" x14ac:dyDescent="0.25">
      <c r="A169" s="39"/>
      <c r="B169" s="72" t="s">
        <v>64</v>
      </c>
      <c r="C169" s="74">
        <f>K152</f>
        <v>0</v>
      </c>
      <c r="D169" s="43"/>
      <c r="E169" s="43"/>
      <c r="F169" s="38">
        <f>C169/C163</f>
        <v>0</v>
      </c>
      <c r="G169" s="101"/>
      <c r="H169" s="65"/>
      <c r="O169" s="172" t="s">
        <v>135</v>
      </c>
      <c r="P169" s="206"/>
      <c r="Q169" s="173">
        <f>SUMIF(T4:T140,1,G4:G140)</f>
        <v>330000</v>
      </c>
      <c r="R169" s="223" t="s">
        <v>136</v>
      </c>
    </row>
    <row r="170" spans="1:23" ht="18" customHeight="1" thickTop="1" thickBot="1" x14ac:dyDescent="0.25">
      <c r="A170" s="39"/>
      <c r="B170" s="76" t="s">
        <v>65</v>
      </c>
      <c r="C170" s="76">
        <f>C167+C168+C169</f>
        <v>10301000</v>
      </c>
      <c r="D170" s="73"/>
      <c r="E170" s="71"/>
      <c r="F170" s="71"/>
      <c r="G170" s="71"/>
      <c r="H170" s="79"/>
      <c r="O170" s="172" t="s">
        <v>137</v>
      </c>
      <c r="P170" s="206"/>
      <c r="Q170" s="173">
        <f>SUMIFS(H4:H140,H4:H140,"&gt;0",T4:T140,1)-SUMIF(T4:T140,1,I4:I140)</f>
        <v>60000</v>
      </c>
      <c r="R170" s="223" t="s">
        <v>138</v>
      </c>
    </row>
    <row r="171" spans="1:23" ht="13.5" thickTop="1" x14ac:dyDescent="0.2">
      <c r="A171" s="39">
        <f>AV143</f>
        <v>11</v>
      </c>
      <c r="B171" s="10" t="s">
        <v>18</v>
      </c>
      <c r="C171" s="75">
        <f>C172+C173</f>
        <v>994986</v>
      </c>
      <c r="D171" s="43">
        <f>AV143</f>
        <v>11</v>
      </c>
      <c r="E171" s="37">
        <f t="shared" si="165"/>
        <v>90453.272727272721</v>
      </c>
      <c r="F171" s="38">
        <f>C171/C163</f>
        <v>0.10441704185785605</v>
      </c>
      <c r="G171" s="11"/>
      <c r="H171" s="65"/>
      <c r="O171" s="206" t="s">
        <v>145</v>
      </c>
      <c r="P171" s="206"/>
      <c r="Q171" s="173">
        <f>SUMIF(T4:T140,"=1",N4:N140)</f>
        <v>390000</v>
      </c>
      <c r="R171" s="223" t="s">
        <v>140</v>
      </c>
      <c r="T171"/>
      <c r="U171"/>
    </row>
    <row r="172" spans="1:23" ht="17.25" customHeight="1" x14ac:dyDescent="0.2">
      <c r="A172" s="39">
        <f>BC143</f>
        <v>0</v>
      </c>
      <c r="B172" s="10" t="s">
        <v>31</v>
      </c>
      <c r="C172" s="40">
        <f>BF143+BE143</f>
        <v>0</v>
      </c>
      <c r="D172" s="43">
        <f>BB143</f>
        <v>0</v>
      </c>
      <c r="E172" s="37" t="e">
        <f t="shared" si="165"/>
        <v>#DIV/0!</v>
      </c>
      <c r="F172" s="41">
        <f>C172/C163</f>
        <v>0</v>
      </c>
      <c r="G172" s="11"/>
      <c r="H172" s="65"/>
      <c r="O172" s="206" t="s">
        <v>139</v>
      </c>
      <c r="P172" s="206"/>
      <c r="Q172" s="173">
        <f>Q173-Q171</f>
        <v>1124999</v>
      </c>
      <c r="R172" s="223" t="s">
        <v>146</v>
      </c>
      <c r="S172" s="142"/>
      <c r="T172"/>
      <c r="U172"/>
      <c r="W172" s="142"/>
    </row>
    <row r="173" spans="1:23" ht="13.5" thickBot="1" x14ac:dyDescent="0.25">
      <c r="A173" s="45">
        <f>AX143</f>
        <v>11</v>
      </c>
      <c r="B173" s="46" t="s">
        <v>32</v>
      </c>
      <c r="C173" s="47">
        <f>AZ143+BA143</f>
        <v>994986</v>
      </c>
      <c r="D173" s="48">
        <f>AW143</f>
        <v>11</v>
      </c>
      <c r="E173" s="49">
        <f>C173/D173</f>
        <v>90453.272727272721</v>
      </c>
      <c r="F173" s="50">
        <f>C173/C163</f>
        <v>0.10441704185785605</v>
      </c>
      <c r="G173" s="51"/>
      <c r="H173" s="80"/>
      <c r="O173" s="208" t="s">
        <v>141</v>
      </c>
      <c r="P173" s="208"/>
      <c r="Q173" s="209">
        <f>SUMIF(N4:N140,"&gt;0",N4:N140)</f>
        <v>1514999</v>
      </c>
      <c r="R173" s="223" t="s">
        <v>147</v>
      </c>
      <c r="T173"/>
      <c r="U173"/>
    </row>
    <row r="174" spans="1:23" ht="13.5" thickTop="1" x14ac:dyDescent="0.2">
      <c r="A174" s="120"/>
      <c r="B174" s="8"/>
      <c r="T174"/>
      <c r="U174"/>
    </row>
    <row r="175" spans="1:23" ht="13.5" thickBot="1" x14ac:dyDescent="0.25">
      <c r="O175" s="207" t="s">
        <v>142</v>
      </c>
      <c r="P175" s="207"/>
      <c r="Q175" s="207"/>
      <c r="T175"/>
      <c r="U175"/>
    </row>
    <row r="176" spans="1:23" ht="14.25" thickTop="1" thickBot="1" x14ac:dyDescent="0.25">
      <c r="A176" s="8"/>
      <c r="B176" s="8" t="s">
        <v>98</v>
      </c>
      <c r="C176"/>
      <c r="D176" s="15"/>
      <c r="E176" s="150">
        <f>G163</f>
        <v>0.21398178303322135</v>
      </c>
      <c r="F176" s="150">
        <f>H163</f>
        <v>1.2139817830332214</v>
      </c>
      <c r="H176" s="152"/>
      <c r="O176" s="207" t="s">
        <v>143</v>
      </c>
      <c r="P176" s="207"/>
      <c r="Q176" s="207"/>
      <c r="T176"/>
      <c r="U176"/>
    </row>
    <row r="177" spans="2:36" ht="14.25" thickTop="1" thickBot="1" x14ac:dyDescent="0.25">
      <c r="O177" s="207" t="s">
        <v>148</v>
      </c>
      <c r="P177" s="207"/>
      <c r="Q177" s="207"/>
      <c r="S177" s="142"/>
      <c r="T177"/>
      <c r="U177"/>
      <c r="V177" s="142"/>
      <c r="W177" s="142"/>
    </row>
    <row r="178" spans="2:36" ht="14.25" thickTop="1" thickBot="1" x14ac:dyDescent="0.25">
      <c r="B178" s="153" t="s">
        <v>9</v>
      </c>
      <c r="C178" s="154" t="s">
        <v>45</v>
      </c>
      <c r="O178" s="207" t="s">
        <v>149</v>
      </c>
      <c r="P178" s="207"/>
      <c r="Q178" s="207"/>
      <c r="T178"/>
      <c r="AH178" s="8"/>
    </row>
    <row r="179" spans="2:36" ht="13.5" thickTop="1" x14ac:dyDescent="0.2">
      <c r="B179" s="39">
        <v>1</v>
      </c>
      <c r="C179" s="90" t="s">
        <v>93</v>
      </c>
      <c r="E179" s="85" t="s">
        <v>59</v>
      </c>
      <c r="F179" s="83"/>
      <c r="G179" s="83"/>
      <c r="H179" s="84"/>
      <c r="I179" s="86"/>
      <c r="T179"/>
      <c r="AH179" s="8"/>
      <c r="AI179" s="69"/>
      <c r="AJ179" s="70"/>
    </row>
    <row r="180" spans="2:36" x14ac:dyDescent="0.2">
      <c r="B180" s="39">
        <v>2</v>
      </c>
      <c r="C180" s="90" t="s">
        <v>43</v>
      </c>
      <c r="E180" s="87" t="s">
        <v>60</v>
      </c>
      <c r="F180" s="88"/>
      <c r="G180" s="88"/>
      <c r="H180" s="6"/>
      <c r="I180" s="89"/>
      <c r="T180"/>
      <c r="AH180" s="8"/>
      <c r="AI180" s="69"/>
      <c r="AJ180" s="70"/>
    </row>
    <row r="181" spans="2:36" x14ac:dyDescent="0.2">
      <c r="B181" s="39">
        <v>3</v>
      </c>
      <c r="C181" s="155" t="s">
        <v>100</v>
      </c>
      <c r="E181" s="87" t="s">
        <v>58</v>
      </c>
      <c r="F181" s="6"/>
      <c r="G181" s="6"/>
      <c r="H181" s="6"/>
      <c r="I181" s="89"/>
      <c r="S181" s="8"/>
      <c r="U181" s="8"/>
      <c r="V181" s="8"/>
      <c r="W181" s="8"/>
      <c r="X181" s="8"/>
      <c r="Y181" s="8"/>
      <c r="AH181" s="8"/>
      <c r="AI181" s="69"/>
      <c r="AJ181" s="70"/>
    </row>
    <row r="182" spans="2:36" x14ac:dyDescent="0.2">
      <c r="B182" s="39">
        <v>4</v>
      </c>
      <c r="C182" s="90" t="s">
        <v>44</v>
      </c>
      <c r="E182" s="87" t="s">
        <v>61</v>
      </c>
      <c r="F182" s="88"/>
      <c r="G182" s="88"/>
      <c r="H182" s="88"/>
      <c r="I182" s="91"/>
      <c r="S182" s="8"/>
      <c r="U182" s="8"/>
      <c r="V182" s="8"/>
      <c r="W182" s="8"/>
      <c r="X182" s="8"/>
      <c r="Y182" s="8"/>
    </row>
    <row r="183" spans="2:36" ht="13.5" thickBot="1" x14ac:dyDescent="0.25">
      <c r="B183" s="39">
        <v>5</v>
      </c>
      <c r="C183" s="90" t="s">
        <v>46</v>
      </c>
      <c r="E183" s="92" t="s">
        <v>62</v>
      </c>
      <c r="F183" s="93"/>
      <c r="G183" s="93"/>
      <c r="H183" s="94"/>
      <c r="I183" s="95"/>
      <c r="S183" s="8"/>
      <c r="U183" s="8"/>
      <c r="V183" s="8"/>
      <c r="W183" s="8"/>
      <c r="X183" s="8"/>
      <c r="Y183" s="8"/>
    </row>
    <row r="184" spans="2:36" ht="13.5" thickTop="1" x14ac:dyDescent="0.2">
      <c r="S184" s="8"/>
      <c r="U184" s="8"/>
      <c r="V184" s="8"/>
      <c r="W184" s="8"/>
      <c r="X184" s="8"/>
      <c r="Y184" s="8"/>
    </row>
  </sheetData>
  <sheetProtection sheet="1" objects="1" scenarios="1"/>
  <sortState xmlns:xlrd2="http://schemas.microsoft.com/office/spreadsheetml/2017/richdata2" ref="A4:IV140">
    <sortCondition descending="1" ref="F4:F140"/>
    <sortCondition ref="A4:A140"/>
  </sortState>
  <mergeCells count="3">
    <mergeCell ref="G2:H2"/>
    <mergeCell ref="I2:M2"/>
    <mergeCell ref="Q2:S2"/>
  </mergeCells>
  <phoneticPr fontId="9" type="noConversion"/>
  <conditionalFormatting sqref="A1:A1048576">
    <cfRule type="duplicateValues" dxfId="10" priority="234"/>
  </conditionalFormatting>
  <conditionalFormatting sqref="A3 X3:Y3 X142:Y142 X144:Y147 A151:A156">
    <cfRule type="expression" dxfId="9" priority="214" stopIfTrue="1">
      <formula>COUNTIF($A$4:$A$141,A3)&gt;1</formula>
    </cfRule>
  </conditionalFormatting>
  <conditionalFormatting sqref="B152:B153 B155:B156 A161 A182">
    <cfRule type="expression" dxfId="8" priority="213" stopIfTrue="1">
      <formula>COUNTIF(#REF!,A152)&gt;1</formula>
    </cfRule>
  </conditionalFormatting>
  <conditionalFormatting sqref="C152:D154">
    <cfRule type="expression" dxfId="7" priority="172" stopIfTrue="1">
      <formula>COUNTIF(#REF!,C152)&gt;1</formula>
    </cfRule>
  </conditionalFormatting>
  <conditionalFormatting sqref="D155:D156">
    <cfRule type="expression" dxfId="6" priority="173" stopIfTrue="1">
      <formula>COUNTIF(#REF!,D155)&gt;1</formula>
    </cfRule>
  </conditionalFormatting>
  <pageMargins left="0.19685039370078741" right="0.11811023622047245" top="0.15748031496062992" bottom="0.19685039370078741" header="0" footer="0"/>
  <pageSetup paperSize="9" scale="45" fitToHeight="4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B5E2-36AC-40E5-A44C-6E4D0351BCF3}">
  <dimension ref="A1:W28"/>
  <sheetViews>
    <sheetView zoomScale="85" zoomScaleNormal="85" workbookViewId="0">
      <selection activeCell="B10" sqref="B10"/>
    </sheetView>
  </sheetViews>
  <sheetFormatPr baseColWidth="10" defaultRowHeight="12.75" x14ac:dyDescent="0.2"/>
  <cols>
    <col min="1" max="1" width="5" bestFit="1" customWidth="1"/>
    <col min="2" max="2" width="29.85546875" customWidth="1"/>
    <col min="3" max="3" width="12.28515625" customWidth="1"/>
    <col min="4" max="4" width="12.85546875" customWidth="1"/>
    <col min="5" max="5" width="7.140625" bestFit="1" customWidth="1"/>
    <col min="6" max="6" width="3.42578125" customWidth="1"/>
    <col min="7" max="7" width="0" hidden="1" customWidth="1"/>
    <col min="8" max="8" width="11" bestFit="1" customWidth="1"/>
    <col min="9" max="9" width="12.7109375" hidden="1" customWidth="1"/>
    <col min="10" max="10" width="13.85546875" customWidth="1"/>
    <col min="11" max="11" width="6.140625" bestFit="1" customWidth="1"/>
    <col min="12" max="12" width="7.7109375" bestFit="1" customWidth="1"/>
    <col min="13" max="13" width="8.42578125" bestFit="1" customWidth="1"/>
    <col min="14" max="14" width="7.7109375" bestFit="1" customWidth="1"/>
    <col min="15" max="17" width="8" bestFit="1" customWidth="1"/>
    <col min="18" max="19" width="0" hidden="1" customWidth="1"/>
    <col min="22" max="22" width="40.140625" customWidth="1"/>
    <col min="23" max="23" width="81" bestFit="1" customWidth="1"/>
  </cols>
  <sheetData>
    <row r="1" spans="1:23" ht="24" thickBot="1" x14ac:dyDescent="0.4">
      <c r="A1" s="130">
        <v>7</v>
      </c>
      <c r="B1" s="126" t="str">
        <f>IF(A1&lt;&gt;0,VLOOKUP(A1,COB!A1:B9,2),"COBRADOR INEXISTENTE")</f>
        <v>MEDIOS ELECTRONICOS</v>
      </c>
      <c r="C1" s="127"/>
      <c r="D1" s="129" t="s">
        <v>520</v>
      </c>
      <c r="E1" s="125">
        <v>2026</v>
      </c>
      <c r="F1" s="129" t="s">
        <v>26</v>
      </c>
      <c r="I1" s="9" t="s">
        <v>69</v>
      </c>
      <c r="R1" s="22"/>
      <c r="S1" s="110"/>
      <c r="T1" s="8"/>
      <c r="U1" s="9"/>
      <c r="V1" s="110"/>
      <c r="W1" s="110"/>
    </row>
    <row r="2" spans="1:23" ht="14.25" thickTop="1" thickBot="1" x14ac:dyDescent="0.25">
      <c r="C2" s="15"/>
      <c r="E2" s="1"/>
      <c r="F2" s="1"/>
      <c r="G2" s="224" t="s">
        <v>21</v>
      </c>
      <c r="H2" s="224"/>
      <c r="I2" s="225" t="s">
        <v>48</v>
      </c>
      <c r="J2" s="225"/>
      <c r="K2" s="225"/>
      <c r="L2" s="225"/>
      <c r="M2" s="225"/>
      <c r="N2" s="58" t="s">
        <v>95</v>
      </c>
      <c r="O2" s="2" t="s">
        <v>8</v>
      </c>
      <c r="P2" s="2" t="s">
        <v>71</v>
      </c>
      <c r="Q2" s="226" t="s">
        <v>107</v>
      </c>
      <c r="R2" s="227"/>
      <c r="S2" s="227"/>
      <c r="T2" s="8"/>
      <c r="U2" s="9"/>
      <c r="V2" s="112"/>
      <c r="W2" s="112"/>
    </row>
    <row r="3" spans="1:23" ht="14.25" thickTop="1" thickBot="1" x14ac:dyDescent="0.25">
      <c r="A3" s="2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5" t="s">
        <v>5</v>
      </c>
      <c r="G3" s="2" t="s">
        <v>24</v>
      </c>
      <c r="H3" s="115" t="s">
        <v>70</v>
      </c>
      <c r="I3" s="2" t="s">
        <v>7</v>
      </c>
      <c r="J3" s="58" t="s">
        <v>54</v>
      </c>
      <c r="K3" s="58" t="s">
        <v>47</v>
      </c>
      <c r="L3" s="185" t="s">
        <v>129</v>
      </c>
      <c r="M3" s="58" t="s">
        <v>131</v>
      </c>
      <c r="N3" s="58" t="s">
        <v>96</v>
      </c>
      <c r="O3" s="2" t="s">
        <v>97</v>
      </c>
      <c r="P3" s="2" t="s">
        <v>94</v>
      </c>
      <c r="Q3" s="2" t="s">
        <v>7</v>
      </c>
      <c r="R3" s="111" t="s">
        <v>36</v>
      </c>
      <c r="S3" s="111" t="s">
        <v>113</v>
      </c>
      <c r="T3" s="2" t="s">
        <v>9</v>
      </c>
      <c r="U3" s="2" t="s">
        <v>42</v>
      </c>
      <c r="V3" s="111" t="s">
        <v>10</v>
      </c>
      <c r="W3" s="175" t="s">
        <v>112</v>
      </c>
    </row>
    <row r="4" spans="1:23" ht="15" thickTop="1" x14ac:dyDescent="0.2">
      <c r="A4" s="10">
        <v>2015</v>
      </c>
      <c r="B4" s="11" t="s">
        <v>213</v>
      </c>
      <c r="C4" s="105" t="s">
        <v>214</v>
      </c>
      <c r="D4" s="11" t="s">
        <v>215</v>
      </c>
      <c r="E4" s="12">
        <v>10189</v>
      </c>
      <c r="F4" s="202">
        <v>66</v>
      </c>
      <c r="G4" s="11">
        <v>70000</v>
      </c>
      <c r="H4" s="116">
        <v>-118000</v>
      </c>
      <c r="I4" s="192"/>
      <c r="J4" s="204"/>
      <c r="K4" s="193"/>
      <c r="L4" s="193"/>
      <c r="M4" s="193"/>
      <c r="N4" s="203">
        <f t="shared" ref="N4:N6" si="0">IF(H4&gt;0,G4+H4-I4-J4-K4-L4-M4,G4-I4-J4-K4-L4-M4)</f>
        <v>70000</v>
      </c>
      <c r="O4" s="203">
        <f t="shared" ref="O4:O6" si="1">G4+H4-J4-I4-K4-L4-M4</f>
        <v>-48000</v>
      </c>
      <c r="P4" s="203">
        <f t="shared" ref="P4:P6" si="2">IF(G4+H4&lt;0,0,G4+H4)</f>
        <v>0</v>
      </c>
      <c r="Q4" s="214"/>
      <c r="R4" s="219"/>
      <c r="S4" s="217">
        <v>70000</v>
      </c>
      <c r="T4" s="205">
        <v>1</v>
      </c>
      <c r="U4" s="205">
        <v>1</v>
      </c>
      <c r="V4" s="215" t="s">
        <v>523</v>
      </c>
      <c r="W4" s="212"/>
    </row>
    <row r="5" spans="1:23" ht="14.25" x14ac:dyDescent="0.2">
      <c r="A5" s="10">
        <v>2545</v>
      </c>
      <c r="B5" s="11" t="s">
        <v>339</v>
      </c>
      <c r="C5" s="105" t="s">
        <v>340</v>
      </c>
      <c r="D5" s="11" t="s">
        <v>222</v>
      </c>
      <c r="E5" s="12">
        <v>11371</v>
      </c>
      <c r="F5" s="202">
        <v>54</v>
      </c>
      <c r="G5" s="11">
        <v>300000</v>
      </c>
      <c r="H5" s="116">
        <v>0</v>
      </c>
      <c r="I5" s="192"/>
      <c r="J5" s="204"/>
      <c r="K5" s="193"/>
      <c r="L5" s="193"/>
      <c r="M5" s="193"/>
      <c r="N5" s="203">
        <f t="shared" si="0"/>
        <v>300000</v>
      </c>
      <c r="O5" s="203">
        <f t="shared" si="1"/>
        <v>300000</v>
      </c>
      <c r="P5" s="203">
        <f t="shared" si="2"/>
        <v>300000</v>
      </c>
      <c r="Q5" s="214"/>
      <c r="R5" s="219">
        <v>46259</v>
      </c>
      <c r="S5" s="217">
        <v>46217</v>
      </c>
      <c r="T5" s="205"/>
      <c r="U5" s="205"/>
      <c r="V5" s="215"/>
      <c r="W5" s="212" t="s">
        <v>535</v>
      </c>
    </row>
    <row r="6" spans="1:23" ht="14.25" x14ac:dyDescent="0.2">
      <c r="A6" s="10">
        <v>2897</v>
      </c>
      <c r="B6" s="11" t="s">
        <v>390</v>
      </c>
      <c r="C6" s="105" t="s">
        <v>391</v>
      </c>
      <c r="D6" s="11" t="s">
        <v>106</v>
      </c>
      <c r="E6" s="12">
        <v>11810</v>
      </c>
      <c r="F6" s="202">
        <v>41</v>
      </c>
      <c r="G6" s="11">
        <v>80000</v>
      </c>
      <c r="H6" s="116">
        <v>0</v>
      </c>
      <c r="I6" s="192"/>
      <c r="J6" s="204"/>
      <c r="K6" s="193"/>
      <c r="L6" s="193"/>
      <c r="M6" s="193"/>
      <c r="N6" s="203">
        <f t="shared" si="0"/>
        <v>80000</v>
      </c>
      <c r="O6" s="203">
        <f t="shared" si="1"/>
        <v>80000</v>
      </c>
      <c r="P6" s="203">
        <f t="shared" si="2"/>
        <v>80000</v>
      </c>
      <c r="Q6" s="214"/>
      <c r="R6" s="219">
        <v>46264</v>
      </c>
      <c r="S6" s="217">
        <v>46218</v>
      </c>
      <c r="T6" s="205"/>
      <c r="U6" s="205"/>
      <c r="V6" s="215"/>
      <c r="W6" s="212" t="s">
        <v>538</v>
      </c>
    </row>
    <row r="7" spans="1:23" ht="14.25" x14ac:dyDescent="0.2">
      <c r="A7" s="10">
        <v>3036</v>
      </c>
      <c r="B7" s="11" t="s">
        <v>406</v>
      </c>
      <c r="C7" s="105" t="s">
        <v>407</v>
      </c>
      <c r="D7" s="11" t="s">
        <v>154</v>
      </c>
      <c r="E7" s="12">
        <v>10489</v>
      </c>
      <c r="F7" s="202">
        <v>36</v>
      </c>
      <c r="G7" s="11">
        <v>100000</v>
      </c>
      <c r="H7" s="116">
        <v>0</v>
      </c>
      <c r="I7" s="192"/>
      <c r="J7" s="204"/>
      <c r="K7" s="193"/>
      <c r="L7" s="193"/>
      <c r="M7" s="193"/>
      <c r="N7" s="203">
        <f t="shared" ref="N7:N14" si="3">IF(H7&gt;0,G7+H7-I7-J7-K7-L7-M7,G7-I7-J7-K7-L7-M7)</f>
        <v>100000</v>
      </c>
      <c r="O7" s="203">
        <f t="shared" ref="O7:O14" si="4">G7+H7-J7-I7-K7-L7-M7</f>
        <v>100000</v>
      </c>
      <c r="P7" s="203">
        <f t="shared" ref="P7:P14" si="5">IF(G7+H7&lt;0,0,G7+H7)</f>
        <v>100000</v>
      </c>
      <c r="Q7" s="214"/>
      <c r="R7" s="219">
        <v>46265</v>
      </c>
      <c r="S7" s="217">
        <v>46234</v>
      </c>
      <c r="T7" s="205"/>
      <c r="U7" s="205"/>
      <c r="V7" s="215"/>
      <c r="W7" s="212" t="s">
        <v>540</v>
      </c>
    </row>
    <row r="8" spans="1:23" ht="14.25" x14ac:dyDescent="0.2">
      <c r="A8" s="10">
        <v>3118</v>
      </c>
      <c r="B8" s="11" t="s">
        <v>421</v>
      </c>
      <c r="C8" s="105" t="s">
        <v>422</v>
      </c>
      <c r="D8" s="11" t="s">
        <v>106</v>
      </c>
      <c r="E8" s="12">
        <v>11940</v>
      </c>
      <c r="F8" s="202">
        <v>35</v>
      </c>
      <c r="G8" s="11">
        <v>60000</v>
      </c>
      <c r="H8" s="116">
        <v>60000</v>
      </c>
      <c r="I8" s="192"/>
      <c r="J8" s="204"/>
      <c r="K8" s="193"/>
      <c r="L8" s="193"/>
      <c r="M8" s="193"/>
      <c r="N8" s="203">
        <f t="shared" si="3"/>
        <v>120000</v>
      </c>
      <c r="O8" s="203">
        <f t="shared" si="4"/>
        <v>120000</v>
      </c>
      <c r="P8" s="203">
        <f t="shared" si="5"/>
        <v>120000</v>
      </c>
      <c r="Q8" s="214"/>
      <c r="R8" s="219">
        <v>46233</v>
      </c>
      <c r="S8" s="217">
        <v>46203</v>
      </c>
      <c r="T8" s="205">
        <v>1</v>
      </c>
      <c r="U8" s="205">
        <v>1</v>
      </c>
      <c r="V8" s="215" t="s">
        <v>541</v>
      </c>
      <c r="W8" s="212"/>
    </row>
    <row r="9" spans="1:23" ht="14.25" x14ac:dyDescent="0.2">
      <c r="A9" s="10">
        <v>3158</v>
      </c>
      <c r="B9" s="11" t="s">
        <v>437</v>
      </c>
      <c r="C9" s="105" t="s">
        <v>438</v>
      </c>
      <c r="D9" s="11" t="s">
        <v>325</v>
      </c>
      <c r="E9" s="12">
        <v>20018</v>
      </c>
      <c r="F9" s="202">
        <v>34</v>
      </c>
      <c r="G9" s="11">
        <v>80000</v>
      </c>
      <c r="H9" s="116">
        <v>0</v>
      </c>
      <c r="I9" s="192"/>
      <c r="J9" s="204"/>
      <c r="K9" s="193"/>
      <c r="L9" s="193"/>
      <c r="M9" s="193"/>
      <c r="N9" s="203">
        <f t="shared" si="3"/>
        <v>80000</v>
      </c>
      <c r="O9" s="203">
        <f t="shared" si="4"/>
        <v>80000</v>
      </c>
      <c r="P9" s="203">
        <f t="shared" si="5"/>
        <v>80000</v>
      </c>
      <c r="Q9" s="214"/>
      <c r="R9" s="219">
        <v>46259</v>
      </c>
      <c r="S9" s="217">
        <v>46209</v>
      </c>
      <c r="T9" s="205"/>
      <c r="U9" s="205"/>
      <c r="V9" s="215"/>
      <c r="W9" s="212" t="s">
        <v>542</v>
      </c>
    </row>
    <row r="10" spans="1:23" ht="14.25" x14ac:dyDescent="0.2">
      <c r="A10" s="10">
        <v>3177</v>
      </c>
      <c r="B10" s="11" t="s">
        <v>280</v>
      </c>
      <c r="C10" s="105" t="s">
        <v>281</v>
      </c>
      <c r="D10" s="11" t="s">
        <v>282</v>
      </c>
      <c r="E10" s="12">
        <v>11939</v>
      </c>
      <c r="F10" s="202">
        <v>34</v>
      </c>
      <c r="G10" s="11">
        <v>30000</v>
      </c>
      <c r="H10" s="116">
        <v>15000</v>
      </c>
      <c r="I10" s="192"/>
      <c r="J10" s="204"/>
      <c r="K10" s="193"/>
      <c r="L10" s="193"/>
      <c r="M10" s="193"/>
      <c r="N10" s="203">
        <f t="shared" si="3"/>
        <v>45000</v>
      </c>
      <c r="O10" s="203">
        <f t="shared" si="4"/>
        <v>45000</v>
      </c>
      <c r="P10" s="203">
        <f t="shared" si="5"/>
        <v>45000</v>
      </c>
      <c r="Q10" s="214"/>
      <c r="R10" s="219">
        <v>46264</v>
      </c>
      <c r="S10" s="217">
        <v>46203</v>
      </c>
      <c r="T10" s="205"/>
      <c r="U10" s="205"/>
      <c r="V10" s="215"/>
      <c r="W10" s="212" t="s">
        <v>543</v>
      </c>
    </row>
    <row r="11" spans="1:23" ht="14.25" x14ac:dyDescent="0.2">
      <c r="A11" s="10">
        <v>3249</v>
      </c>
      <c r="B11" s="11" t="s">
        <v>451</v>
      </c>
      <c r="C11" s="105" t="s">
        <v>452</v>
      </c>
      <c r="D11" s="11" t="s">
        <v>154</v>
      </c>
      <c r="E11" s="12">
        <v>20300</v>
      </c>
      <c r="F11" s="202">
        <v>32</v>
      </c>
      <c r="G11" s="11">
        <v>60000</v>
      </c>
      <c r="H11" s="116">
        <v>60000</v>
      </c>
      <c r="I11" s="192"/>
      <c r="J11" s="204"/>
      <c r="K11" s="193"/>
      <c r="L11" s="193"/>
      <c r="M11" s="193">
        <v>60000</v>
      </c>
      <c r="N11" s="203">
        <f t="shared" si="3"/>
        <v>60000</v>
      </c>
      <c r="O11" s="203">
        <f t="shared" si="4"/>
        <v>60000</v>
      </c>
      <c r="P11" s="203">
        <f t="shared" si="5"/>
        <v>120000</v>
      </c>
      <c r="Q11" s="214">
        <v>46245</v>
      </c>
      <c r="R11" s="219">
        <v>46245</v>
      </c>
      <c r="S11" s="217">
        <v>46211</v>
      </c>
      <c r="T11" s="205"/>
      <c r="U11" s="205"/>
      <c r="V11" s="215" t="s">
        <v>521</v>
      </c>
      <c r="W11" s="212" t="s">
        <v>546</v>
      </c>
    </row>
    <row r="12" spans="1:23" ht="14.25" x14ac:dyDescent="0.2">
      <c r="A12" s="10">
        <v>3371</v>
      </c>
      <c r="B12" s="11" t="s">
        <v>478</v>
      </c>
      <c r="C12" s="105" t="s">
        <v>479</v>
      </c>
      <c r="D12" s="11" t="s">
        <v>106</v>
      </c>
      <c r="E12" s="12">
        <v>20186</v>
      </c>
      <c r="F12" s="202">
        <v>27</v>
      </c>
      <c r="G12" s="11">
        <v>99999</v>
      </c>
      <c r="H12" s="116">
        <v>-13</v>
      </c>
      <c r="I12" s="192"/>
      <c r="J12" s="204"/>
      <c r="K12" s="193"/>
      <c r="L12" s="193"/>
      <c r="M12" s="193"/>
      <c r="N12" s="203">
        <f t="shared" si="3"/>
        <v>99999</v>
      </c>
      <c r="O12" s="203">
        <f t="shared" si="4"/>
        <v>99986</v>
      </c>
      <c r="P12" s="203">
        <f t="shared" si="5"/>
        <v>99986</v>
      </c>
      <c r="Q12" s="214"/>
      <c r="R12" s="219">
        <v>46261</v>
      </c>
      <c r="S12" s="217">
        <v>46230</v>
      </c>
      <c r="T12" s="205"/>
      <c r="U12" s="205"/>
      <c r="V12" s="215"/>
      <c r="W12" s="212" t="s">
        <v>544</v>
      </c>
    </row>
    <row r="13" spans="1:23" ht="14.25" x14ac:dyDescent="0.2">
      <c r="A13" s="10">
        <v>3400</v>
      </c>
      <c r="B13" s="11" t="s">
        <v>488</v>
      </c>
      <c r="C13" s="105" t="s">
        <v>489</v>
      </c>
      <c r="D13" s="11" t="s">
        <v>144</v>
      </c>
      <c r="E13" s="12">
        <v>20201</v>
      </c>
      <c r="F13" s="202">
        <v>25</v>
      </c>
      <c r="G13" s="11">
        <v>60000</v>
      </c>
      <c r="H13" s="116">
        <v>0</v>
      </c>
      <c r="I13" s="192"/>
      <c r="J13" s="204"/>
      <c r="K13" s="193"/>
      <c r="L13" s="193"/>
      <c r="M13" s="193"/>
      <c r="N13" s="203">
        <f t="shared" si="3"/>
        <v>60000</v>
      </c>
      <c r="O13" s="203">
        <f t="shared" si="4"/>
        <v>60000</v>
      </c>
      <c r="P13" s="203">
        <f t="shared" si="5"/>
        <v>60000</v>
      </c>
      <c r="Q13" s="214"/>
      <c r="R13" s="219"/>
      <c r="S13" s="217">
        <v>46211</v>
      </c>
      <c r="T13" s="205"/>
      <c r="U13" s="205"/>
      <c r="V13" s="215"/>
      <c r="W13" s="212" t="s">
        <v>542</v>
      </c>
    </row>
    <row r="14" spans="1:23" ht="14.25" x14ac:dyDescent="0.2">
      <c r="A14" s="10">
        <v>3401</v>
      </c>
      <c r="B14" s="11" t="s">
        <v>490</v>
      </c>
      <c r="C14" s="105" t="s">
        <v>491</v>
      </c>
      <c r="D14" s="11" t="s">
        <v>105</v>
      </c>
      <c r="E14" s="12">
        <v>20219</v>
      </c>
      <c r="F14" s="202">
        <v>25</v>
      </c>
      <c r="G14" s="11">
        <v>60000</v>
      </c>
      <c r="H14" s="116">
        <v>-60000</v>
      </c>
      <c r="I14" s="192"/>
      <c r="J14" s="204"/>
      <c r="K14" s="193"/>
      <c r="L14" s="193"/>
      <c r="M14" s="193"/>
      <c r="N14" s="203">
        <f t="shared" si="3"/>
        <v>60000</v>
      </c>
      <c r="O14" s="203">
        <f t="shared" si="4"/>
        <v>0</v>
      </c>
      <c r="P14" s="203">
        <f t="shared" si="5"/>
        <v>0</v>
      </c>
      <c r="Q14" s="214"/>
      <c r="R14" s="219">
        <v>46234</v>
      </c>
      <c r="S14" s="217">
        <v>46234</v>
      </c>
      <c r="T14" s="205"/>
      <c r="U14" s="205"/>
      <c r="V14" s="215"/>
      <c r="W14" s="212" t="s">
        <v>545</v>
      </c>
    </row>
    <row r="15" spans="1:23" ht="14.25" x14ac:dyDescent="0.2">
      <c r="A15" s="10">
        <v>3457</v>
      </c>
      <c r="B15" s="11" t="s">
        <v>507</v>
      </c>
      <c r="C15" s="105" t="s">
        <v>508</v>
      </c>
      <c r="D15" s="11" t="s">
        <v>154</v>
      </c>
      <c r="E15" s="12">
        <v>20336</v>
      </c>
      <c r="F15" s="202">
        <v>22</v>
      </c>
      <c r="G15" s="11">
        <v>80000</v>
      </c>
      <c r="H15" s="116">
        <v>0</v>
      </c>
      <c r="I15" s="192"/>
      <c r="J15" s="204"/>
      <c r="K15" s="193"/>
      <c r="L15" s="193"/>
      <c r="M15" s="193"/>
      <c r="N15" s="203">
        <f t="shared" ref="N15:N16" si="6">IF(H15&gt;0,G15+H15-I15-J15-K15-L15-M15,G15-I15-J15-K15-L15-M15)</f>
        <v>80000</v>
      </c>
      <c r="O15" s="203">
        <f t="shared" ref="O15:O17" si="7">G15+H15-J15-I15-K15-L15-M15</f>
        <v>80000</v>
      </c>
      <c r="P15" s="203">
        <f t="shared" ref="P15:P16" si="8">IF(G15+H15&lt;0,0,G15+H15)</f>
        <v>80000</v>
      </c>
      <c r="Q15" s="214"/>
      <c r="R15" s="219">
        <v>46234</v>
      </c>
      <c r="S15" s="217">
        <v>46234</v>
      </c>
      <c r="T15" s="205"/>
      <c r="U15" s="205"/>
      <c r="V15" s="215"/>
      <c r="W15" s="212" t="s">
        <v>533</v>
      </c>
    </row>
    <row r="16" spans="1:23" ht="14.25" x14ac:dyDescent="0.2">
      <c r="A16" s="10">
        <v>3491</v>
      </c>
      <c r="B16" s="11" t="s">
        <v>518</v>
      </c>
      <c r="C16" s="105" t="s">
        <v>519</v>
      </c>
      <c r="D16" s="11" t="s">
        <v>106</v>
      </c>
      <c r="E16" s="12">
        <v>20356</v>
      </c>
      <c r="F16" s="202">
        <v>15</v>
      </c>
      <c r="G16" s="11">
        <v>200000</v>
      </c>
      <c r="H16" s="116">
        <v>0</v>
      </c>
      <c r="I16" s="192"/>
      <c r="J16" s="204"/>
      <c r="K16" s="193"/>
      <c r="L16" s="193"/>
      <c r="M16" s="193"/>
      <c r="N16" s="203">
        <f t="shared" si="6"/>
        <v>200000</v>
      </c>
      <c r="O16" s="203">
        <f t="shared" si="7"/>
        <v>200000</v>
      </c>
      <c r="P16" s="203">
        <f t="shared" si="8"/>
        <v>200000</v>
      </c>
      <c r="Q16" s="214"/>
      <c r="R16" s="219"/>
      <c r="S16" s="217">
        <v>46206</v>
      </c>
      <c r="T16" s="205">
        <v>1</v>
      </c>
      <c r="U16" s="205">
        <v>1</v>
      </c>
      <c r="V16" s="215" t="s">
        <v>529</v>
      </c>
      <c r="W16" s="212"/>
    </row>
    <row r="17" spans="1:23" x14ac:dyDescent="0.2">
      <c r="A17" s="10"/>
      <c r="B17" s="12" t="s">
        <v>68</v>
      </c>
      <c r="C17" s="105"/>
      <c r="D17" s="11"/>
      <c r="E17" s="12"/>
      <c r="F17" s="106"/>
      <c r="G17" s="11">
        <f>'COBRANZA SIN CUPONES'!G26</f>
        <v>0</v>
      </c>
      <c r="H17" s="107"/>
      <c r="I17" s="108">
        <f>'COBRANZA SIN CUPONES'!H26</f>
        <v>525000</v>
      </c>
      <c r="J17" s="109">
        <f>'COBRANZA SIN CUPONES'!I26</f>
        <v>0</v>
      </c>
      <c r="K17" s="108"/>
      <c r="L17" s="108"/>
      <c r="M17" s="108"/>
      <c r="N17" s="108"/>
      <c r="O17" s="14">
        <f t="shared" si="7"/>
        <v>-525000</v>
      </c>
      <c r="P17" s="14"/>
      <c r="Q17" s="171"/>
      <c r="R17" s="220"/>
      <c r="S17" s="13"/>
      <c r="T17" s="81"/>
      <c r="U17" s="81"/>
      <c r="V17" s="13"/>
      <c r="W17" s="210"/>
    </row>
    <row r="18" spans="1:23" x14ac:dyDescent="0.2">
      <c r="C18" s="15"/>
      <c r="H18" s="9"/>
      <c r="R18" s="22"/>
      <c r="T18" s="8"/>
      <c r="U18" s="9"/>
    </row>
    <row r="19" spans="1:23" x14ac:dyDescent="0.2">
      <c r="C19" s="15"/>
      <c r="H19" s="9"/>
      <c r="R19" s="22"/>
      <c r="T19" s="8"/>
      <c r="U19" s="9"/>
    </row>
    <row r="20" spans="1:23" x14ac:dyDescent="0.2">
      <c r="C20" s="15"/>
      <c r="H20" s="9"/>
      <c r="R20" s="22"/>
      <c r="T20" s="8"/>
      <c r="U20" s="9"/>
    </row>
    <row r="21" spans="1:23" x14ac:dyDescent="0.2">
      <c r="C21" s="15"/>
      <c r="H21" s="9"/>
      <c r="R21" s="22"/>
      <c r="T21" s="8"/>
      <c r="U21" s="9"/>
    </row>
    <row r="22" spans="1:23" x14ac:dyDescent="0.2">
      <c r="C22" s="15"/>
      <c r="H22" s="9"/>
      <c r="R22" s="22"/>
      <c r="T22" s="8"/>
      <c r="U22" s="9"/>
    </row>
    <row r="23" spans="1:23" x14ac:dyDescent="0.2">
      <c r="C23" s="15"/>
      <c r="H23" s="9"/>
      <c r="R23" s="22"/>
      <c r="T23" s="8"/>
      <c r="U23" s="9"/>
    </row>
    <row r="24" spans="1:23" x14ac:dyDescent="0.2">
      <c r="C24" s="15"/>
      <c r="H24" s="9"/>
      <c r="R24" s="22"/>
      <c r="T24" s="8"/>
      <c r="U24" s="9"/>
    </row>
    <row r="25" spans="1:23" x14ac:dyDescent="0.2">
      <c r="C25" s="15"/>
      <c r="H25" s="9"/>
      <c r="R25" s="22"/>
      <c r="T25" s="8"/>
      <c r="U25" s="9"/>
    </row>
    <row r="26" spans="1:23" ht="13.5" thickBot="1" x14ac:dyDescent="0.25">
      <c r="C26" s="15"/>
      <c r="H26" s="9"/>
      <c r="O26" s="151"/>
      <c r="P26" s="8" t="s">
        <v>108</v>
      </c>
      <c r="R26" s="22"/>
      <c r="T26" s="8"/>
      <c r="U26" s="9"/>
    </row>
    <row r="27" spans="1:23" ht="14.25" thickTop="1" thickBot="1" x14ac:dyDescent="0.25">
      <c r="A27" s="17">
        <f>COUNTIF(X4:X16,A1)</f>
        <v>0</v>
      </c>
      <c r="B27" s="123" t="s">
        <v>14</v>
      </c>
      <c r="C27" s="160" t="s">
        <v>102</v>
      </c>
      <c r="D27" s="161"/>
      <c r="E27" s="162">
        <f>I27</f>
        <v>0</v>
      </c>
      <c r="F27" s="159" t="s">
        <v>21</v>
      </c>
      <c r="G27" s="20">
        <f>SUMIF(X4:X16,A1,G4:G16)</f>
        <v>0</v>
      </c>
      <c r="H27" s="116">
        <f>SUMIF(X4:X16,A1,H4:H16)</f>
        <v>0</v>
      </c>
      <c r="I27" s="99">
        <f>SUMIF(X4:X16,A1,I4:I16)</f>
        <v>0</v>
      </c>
      <c r="J27" s="96">
        <f>SUMIF(X4:X16,A1,J4:J16)</f>
        <v>0</v>
      </c>
      <c r="K27" s="97">
        <f>SUMIF(X4:X16,A1,K4:K16)</f>
        <v>0</v>
      </c>
      <c r="L27" s="97">
        <f>SUMIF(X4:X16,A1,L4:L16)</f>
        <v>0</v>
      </c>
      <c r="M27" s="97">
        <f>SUMIF(X4:X16,A1,M4:M16)</f>
        <v>0</v>
      </c>
      <c r="N27" s="102">
        <f>SUM(N4:N17)</f>
        <v>1354999</v>
      </c>
      <c r="O27" s="102">
        <f>SUMIF(X4:X16,A1,O4:O16)</f>
        <v>0</v>
      </c>
      <c r="P27" s="102">
        <f>SUMIF(X4:X16,A1,P4:P16)</f>
        <v>0</v>
      </c>
      <c r="Q27" s="121">
        <f>P27-O27</f>
        <v>0</v>
      </c>
      <c r="R27" s="222"/>
      <c r="T27" s="21">
        <f>SUMIF(X4:X16,A1,T4:T16)</f>
        <v>0</v>
      </c>
      <c r="U27" s="82">
        <f>COUNTIFS(X1:X16,A1,U1:U16,"&lt;=5")</f>
        <v>0</v>
      </c>
    </row>
    <row r="28" spans="1:23" ht="13.5" thickTop="1" x14ac:dyDescent="0.2"/>
  </sheetData>
  <mergeCells count="3">
    <mergeCell ref="G2:H2"/>
    <mergeCell ref="I2:M2"/>
    <mergeCell ref="Q2:S2"/>
  </mergeCells>
  <conditionalFormatting sqref="A26:A27 A3">
    <cfRule type="expression" dxfId="5" priority="3" stopIfTrue="1">
      <formula>COUNTIF($A$4:$A$17,A3)&gt;1</formula>
    </cfRule>
  </conditionalFormatting>
  <conditionalFormatting sqref="B27">
    <cfRule type="expression" dxfId="4" priority="2" stopIfTrue="1">
      <formula>COUNTIF(#REF!,B27)&gt;1</formula>
    </cfRule>
  </conditionalFormatting>
  <conditionalFormatting sqref="C27:D27">
    <cfRule type="expression" dxfId="3" priority="1" stopIfTrue="1">
      <formula>COUNTIF(#REF!,C27)&gt;1</formula>
    </cfRule>
  </conditionalFormatting>
  <conditionalFormatting sqref="A1:A27">
    <cfRule type="duplicateValues" dxfId="0" priority="26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>
    <pageSetUpPr fitToPage="1"/>
  </sheetPr>
  <dimension ref="A1:N26"/>
  <sheetViews>
    <sheetView topLeftCell="A4" zoomScale="90" zoomScaleNormal="90" workbookViewId="0">
      <selection activeCell="A9" sqref="A9:B9"/>
    </sheetView>
  </sheetViews>
  <sheetFormatPr baseColWidth="10" defaultRowHeight="12.75" x14ac:dyDescent="0.2"/>
  <cols>
    <col min="1" max="1" width="8.7109375" customWidth="1"/>
    <col min="2" max="2" width="19.42578125" customWidth="1"/>
    <col min="3" max="3" width="18.28515625" style="15" customWidth="1"/>
    <col min="4" max="4" width="12.140625" customWidth="1"/>
    <col min="6" max="6" width="10.7109375" customWidth="1"/>
    <col min="7" max="7" width="14.42578125" customWidth="1"/>
    <col min="8" max="8" width="8.5703125" style="9" customWidth="1"/>
    <col min="13" max="13" width="12.85546875" customWidth="1"/>
    <col min="14" max="14" width="49.85546875" customWidth="1"/>
  </cols>
  <sheetData>
    <row r="1" spans="1:14" ht="23.25" x14ac:dyDescent="0.35">
      <c r="A1" s="228" t="s">
        <v>76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</row>
    <row r="2" spans="1:14" ht="31.5" customHeight="1" x14ac:dyDescent="0.3">
      <c r="E2" s="1"/>
      <c r="F2" s="1"/>
      <c r="G2" s="139"/>
      <c r="H2" s="229" t="s">
        <v>48</v>
      </c>
      <c r="I2" s="229"/>
      <c r="J2" s="229"/>
      <c r="K2" s="229"/>
      <c r="L2" s="229"/>
    </row>
    <row r="3" spans="1:14" ht="33.75" customHeight="1" thickBot="1" x14ac:dyDescent="0.3">
      <c r="E3" s="1"/>
      <c r="F3" s="1"/>
      <c r="G3" s="139"/>
      <c r="H3" s="230" t="s">
        <v>92</v>
      </c>
      <c r="I3" s="230"/>
      <c r="J3" s="230"/>
      <c r="K3" s="230"/>
      <c r="L3" s="230"/>
    </row>
    <row r="4" spans="1:14" ht="14.25" thickTop="1" thickBot="1" x14ac:dyDescent="0.25">
      <c r="A4" s="111" t="s">
        <v>0</v>
      </c>
      <c r="B4" s="111" t="s">
        <v>1</v>
      </c>
      <c r="C4" s="134" t="s">
        <v>2</v>
      </c>
      <c r="D4" s="135" t="s">
        <v>3</v>
      </c>
      <c r="E4" s="111" t="s">
        <v>4</v>
      </c>
      <c r="F4" s="111" t="s">
        <v>91</v>
      </c>
      <c r="G4" s="111" t="s">
        <v>75</v>
      </c>
      <c r="H4" s="137" t="s">
        <v>7</v>
      </c>
      <c r="I4" s="138" t="s">
        <v>54</v>
      </c>
      <c r="J4" s="138" t="s">
        <v>26</v>
      </c>
      <c r="K4" s="138" t="s">
        <v>66</v>
      </c>
      <c r="L4" s="138" t="s">
        <v>74</v>
      </c>
      <c r="M4" s="2" t="s">
        <v>101</v>
      </c>
      <c r="N4" s="2" t="s">
        <v>10</v>
      </c>
    </row>
    <row r="5" spans="1:14" ht="17.100000000000001" customHeight="1" thickTop="1" x14ac:dyDescent="0.2">
      <c r="A5" s="113">
        <v>1449</v>
      </c>
      <c r="B5" s="218" t="s">
        <v>522</v>
      </c>
      <c r="C5" s="194"/>
      <c r="D5" s="192"/>
      <c r="E5" s="195">
        <v>8865</v>
      </c>
      <c r="F5" s="192"/>
      <c r="G5" s="192"/>
      <c r="H5" s="193">
        <v>160000</v>
      </c>
      <c r="I5" s="68"/>
      <c r="J5" s="109">
        <f>H5+I5</f>
        <v>160000</v>
      </c>
      <c r="K5" s="140">
        <f>J5*AUTOHOGAR!$M$165%</f>
        <v>12800</v>
      </c>
      <c r="L5" s="141">
        <f>J5-K5</f>
        <v>147200</v>
      </c>
      <c r="M5" s="158"/>
      <c r="N5" s="199"/>
    </row>
    <row r="6" spans="1:14" ht="17.100000000000001" customHeight="1" x14ac:dyDescent="0.2">
      <c r="A6" s="113">
        <v>2947</v>
      </c>
      <c r="B6" s="114" t="s">
        <v>524</v>
      </c>
      <c r="C6" s="144"/>
      <c r="D6" s="114"/>
      <c r="E6" s="117">
        <v>11832</v>
      </c>
      <c r="F6" s="133"/>
      <c r="G6" s="114"/>
      <c r="H6" s="13">
        <v>40000</v>
      </c>
      <c r="I6" s="68"/>
      <c r="J6" s="109">
        <f t="shared" ref="J6:J17" si="0">H6+I6</f>
        <v>40000</v>
      </c>
      <c r="K6" s="140">
        <f>J6*AUTOHOGAR!$M$165%</f>
        <v>3200</v>
      </c>
      <c r="L6" s="141">
        <f t="shared" ref="L6:L17" si="1">J6-K6</f>
        <v>36800</v>
      </c>
      <c r="M6" s="158"/>
      <c r="N6" s="104"/>
    </row>
    <row r="7" spans="1:14" ht="17.100000000000001" customHeight="1" x14ac:dyDescent="0.2">
      <c r="A7" s="113">
        <v>3145</v>
      </c>
      <c r="B7" s="196" t="s">
        <v>527</v>
      </c>
      <c r="C7" s="196"/>
      <c r="D7" s="196"/>
      <c r="E7" s="197">
        <v>11961</v>
      </c>
      <c r="F7" s="196"/>
      <c r="G7" s="196"/>
      <c r="H7" s="193">
        <v>60000</v>
      </c>
      <c r="I7" s="68"/>
      <c r="J7" s="109">
        <f t="shared" si="0"/>
        <v>60000</v>
      </c>
      <c r="K7" s="140">
        <f>J7*AUTOHOGAR!$M$165%</f>
        <v>4800</v>
      </c>
      <c r="L7" s="141">
        <f t="shared" si="1"/>
        <v>55200</v>
      </c>
      <c r="M7" s="158"/>
      <c r="N7" s="200"/>
    </row>
    <row r="8" spans="1:14" ht="17.100000000000001" customHeight="1" x14ac:dyDescent="0.2">
      <c r="A8" s="113">
        <v>3056</v>
      </c>
      <c r="B8" s="145" t="s">
        <v>528</v>
      </c>
      <c r="C8" s="145"/>
      <c r="D8" s="145"/>
      <c r="E8" s="198">
        <v>10167</v>
      </c>
      <c r="F8" s="103"/>
      <c r="G8" s="103">
        <v>60000</v>
      </c>
      <c r="H8" s="13">
        <v>115000</v>
      </c>
      <c r="I8" s="68"/>
      <c r="J8" s="109">
        <f t="shared" si="0"/>
        <v>115000</v>
      </c>
      <c r="K8" s="140">
        <f>J8*AUTOHOGAR!$M$165%</f>
        <v>9200</v>
      </c>
      <c r="L8" s="141">
        <f t="shared" si="1"/>
        <v>105800</v>
      </c>
      <c r="M8" s="158"/>
      <c r="N8" s="104"/>
    </row>
    <row r="9" spans="1:14" ht="17.100000000000001" customHeight="1" x14ac:dyDescent="0.2">
      <c r="A9" s="113">
        <v>3444</v>
      </c>
      <c r="B9" s="114" t="s">
        <v>530</v>
      </c>
      <c r="C9" s="144"/>
      <c r="D9" s="114"/>
      <c r="E9" s="117">
        <v>20302</v>
      </c>
      <c r="F9" s="133"/>
      <c r="G9" s="114"/>
      <c r="H9" s="13">
        <v>150000</v>
      </c>
      <c r="I9" s="68"/>
      <c r="J9" s="109">
        <f t="shared" si="0"/>
        <v>150000</v>
      </c>
      <c r="K9" s="140">
        <f>J9*AUTOHOGAR!$M$165%</f>
        <v>12000</v>
      </c>
      <c r="L9" s="141">
        <f t="shared" si="1"/>
        <v>138000</v>
      </c>
      <c r="M9" s="158"/>
      <c r="N9" s="104"/>
    </row>
    <row r="10" spans="1:14" ht="17.100000000000001" customHeight="1" x14ac:dyDescent="0.2">
      <c r="A10" s="113"/>
      <c r="B10" s="103"/>
      <c r="C10" s="103"/>
      <c r="D10" s="103"/>
      <c r="E10" s="119"/>
      <c r="F10" s="103"/>
      <c r="G10" s="103"/>
      <c r="H10" s="13"/>
      <c r="I10" s="68"/>
      <c r="J10" s="109">
        <f t="shared" si="0"/>
        <v>0</v>
      </c>
      <c r="K10" s="140">
        <f>J10*AUTOHOGAR!$M$165%</f>
        <v>0</v>
      </c>
      <c r="L10" s="141">
        <f t="shared" si="1"/>
        <v>0</v>
      </c>
      <c r="M10" s="158"/>
      <c r="N10" s="104"/>
    </row>
    <row r="11" spans="1:14" ht="17.100000000000001" customHeight="1" x14ac:dyDescent="0.2">
      <c r="A11" s="113"/>
      <c r="B11" s="145"/>
      <c r="C11" s="145"/>
      <c r="D11" s="145"/>
      <c r="E11" s="119"/>
      <c r="F11" s="103"/>
      <c r="G11" s="103"/>
      <c r="H11" s="13"/>
      <c r="I11" s="68"/>
      <c r="J11" s="109">
        <f t="shared" si="0"/>
        <v>0</v>
      </c>
      <c r="K11" s="140">
        <f>J11*AUTOHOGAR!$M$165%</f>
        <v>0</v>
      </c>
      <c r="L11" s="141">
        <f t="shared" si="1"/>
        <v>0</v>
      </c>
      <c r="M11" s="158"/>
      <c r="N11" s="104"/>
    </row>
    <row r="12" spans="1:14" ht="17.100000000000001" customHeight="1" x14ac:dyDescent="0.2">
      <c r="A12" s="157"/>
      <c r="B12" s="145"/>
      <c r="C12" s="145"/>
      <c r="D12" s="145"/>
      <c r="E12" s="119"/>
      <c r="F12" s="103"/>
      <c r="G12" s="103"/>
      <c r="H12" s="13"/>
      <c r="I12" s="68"/>
      <c r="J12" s="109">
        <f t="shared" si="0"/>
        <v>0</v>
      </c>
      <c r="K12" s="140">
        <f>J12*AUTOHOGAR!$M$165%</f>
        <v>0</v>
      </c>
      <c r="L12" s="141">
        <f t="shared" si="1"/>
        <v>0</v>
      </c>
      <c r="M12" s="158"/>
      <c r="N12" s="104"/>
    </row>
    <row r="13" spans="1:14" ht="17.100000000000001" customHeight="1" x14ac:dyDescent="0.2">
      <c r="A13" s="113"/>
      <c r="B13" s="133"/>
      <c r="C13" s="144"/>
      <c r="D13" s="133"/>
      <c r="E13" s="117"/>
      <c r="F13" s="114"/>
      <c r="G13" s="114"/>
      <c r="H13" s="13"/>
      <c r="I13" s="68"/>
      <c r="J13" s="109">
        <f t="shared" si="0"/>
        <v>0</v>
      </c>
      <c r="K13" s="140">
        <f>J13*AUTOHOGAR!$M$165%</f>
        <v>0</v>
      </c>
      <c r="L13" s="141">
        <f t="shared" si="1"/>
        <v>0</v>
      </c>
      <c r="M13" s="158"/>
      <c r="N13" s="104"/>
    </row>
    <row r="14" spans="1:14" ht="17.100000000000001" customHeight="1" x14ac:dyDescent="0.2">
      <c r="A14" s="113"/>
      <c r="B14" s="145"/>
      <c r="C14" s="145"/>
      <c r="D14" s="145"/>
      <c r="E14" s="119"/>
      <c r="F14" s="103"/>
      <c r="G14" s="103"/>
      <c r="H14" s="13"/>
      <c r="I14" s="68"/>
      <c r="J14" s="109">
        <f t="shared" si="0"/>
        <v>0</v>
      </c>
      <c r="K14" s="140">
        <f>J14*AUTOHOGAR!$M$165%</f>
        <v>0</v>
      </c>
      <c r="L14" s="141">
        <f t="shared" si="1"/>
        <v>0</v>
      </c>
      <c r="M14" s="158"/>
      <c r="N14" s="104"/>
    </row>
    <row r="15" spans="1:14" ht="17.100000000000001" customHeight="1" x14ac:dyDescent="0.2">
      <c r="A15" s="113"/>
      <c r="B15" s="145"/>
      <c r="C15" s="145"/>
      <c r="D15" s="145"/>
      <c r="E15" s="119"/>
      <c r="F15" s="103"/>
      <c r="G15" s="103"/>
      <c r="H15" s="13"/>
      <c r="I15" s="68"/>
      <c r="J15" s="109">
        <f t="shared" si="0"/>
        <v>0</v>
      </c>
      <c r="K15" s="140">
        <f>J15*AUTOHOGAR!$M$165%</f>
        <v>0</v>
      </c>
      <c r="L15" s="141">
        <f t="shared" si="1"/>
        <v>0</v>
      </c>
      <c r="M15" s="158"/>
      <c r="N15" s="104"/>
    </row>
    <row r="16" spans="1:14" ht="17.100000000000001" customHeight="1" x14ac:dyDescent="0.2">
      <c r="A16" s="113"/>
      <c r="B16" s="145"/>
      <c r="C16" s="145"/>
      <c r="D16" s="145"/>
      <c r="E16" s="119"/>
      <c r="F16" s="103"/>
      <c r="G16" s="103"/>
      <c r="H16" s="13"/>
      <c r="I16" s="68"/>
      <c r="J16" s="109">
        <f t="shared" si="0"/>
        <v>0</v>
      </c>
      <c r="K16" s="140">
        <f>J16*AUTOHOGAR!$M$165%</f>
        <v>0</v>
      </c>
      <c r="L16" s="141">
        <f t="shared" si="1"/>
        <v>0</v>
      </c>
      <c r="M16" s="158"/>
      <c r="N16" s="104"/>
    </row>
    <row r="17" spans="1:14" ht="17.100000000000001" customHeight="1" x14ac:dyDescent="0.2">
      <c r="A17" s="113"/>
      <c r="B17" s="145"/>
      <c r="C17" s="145"/>
      <c r="D17" s="145"/>
      <c r="E17" s="119"/>
      <c r="F17" s="103"/>
      <c r="G17" s="103"/>
      <c r="H17" s="13"/>
      <c r="I17" s="68"/>
      <c r="J17" s="109">
        <f t="shared" si="0"/>
        <v>0</v>
      </c>
      <c r="K17" s="140">
        <f>J17*AUTOHOGAR!$M$165%</f>
        <v>0</v>
      </c>
      <c r="L17" s="141">
        <f t="shared" si="1"/>
        <v>0</v>
      </c>
      <c r="M17" s="158"/>
      <c r="N17" s="104"/>
    </row>
    <row r="18" spans="1:14" ht="17.100000000000001" customHeight="1" x14ac:dyDescent="0.2">
      <c r="A18" s="157"/>
      <c r="B18" s="145"/>
      <c r="C18" s="145"/>
      <c r="D18" s="145"/>
      <c r="E18" s="119"/>
      <c r="F18" s="103"/>
      <c r="G18" s="103"/>
      <c r="H18" s="13"/>
      <c r="I18" s="68"/>
      <c r="J18" s="109">
        <f t="shared" ref="J18:J23" si="2">H18+I18</f>
        <v>0</v>
      </c>
      <c r="K18" s="140">
        <f>J18*AUTOHOGAR!$M$165%</f>
        <v>0</v>
      </c>
      <c r="L18" s="141">
        <f t="shared" ref="L18:L23" si="3">J18-K18</f>
        <v>0</v>
      </c>
      <c r="M18" s="158"/>
      <c r="N18" s="104"/>
    </row>
    <row r="19" spans="1:14" ht="17.100000000000001" customHeight="1" x14ac:dyDescent="0.2">
      <c r="A19" s="157"/>
      <c r="B19" s="145"/>
      <c r="C19" s="145"/>
      <c r="D19" s="145"/>
      <c r="E19" s="119"/>
      <c r="F19" s="103"/>
      <c r="G19" s="103"/>
      <c r="H19" s="13"/>
      <c r="I19" s="68"/>
      <c r="J19" s="109">
        <f t="shared" si="2"/>
        <v>0</v>
      </c>
      <c r="K19" s="140">
        <f>J19*AUTOHOGAR!$M$165%</f>
        <v>0</v>
      </c>
      <c r="L19" s="141">
        <f t="shared" si="3"/>
        <v>0</v>
      </c>
      <c r="M19" s="158"/>
      <c r="N19" s="104"/>
    </row>
    <row r="20" spans="1:14" ht="17.100000000000001" customHeight="1" x14ac:dyDescent="0.2">
      <c r="A20" s="157"/>
      <c r="B20" s="145"/>
      <c r="C20" s="145"/>
      <c r="D20" s="145"/>
      <c r="E20" s="119"/>
      <c r="F20" s="103"/>
      <c r="G20" s="103"/>
      <c r="H20" s="13"/>
      <c r="I20" s="68"/>
      <c r="J20" s="109">
        <f t="shared" si="2"/>
        <v>0</v>
      </c>
      <c r="K20" s="140">
        <f>J20*AUTOHOGAR!$M$165%</f>
        <v>0</v>
      </c>
      <c r="L20" s="141">
        <f t="shared" si="3"/>
        <v>0</v>
      </c>
      <c r="M20" s="158"/>
      <c r="N20" s="104"/>
    </row>
    <row r="21" spans="1:14" ht="17.100000000000001" customHeight="1" x14ac:dyDescent="0.2">
      <c r="A21" s="157"/>
      <c r="B21" s="145"/>
      <c r="C21" s="145"/>
      <c r="D21" s="145"/>
      <c r="E21" s="119"/>
      <c r="F21" s="103"/>
      <c r="G21" s="103"/>
      <c r="H21" s="13"/>
      <c r="I21" s="68"/>
      <c r="J21" s="109">
        <f t="shared" si="2"/>
        <v>0</v>
      </c>
      <c r="K21" s="140">
        <f>J21*AUTOHOGAR!$M$165%</f>
        <v>0</v>
      </c>
      <c r="L21" s="141">
        <f t="shared" si="3"/>
        <v>0</v>
      </c>
      <c r="M21" s="158"/>
      <c r="N21" s="104"/>
    </row>
    <row r="22" spans="1:14" ht="17.100000000000001" customHeight="1" x14ac:dyDescent="0.2">
      <c r="A22" s="157"/>
      <c r="B22" s="145"/>
      <c r="C22" s="145"/>
      <c r="D22" s="145"/>
      <c r="E22" s="119"/>
      <c r="F22" s="103"/>
      <c r="G22" s="103"/>
      <c r="H22" s="13"/>
      <c r="I22" s="68"/>
      <c r="J22" s="109">
        <f t="shared" si="2"/>
        <v>0</v>
      </c>
      <c r="K22" s="140">
        <f>J22*AUTOHOGAR!$M$165%</f>
        <v>0</v>
      </c>
      <c r="L22" s="141">
        <f t="shared" si="3"/>
        <v>0</v>
      </c>
      <c r="M22" s="158"/>
      <c r="N22" s="104"/>
    </row>
    <row r="23" spans="1:14" ht="17.100000000000001" customHeight="1" x14ac:dyDescent="0.2">
      <c r="A23" s="157"/>
      <c r="B23" s="145"/>
      <c r="C23" s="145"/>
      <c r="D23" s="145"/>
      <c r="E23" s="119"/>
      <c r="F23" s="103"/>
      <c r="G23" s="103"/>
      <c r="H23" s="13"/>
      <c r="I23" s="68"/>
      <c r="J23" s="109">
        <f t="shared" si="2"/>
        <v>0</v>
      </c>
      <c r="K23" s="140">
        <f>J23*AUTOHOGAR!$M$165%</f>
        <v>0</v>
      </c>
      <c r="L23" s="141">
        <f t="shared" si="3"/>
        <v>0</v>
      </c>
      <c r="M23" s="158"/>
      <c r="N23" s="104"/>
    </row>
    <row r="24" spans="1:14" ht="17.100000000000001" customHeight="1" x14ac:dyDescent="0.2">
      <c r="A24" s="103"/>
      <c r="B24" s="145"/>
      <c r="C24" s="145"/>
      <c r="D24" s="145"/>
      <c r="E24" s="119"/>
      <c r="F24" s="103"/>
      <c r="G24" s="103"/>
      <c r="H24" s="13"/>
      <c r="I24" s="68"/>
      <c r="J24" s="109">
        <f>H24+I24</f>
        <v>0</v>
      </c>
      <c r="K24" s="140">
        <f>J24*AUTOHOGAR!$M$165%</f>
        <v>0</v>
      </c>
      <c r="L24" s="141">
        <f>J24-K24</f>
        <v>0</v>
      </c>
      <c r="M24" s="158"/>
      <c r="N24" s="104"/>
    </row>
    <row r="25" spans="1:14" ht="17.100000000000001" customHeight="1" x14ac:dyDescent="0.2">
      <c r="E25" s="16"/>
      <c r="H25" s="118"/>
      <c r="I25" s="67"/>
      <c r="J25" s="67"/>
      <c r="K25" s="67"/>
      <c r="L25" s="67"/>
      <c r="M25" s="9"/>
      <c r="N25" s="9"/>
    </row>
    <row r="26" spans="1:14" ht="17.100000000000001" customHeight="1" x14ac:dyDescent="0.2">
      <c r="A26" s="17">
        <f>COUNTA(A5:A24)</f>
        <v>5</v>
      </c>
      <c r="C26"/>
      <c r="E26" s="18"/>
      <c r="F26" s="19"/>
      <c r="G26" s="19"/>
      <c r="H26" s="97">
        <f>SUM(H5:H25)</f>
        <v>525000</v>
      </c>
      <c r="I26" s="96">
        <f>SUM(I5:I25)</f>
        <v>0</v>
      </c>
      <c r="J26" s="96">
        <f>SUM(J5:J25)</f>
        <v>525000</v>
      </c>
      <c r="K26" s="141">
        <f>SUM(K5:K25)</f>
        <v>42000</v>
      </c>
      <c r="L26" s="141">
        <f>SUM(L5:L25)</f>
        <v>483000</v>
      </c>
      <c r="M26" s="158"/>
      <c r="N26" s="104"/>
    </row>
  </sheetData>
  <sheetProtection password="CCE9" sheet="1" objects="1" scenarios="1"/>
  <mergeCells count="3">
    <mergeCell ref="A1:N1"/>
    <mergeCell ref="H2:L2"/>
    <mergeCell ref="H3:L3"/>
  </mergeCells>
  <phoneticPr fontId="9" type="noConversion"/>
  <conditionalFormatting sqref="A4 A25:A65536">
    <cfRule type="expression" dxfId="2" priority="25" stopIfTrue="1">
      <formula>COUNTIF($A$5:$A$24,A4)&gt;1</formula>
    </cfRule>
  </conditionalFormatting>
  <conditionalFormatting sqref="B26:D26">
    <cfRule type="expression" dxfId="1" priority="24" stopIfTrue="1">
      <formula>COUNTIF(#REF!,B26)&gt;1</formula>
    </cfRule>
  </conditionalFormatting>
  <pageMargins left="0.3" right="0.15" top="0.39" bottom="0.51" header="0" footer="0"/>
  <pageSetup paperSize="9" scale="52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20" sqref="D20"/>
    </sheetView>
  </sheetViews>
  <sheetFormatPr baseColWidth="10" defaultRowHeight="12.75" x14ac:dyDescent="0.2"/>
  <cols>
    <col min="1" max="1" width="17.85546875" customWidth="1"/>
    <col min="2" max="2" width="20" bestFit="1" customWidth="1"/>
  </cols>
  <sheetData>
    <row r="1" spans="1:2" x14ac:dyDescent="0.2">
      <c r="A1" s="177" t="s">
        <v>1</v>
      </c>
      <c r="B1" t="s">
        <v>118</v>
      </c>
    </row>
    <row r="3" spans="1:2" x14ac:dyDescent="0.2">
      <c r="A3" s="177" t="s">
        <v>115</v>
      </c>
      <c r="B3" t="s">
        <v>128</v>
      </c>
    </row>
    <row r="4" spans="1:2" x14ac:dyDescent="0.2">
      <c r="A4" s="176" t="s">
        <v>116</v>
      </c>
      <c r="B4">
        <v>476000</v>
      </c>
    </row>
    <row r="5" spans="1:2" x14ac:dyDescent="0.2">
      <c r="A5" s="176" t="s">
        <v>117</v>
      </c>
      <c r="B5">
        <v>476000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169"/>
  <sheetViews>
    <sheetView zoomScale="70" zoomScaleNormal="70" workbookViewId="0">
      <selection activeCell="F56" sqref="F56"/>
    </sheetView>
  </sheetViews>
  <sheetFormatPr baseColWidth="10" defaultColWidth="21.7109375" defaultRowHeight="12.75" x14ac:dyDescent="0.2"/>
  <cols>
    <col min="1" max="1" width="38" bestFit="1" customWidth="1"/>
    <col min="2" max="2" width="23" customWidth="1"/>
    <col min="3" max="3" width="13.140625" bestFit="1" customWidth="1"/>
    <col min="4" max="16" width="10.140625" customWidth="1"/>
    <col min="17" max="17" width="11.140625" customWidth="1"/>
    <col min="18" max="19" width="10.140625" customWidth="1"/>
    <col min="20" max="20" width="13.140625" customWidth="1"/>
    <col min="21" max="21" width="19.140625" customWidth="1"/>
    <col min="22" max="22" width="25.5703125" customWidth="1"/>
    <col min="23" max="23" width="24.5703125" customWidth="1"/>
    <col min="24" max="24" width="24" customWidth="1"/>
    <col min="25" max="25" width="26.7109375" customWidth="1"/>
    <col min="26" max="26" width="23.42578125" customWidth="1"/>
    <col min="27" max="27" width="29.140625" customWidth="1"/>
    <col min="28" max="28" width="31.5703125" customWidth="1"/>
    <col min="29" max="29" width="24.5703125" customWidth="1"/>
    <col min="30" max="30" width="20.7109375" customWidth="1"/>
    <col min="31" max="31" width="22.140625" customWidth="1"/>
    <col min="32" max="32" width="25.42578125" customWidth="1"/>
    <col min="33" max="33" width="26" customWidth="1"/>
    <col min="34" max="34" width="27.42578125" customWidth="1"/>
    <col min="35" max="35" width="26.85546875" customWidth="1"/>
    <col min="36" max="36" width="26.5703125" customWidth="1"/>
    <col min="37" max="37" width="25.42578125" customWidth="1"/>
    <col min="38" max="38" width="24.85546875" customWidth="1"/>
    <col min="39" max="39" width="39.5703125" bestFit="1" customWidth="1"/>
    <col min="40" max="40" width="14.28515625" customWidth="1"/>
    <col min="41" max="41" width="28.7109375" customWidth="1"/>
    <col min="42" max="42" width="29.28515625" customWidth="1"/>
    <col min="43" max="43" width="31.28515625" customWidth="1"/>
    <col min="44" max="44" width="28.5703125" customWidth="1"/>
    <col min="45" max="45" width="30.140625" customWidth="1"/>
    <col min="46" max="46" width="32.28515625" customWidth="1"/>
    <col min="47" max="47" width="28.28515625" customWidth="1"/>
    <col min="48" max="48" width="32.85546875" customWidth="1"/>
    <col min="49" max="49" width="28" customWidth="1"/>
    <col min="50" max="50" width="23.7109375" customWidth="1"/>
    <col min="51" max="51" width="25.85546875" customWidth="1"/>
    <col min="52" max="52" width="29.7109375" customWidth="1"/>
    <col min="53" max="53" width="24.28515625" customWidth="1"/>
    <col min="54" max="54" width="24.140625" customWidth="1"/>
    <col min="55" max="55" width="24.5703125" customWidth="1"/>
    <col min="56" max="56" width="28.28515625" customWidth="1"/>
    <col min="57" max="57" width="27.140625" customWidth="1"/>
    <col min="58" max="58" width="30.7109375" customWidth="1"/>
    <col min="59" max="59" width="20.5703125" customWidth="1"/>
    <col min="60" max="60" width="20.85546875" customWidth="1"/>
    <col min="61" max="61" width="23.85546875" customWidth="1"/>
    <col min="62" max="62" width="35" customWidth="1"/>
    <col min="63" max="63" width="26.5703125" customWidth="1"/>
    <col min="64" max="64" width="31.85546875" customWidth="1"/>
    <col min="65" max="65" width="27.5703125" customWidth="1"/>
    <col min="66" max="66" width="28.42578125" customWidth="1"/>
    <col min="67" max="67" width="27.140625" customWidth="1"/>
    <col min="68" max="68" width="24.28515625" customWidth="1"/>
    <col min="69" max="69" width="25.140625" customWidth="1"/>
    <col min="70" max="70" width="18.5703125" customWidth="1"/>
    <col min="71" max="71" width="24" customWidth="1"/>
    <col min="72" max="72" width="26.140625" customWidth="1"/>
    <col min="73" max="73" width="23.85546875" customWidth="1"/>
    <col min="74" max="74" width="24.7109375" customWidth="1"/>
    <col min="75" max="75" width="17.140625" customWidth="1"/>
    <col min="76" max="76" width="20" customWidth="1"/>
    <col min="77" max="77" width="23" customWidth="1"/>
    <col min="78" max="78" width="26.42578125" customWidth="1"/>
    <col min="79" max="79" width="22" customWidth="1"/>
    <col min="80" max="80" width="16.85546875" customWidth="1"/>
    <col min="81" max="81" width="23.7109375" customWidth="1"/>
    <col min="82" max="82" width="28.140625" customWidth="1"/>
    <col min="83" max="83" width="30.7109375" customWidth="1"/>
    <col min="84" max="84" width="25" customWidth="1"/>
    <col min="85" max="85" width="22.140625" customWidth="1"/>
    <col min="86" max="86" width="19.85546875" customWidth="1"/>
    <col min="87" max="87" width="19.5703125" customWidth="1"/>
    <col min="88" max="88" width="19.85546875" customWidth="1"/>
    <col min="89" max="89" width="20.85546875" customWidth="1"/>
    <col min="90" max="90" width="28.85546875" customWidth="1"/>
    <col min="91" max="91" width="25.42578125" customWidth="1"/>
    <col min="92" max="92" width="22.7109375" customWidth="1"/>
    <col min="93" max="93" width="25.5703125" customWidth="1"/>
    <col min="94" max="94" width="26.5703125" customWidth="1"/>
    <col min="95" max="95" width="31.7109375" customWidth="1"/>
    <col min="96" max="96" width="26.5703125" customWidth="1"/>
    <col min="97" max="97" width="21.7109375" customWidth="1"/>
    <col min="98" max="98" width="26.85546875" customWidth="1"/>
    <col min="99" max="99" width="29.42578125" customWidth="1"/>
    <col min="100" max="100" width="21.85546875" customWidth="1"/>
    <col min="101" max="101" width="23.5703125" customWidth="1"/>
    <col min="102" max="102" width="24.5703125" customWidth="1"/>
    <col min="103" max="103" width="24.140625" customWidth="1"/>
    <col min="104" max="104" width="28" customWidth="1"/>
    <col min="105" max="105" width="29.85546875" customWidth="1"/>
    <col min="106" max="106" width="33" customWidth="1"/>
    <col min="107" max="107" width="24.7109375" customWidth="1"/>
    <col min="108" max="108" width="37.42578125" customWidth="1"/>
    <col min="109" max="109" width="37.5703125" customWidth="1"/>
    <col min="110" max="110" width="28.5703125" customWidth="1"/>
    <col min="111" max="111" width="25.85546875" customWidth="1"/>
    <col min="112" max="112" width="23.28515625" customWidth="1"/>
    <col min="113" max="113" width="32.7109375" customWidth="1"/>
    <col min="114" max="114" width="34.7109375" customWidth="1"/>
    <col min="115" max="115" width="22.28515625" customWidth="1"/>
    <col min="116" max="116" width="24.140625" customWidth="1"/>
    <col min="117" max="117" width="33.5703125" customWidth="1"/>
    <col min="118" max="118" width="25.7109375" customWidth="1"/>
    <col min="119" max="119" width="22.85546875" customWidth="1"/>
    <col min="120" max="120" width="30" customWidth="1"/>
    <col min="121" max="121" width="20" customWidth="1"/>
    <col min="122" max="122" width="32.28515625" customWidth="1"/>
    <col min="123" max="123" width="28.5703125" customWidth="1"/>
    <col min="124" max="124" width="22.7109375" customWidth="1"/>
    <col min="125" max="125" width="33.140625" customWidth="1"/>
    <col min="126" max="126" width="35.28515625" customWidth="1"/>
    <col min="127" max="127" width="18" customWidth="1"/>
    <col min="128" max="128" width="25.85546875" customWidth="1"/>
    <col min="129" max="129" width="30.42578125" customWidth="1"/>
    <col min="130" max="130" width="28.7109375" customWidth="1"/>
    <col min="131" max="131" width="24.42578125" customWidth="1"/>
    <col min="132" max="132" width="26.7109375" customWidth="1"/>
    <col min="133" max="133" width="23.5703125" customWidth="1"/>
    <col min="134" max="134" width="14" customWidth="1"/>
    <col min="135" max="135" width="20.140625" customWidth="1"/>
    <col min="136" max="136" width="23.5703125" customWidth="1"/>
    <col min="137" max="137" width="23.28515625" customWidth="1"/>
    <col min="138" max="138" width="24" customWidth="1"/>
    <col min="139" max="139" width="27.7109375" customWidth="1"/>
    <col min="140" max="140" width="29.140625" customWidth="1"/>
    <col min="141" max="141" width="27.140625" customWidth="1"/>
    <col min="142" max="142" width="29.28515625" customWidth="1"/>
    <col min="143" max="143" width="24" customWidth="1"/>
    <col min="144" max="144" width="25.85546875" customWidth="1"/>
    <col min="145" max="145" width="23.28515625" customWidth="1"/>
    <col min="146" max="146" width="32.7109375" customWidth="1"/>
    <col min="147" max="147" width="28.28515625" customWidth="1"/>
    <col min="148" max="148" width="27.7109375" customWidth="1"/>
    <col min="149" max="149" width="33.42578125" customWidth="1"/>
    <col min="150" max="150" width="25.140625" customWidth="1"/>
    <col min="151" max="151" width="26.7109375" customWidth="1"/>
    <col min="152" max="152" width="33.140625" customWidth="1"/>
    <col min="153" max="153" width="35.140625" customWidth="1"/>
    <col min="154" max="154" width="28.7109375" customWidth="1"/>
    <col min="155" max="155" width="23.42578125" customWidth="1"/>
    <col min="156" max="156" width="23.7109375" customWidth="1"/>
    <col min="157" max="157" width="24.42578125" customWidth="1"/>
    <col min="158" max="158" width="23.42578125" customWidth="1"/>
    <col min="159" max="159" width="29.7109375" customWidth="1"/>
    <col min="160" max="160" width="23" customWidth="1"/>
    <col min="161" max="161" width="23.85546875" customWidth="1"/>
    <col min="162" max="162" width="36.7109375" customWidth="1"/>
    <col min="163" max="164" width="24.42578125" customWidth="1"/>
    <col min="165" max="165" width="23.140625" customWidth="1"/>
    <col min="166" max="166" width="18" customWidth="1"/>
    <col min="167" max="167" width="11.85546875" customWidth="1"/>
    <col min="168" max="168" width="32.42578125" customWidth="1"/>
    <col min="169" max="169" width="28.85546875" customWidth="1"/>
    <col min="170" max="170" width="27.5703125" customWidth="1"/>
    <col min="171" max="171" width="22.85546875" customWidth="1"/>
    <col min="172" max="172" width="23.5703125" customWidth="1"/>
    <col min="173" max="173" width="25.5703125" customWidth="1"/>
    <col min="174" max="174" width="21.42578125" customWidth="1"/>
    <col min="175" max="175" width="28" customWidth="1"/>
    <col min="176" max="176" width="30.42578125" customWidth="1"/>
    <col min="177" max="177" width="39" customWidth="1"/>
    <col min="178" max="178" width="29.7109375" customWidth="1"/>
    <col min="179" max="179" width="28.28515625" customWidth="1"/>
    <col min="180" max="180" width="21.85546875" customWidth="1"/>
    <col min="181" max="181" width="26.7109375" customWidth="1"/>
    <col min="182" max="182" width="23" customWidth="1"/>
    <col min="183" max="183" width="26.7109375" customWidth="1"/>
    <col min="184" max="184" width="24" customWidth="1"/>
    <col min="185" max="185" width="23.5703125" customWidth="1"/>
    <col min="186" max="186" width="28" customWidth="1"/>
    <col min="187" max="187" width="29.85546875" customWidth="1"/>
    <col min="188" max="188" width="23.85546875" customWidth="1"/>
    <col min="189" max="189" width="17.28515625" customWidth="1"/>
    <col min="190" max="190" width="33.5703125" customWidth="1"/>
    <col min="191" max="191" width="25.85546875" customWidth="1"/>
    <col min="192" max="192" width="27.85546875" customWidth="1"/>
    <col min="193" max="193" width="30.5703125" customWidth="1"/>
    <col min="194" max="194" width="28.85546875" customWidth="1"/>
    <col min="195" max="195" width="28.42578125" customWidth="1"/>
    <col min="196" max="196" width="27.140625" customWidth="1"/>
    <col min="197" max="197" width="25.5703125" customWidth="1"/>
    <col min="198" max="198" width="29.7109375" customWidth="1"/>
    <col min="199" max="199" width="24.140625" customWidth="1"/>
    <col min="200" max="200" width="24.7109375" customWidth="1"/>
    <col min="201" max="202" width="24.140625" customWidth="1"/>
    <col min="203" max="203" width="23.5703125" customWidth="1"/>
    <col min="204" max="204" width="34.28515625" customWidth="1"/>
    <col min="205" max="205" width="27.140625" customWidth="1"/>
    <col min="206" max="206" width="22.85546875" customWidth="1"/>
    <col min="207" max="207" width="26.7109375" customWidth="1"/>
    <col min="208" max="208" width="23.7109375" customWidth="1"/>
    <col min="209" max="209" width="24.85546875" customWidth="1"/>
    <col min="210" max="210" width="31.140625" customWidth="1"/>
    <col min="211" max="211" width="32" customWidth="1"/>
    <col min="212" max="212" width="26.5703125" customWidth="1"/>
    <col min="213" max="213" width="25.85546875" customWidth="1"/>
    <col min="214" max="214" width="26" customWidth="1"/>
    <col min="215" max="215" width="23.42578125" customWidth="1"/>
    <col min="216" max="216" width="24.7109375" customWidth="1"/>
    <col min="217" max="217" width="34.85546875" customWidth="1"/>
    <col min="218" max="218" width="20.85546875" customWidth="1"/>
    <col min="219" max="219" width="12.5703125" customWidth="1"/>
    <col min="220" max="220" width="26" customWidth="1"/>
    <col min="221" max="221" width="27.7109375" customWidth="1"/>
    <col min="222" max="222" width="25.28515625" customWidth="1"/>
    <col min="223" max="223" width="26.42578125" customWidth="1"/>
    <col min="224" max="224" width="32.42578125" customWidth="1"/>
    <col min="225" max="225" width="23.42578125" customWidth="1"/>
    <col min="226" max="226" width="25.42578125" customWidth="1"/>
    <col min="227" max="227" width="27.28515625" customWidth="1"/>
    <col min="228" max="228" width="31.28515625" customWidth="1"/>
    <col min="229" max="229" width="21.5703125" customWidth="1"/>
    <col min="230" max="230" width="34" customWidth="1"/>
    <col min="231" max="231" width="22" customWidth="1"/>
    <col min="232" max="232" width="26.140625" customWidth="1"/>
    <col min="233" max="233" width="24.42578125" customWidth="1"/>
    <col min="234" max="234" width="29.42578125" customWidth="1"/>
    <col min="235" max="235" width="25.7109375" customWidth="1"/>
    <col min="236" max="236" width="27.28515625" customWidth="1"/>
    <col min="237" max="237" width="37.42578125" customWidth="1"/>
    <col min="238" max="238" width="17.42578125" customWidth="1"/>
    <col min="239" max="239" width="28.42578125" customWidth="1"/>
    <col min="240" max="240" width="20.85546875" customWidth="1"/>
    <col min="241" max="241" width="22.42578125" customWidth="1"/>
    <col min="242" max="242" width="36.140625" customWidth="1"/>
    <col min="243" max="243" width="27" customWidth="1"/>
    <col min="244" max="244" width="37.5703125" customWidth="1"/>
    <col min="245" max="245" width="24" customWidth="1"/>
    <col min="246" max="246" width="23.140625" customWidth="1"/>
    <col min="247" max="247" width="24.7109375" customWidth="1"/>
    <col min="248" max="248" width="32.28515625" customWidth="1"/>
    <col min="249" max="249" width="26.42578125" customWidth="1"/>
    <col min="250" max="250" width="29.140625" customWidth="1"/>
    <col min="251" max="251" width="27.140625" customWidth="1"/>
    <col min="252" max="252" width="31" customWidth="1"/>
    <col min="253" max="253" width="23.85546875" customWidth="1"/>
    <col min="254" max="254" width="27.140625" customWidth="1"/>
    <col min="255" max="255" width="25.28515625" customWidth="1"/>
  </cols>
  <sheetData>
    <row r="3" spans="1:22" x14ac:dyDescent="0.2">
      <c r="A3" s="177" t="s">
        <v>128</v>
      </c>
      <c r="B3" s="177" t="s">
        <v>114</v>
      </c>
    </row>
    <row r="4" spans="1:22" x14ac:dyDescent="0.2">
      <c r="A4" s="177" t="s">
        <v>115</v>
      </c>
      <c r="B4" t="s">
        <v>116</v>
      </c>
      <c r="C4" t="s">
        <v>117</v>
      </c>
    </row>
    <row r="5" spans="1:22" x14ac:dyDescent="0.2">
      <c r="A5" s="176" t="s">
        <v>151</v>
      </c>
      <c r="B5">
        <v>11000</v>
      </c>
      <c r="C5">
        <v>11000</v>
      </c>
      <c r="R5" s="216">
        <v>45540</v>
      </c>
    </row>
    <row r="6" spans="1:22" x14ac:dyDescent="0.2">
      <c r="A6" s="176" t="s">
        <v>152</v>
      </c>
      <c r="B6">
        <v>15000</v>
      </c>
      <c r="C6">
        <v>15000</v>
      </c>
    </row>
    <row r="7" spans="1:22" x14ac:dyDescent="0.2">
      <c r="A7" s="176" t="s">
        <v>153</v>
      </c>
      <c r="B7">
        <v>10000</v>
      </c>
      <c r="C7">
        <v>10000</v>
      </c>
    </row>
    <row r="8" spans="1:22" x14ac:dyDescent="0.2">
      <c r="A8" s="176" t="s">
        <v>155</v>
      </c>
      <c r="B8">
        <v>20000</v>
      </c>
      <c r="C8">
        <v>20000</v>
      </c>
    </row>
    <row r="9" spans="1:22" x14ac:dyDescent="0.2">
      <c r="A9" s="176" t="s">
        <v>156</v>
      </c>
      <c r="B9">
        <v>4000</v>
      </c>
      <c r="C9">
        <v>4000</v>
      </c>
      <c r="M9">
        <v>30000</v>
      </c>
      <c r="Q9" s="216">
        <v>45547</v>
      </c>
      <c r="V9" t="s">
        <v>262</v>
      </c>
    </row>
    <row r="10" spans="1:22" x14ac:dyDescent="0.2">
      <c r="A10" s="176" t="s">
        <v>158</v>
      </c>
      <c r="B10">
        <v>9000</v>
      </c>
      <c r="C10">
        <v>9000</v>
      </c>
      <c r="R10" s="216">
        <v>45551</v>
      </c>
    </row>
    <row r="11" spans="1:22" x14ac:dyDescent="0.2">
      <c r="A11" s="176" t="s">
        <v>159</v>
      </c>
      <c r="B11">
        <v>12000</v>
      </c>
      <c r="C11">
        <v>12000</v>
      </c>
    </row>
    <row r="12" spans="1:22" x14ac:dyDescent="0.2">
      <c r="A12" s="176" t="s">
        <v>160</v>
      </c>
      <c r="B12">
        <v>7000</v>
      </c>
      <c r="C12">
        <v>7000</v>
      </c>
    </row>
    <row r="13" spans="1:22" x14ac:dyDescent="0.2">
      <c r="A13" s="176" t="s">
        <v>161</v>
      </c>
      <c r="B13">
        <v>10000</v>
      </c>
      <c r="C13">
        <v>10000</v>
      </c>
    </row>
    <row r="14" spans="1:22" x14ac:dyDescent="0.2">
      <c r="A14" s="176" t="s">
        <v>162</v>
      </c>
      <c r="B14">
        <v>6000</v>
      </c>
      <c r="C14">
        <v>6000</v>
      </c>
      <c r="R14" s="216">
        <v>45625</v>
      </c>
    </row>
    <row r="15" spans="1:22" x14ac:dyDescent="0.2">
      <c r="A15" s="176" t="s">
        <v>163</v>
      </c>
      <c r="B15">
        <v>7000</v>
      </c>
      <c r="C15">
        <v>7000</v>
      </c>
      <c r="R15" s="216">
        <v>45618</v>
      </c>
    </row>
    <row r="16" spans="1:22" x14ac:dyDescent="0.2">
      <c r="A16" s="176" t="s">
        <v>164</v>
      </c>
      <c r="B16">
        <v>10000</v>
      </c>
      <c r="C16">
        <v>10000</v>
      </c>
      <c r="V16" t="s">
        <v>292</v>
      </c>
    </row>
    <row r="17" spans="1:22" x14ac:dyDescent="0.2">
      <c r="A17" s="176" t="s">
        <v>165</v>
      </c>
      <c r="B17">
        <v>6000</v>
      </c>
      <c r="C17">
        <v>6000</v>
      </c>
      <c r="I17">
        <v>30000</v>
      </c>
      <c r="Q17" s="216">
        <v>45542</v>
      </c>
    </row>
    <row r="18" spans="1:22" x14ac:dyDescent="0.2">
      <c r="A18" s="176" t="s">
        <v>166</v>
      </c>
      <c r="B18">
        <v>5000</v>
      </c>
      <c r="C18">
        <v>5000</v>
      </c>
    </row>
    <row r="19" spans="1:22" x14ac:dyDescent="0.2">
      <c r="A19" s="176" t="s">
        <v>167</v>
      </c>
      <c r="B19">
        <v>10000</v>
      </c>
      <c r="C19">
        <v>10000</v>
      </c>
    </row>
    <row r="20" spans="1:22" x14ac:dyDescent="0.2">
      <c r="A20" s="176" t="s">
        <v>168</v>
      </c>
      <c r="B20">
        <v>5000</v>
      </c>
      <c r="C20">
        <v>5000</v>
      </c>
      <c r="I20">
        <v>30000</v>
      </c>
      <c r="Q20" s="216">
        <v>45545</v>
      </c>
    </row>
    <row r="21" spans="1:22" x14ac:dyDescent="0.2">
      <c r="A21" s="176" t="s">
        <v>169</v>
      </c>
      <c r="B21">
        <v>6800</v>
      </c>
      <c r="C21">
        <v>6800</v>
      </c>
      <c r="I21">
        <v>30000</v>
      </c>
      <c r="Q21" s="216">
        <v>45547</v>
      </c>
      <c r="V21" t="s">
        <v>261</v>
      </c>
    </row>
    <row r="22" spans="1:22" x14ac:dyDescent="0.2">
      <c r="A22" s="176" t="s">
        <v>171</v>
      </c>
      <c r="B22">
        <v>10000</v>
      </c>
      <c r="C22">
        <v>10000</v>
      </c>
      <c r="M22">
        <v>30000</v>
      </c>
      <c r="Q22" s="216">
        <v>45547</v>
      </c>
      <c r="R22" s="216">
        <v>45547</v>
      </c>
    </row>
    <row r="23" spans="1:22" x14ac:dyDescent="0.2">
      <c r="A23" s="176" t="s">
        <v>172</v>
      </c>
      <c r="B23">
        <v>8000</v>
      </c>
      <c r="C23">
        <v>8000</v>
      </c>
    </row>
    <row r="24" spans="1:22" x14ac:dyDescent="0.2">
      <c r="A24" s="176" t="s">
        <v>173</v>
      </c>
      <c r="B24">
        <v>4500</v>
      </c>
      <c r="C24">
        <v>4500</v>
      </c>
    </row>
    <row r="25" spans="1:22" x14ac:dyDescent="0.2">
      <c r="A25" s="176" t="s">
        <v>180</v>
      </c>
      <c r="B25">
        <v>9000</v>
      </c>
      <c r="C25">
        <v>9000</v>
      </c>
    </row>
    <row r="26" spans="1:22" x14ac:dyDescent="0.2">
      <c r="A26" s="176" t="s">
        <v>174</v>
      </c>
      <c r="B26">
        <v>3000</v>
      </c>
      <c r="C26">
        <v>3000</v>
      </c>
    </row>
    <row r="27" spans="1:22" x14ac:dyDescent="0.2">
      <c r="A27" s="176" t="s">
        <v>175</v>
      </c>
      <c r="B27">
        <v>10000</v>
      </c>
      <c r="C27">
        <v>10000</v>
      </c>
    </row>
    <row r="28" spans="1:22" x14ac:dyDescent="0.2">
      <c r="A28" s="176" t="s">
        <v>176</v>
      </c>
      <c r="B28">
        <v>8000</v>
      </c>
      <c r="C28">
        <v>8000</v>
      </c>
      <c r="R28" s="216">
        <v>45551</v>
      </c>
      <c r="V28" t="s">
        <v>288</v>
      </c>
    </row>
    <row r="29" spans="1:22" x14ac:dyDescent="0.2">
      <c r="A29" s="176" t="s">
        <v>177</v>
      </c>
      <c r="B29">
        <v>7000</v>
      </c>
      <c r="C29">
        <v>7000</v>
      </c>
    </row>
    <row r="30" spans="1:22" x14ac:dyDescent="0.2">
      <c r="A30" s="176" t="s">
        <v>178</v>
      </c>
      <c r="B30">
        <v>7000</v>
      </c>
      <c r="C30">
        <v>7000</v>
      </c>
    </row>
    <row r="31" spans="1:22" x14ac:dyDescent="0.2">
      <c r="A31" s="176" t="s">
        <v>179</v>
      </c>
      <c r="B31">
        <v>10000</v>
      </c>
      <c r="C31">
        <v>10000</v>
      </c>
    </row>
    <row r="32" spans="1:22" x14ac:dyDescent="0.2">
      <c r="A32" s="176" t="s">
        <v>181</v>
      </c>
      <c r="B32">
        <v>6000</v>
      </c>
      <c r="C32">
        <v>6000</v>
      </c>
      <c r="I32">
        <v>30000</v>
      </c>
      <c r="Q32" s="216">
        <v>45615</v>
      </c>
      <c r="R32" s="216">
        <v>45615</v>
      </c>
      <c r="V32" t="s">
        <v>288</v>
      </c>
    </row>
    <row r="33" spans="1:22" x14ac:dyDescent="0.2">
      <c r="A33" s="176" t="s">
        <v>182</v>
      </c>
      <c r="B33">
        <v>4000</v>
      </c>
      <c r="C33">
        <v>4000</v>
      </c>
    </row>
    <row r="34" spans="1:22" x14ac:dyDescent="0.2">
      <c r="A34" s="176" t="s">
        <v>183</v>
      </c>
      <c r="B34">
        <v>8500</v>
      </c>
      <c r="C34">
        <v>8500</v>
      </c>
    </row>
    <row r="35" spans="1:22" x14ac:dyDescent="0.2">
      <c r="A35" s="176" t="s">
        <v>184</v>
      </c>
      <c r="B35">
        <v>8000</v>
      </c>
      <c r="C35">
        <v>8000</v>
      </c>
    </row>
    <row r="36" spans="1:22" x14ac:dyDescent="0.2">
      <c r="A36" s="176" t="s">
        <v>185</v>
      </c>
      <c r="B36">
        <v>10000</v>
      </c>
      <c r="C36">
        <v>10000</v>
      </c>
      <c r="R36" s="216">
        <v>45551</v>
      </c>
    </row>
    <row r="37" spans="1:22" x14ac:dyDescent="0.2">
      <c r="A37" s="176" t="s">
        <v>188</v>
      </c>
      <c r="B37">
        <v>12000</v>
      </c>
      <c r="C37">
        <v>12000</v>
      </c>
      <c r="I37">
        <v>35000</v>
      </c>
      <c r="Q37" s="216">
        <v>45615</v>
      </c>
      <c r="R37" s="216">
        <v>45615</v>
      </c>
      <c r="V37" t="s">
        <v>260</v>
      </c>
    </row>
    <row r="38" spans="1:22" x14ac:dyDescent="0.2">
      <c r="A38" s="176" t="s">
        <v>189</v>
      </c>
      <c r="B38">
        <v>5000</v>
      </c>
      <c r="C38">
        <v>5000</v>
      </c>
    </row>
    <row r="39" spans="1:22" x14ac:dyDescent="0.2">
      <c r="A39" s="176" t="s">
        <v>190</v>
      </c>
      <c r="B39">
        <v>15000</v>
      </c>
      <c r="C39">
        <v>15000</v>
      </c>
      <c r="V39" t="s">
        <v>288</v>
      </c>
    </row>
    <row r="40" spans="1:22" x14ac:dyDescent="0.2">
      <c r="A40" s="176" t="s">
        <v>191</v>
      </c>
      <c r="B40">
        <v>10000</v>
      </c>
      <c r="C40">
        <v>10000</v>
      </c>
      <c r="R40" s="216">
        <v>45623</v>
      </c>
    </row>
    <row r="41" spans="1:22" x14ac:dyDescent="0.2">
      <c r="A41" s="176" t="s">
        <v>192</v>
      </c>
      <c r="B41">
        <v>9700</v>
      </c>
      <c r="C41">
        <v>9700</v>
      </c>
      <c r="R41" s="216">
        <v>45617</v>
      </c>
    </row>
    <row r="42" spans="1:22" x14ac:dyDescent="0.2">
      <c r="A42" s="176" t="s">
        <v>193</v>
      </c>
      <c r="B42">
        <v>5000</v>
      </c>
      <c r="C42">
        <v>5000</v>
      </c>
    </row>
    <row r="43" spans="1:22" x14ac:dyDescent="0.2">
      <c r="A43" s="176" t="s">
        <v>194</v>
      </c>
      <c r="B43">
        <v>10000</v>
      </c>
      <c r="C43">
        <v>10000</v>
      </c>
      <c r="V43" t="s">
        <v>288</v>
      </c>
    </row>
    <row r="44" spans="1:22" x14ac:dyDescent="0.2">
      <c r="A44" s="176" t="s">
        <v>195</v>
      </c>
      <c r="B44">
        <v>7000</v>
      </c>
      <c r="C44">
        <v>7000</v>
      </c>
      <c r="M44">
        <v>30000</v>
      </c>
      <c r="Q44" s="216">
        <v>45615</v>
      </c>
      <c r="V44" t="s">
        <v>288</v>
      </c>
    </row>
    <row r="45" spans="1:22" x14ac:dyDescent="0.2">
      <c r="A45" s="176" t="s">
        <v>196</v>
      </c>
      <c r="B45">
        <v>8000</v>
      </c>
      <c r="C45">
        <v>8000</v>
      </c>
      <c r="R45" s="216">
        <v>45551</v>
      </c>
      <c r="V45" t="s">
        <v>290</v>
      </c>
    </row>
    <row r="46" spans="1:22" x14ac:dyDescent="0.2">
      <c r="A46" s="176" t="s">
        <v>197</v>
      </c>
      <c r="B46">
        <v>12000</v>
      </c>
      <c r="C46">
        <v>12000</v>
      </c>
    </row>
    <row r="47" spans="1:22" x14ac:dyDescent="0.2">
      <c r="A47" s="176" t="s">
        <v>198</v>
      </c>
      <c r="B47">
        <v>5000</v>
      </c>
      <c r="C47">
        <v>5000</v>
      </c>
      <c r="I47">
        <v>30000</v>
      </c>
      <c r="Q47" s="216">
        <v>45614</v>
      </c>
      <c r="R47" s="216">
        <v>45614</v>
      </c>
      <c r="V47" t="s">
        <v>288</v>
      </c>
    </row>
    <row r="48" spans="1:22" x14ac:dyDescent="0.2">
      <c r="A48" s="176" t="s">
        <v>199</v>
      </c>
      <c r="B48">
        <v>5000</v>
      </c>
      <c r="C48">
        <v>5000</v>
      </c>
      <c r="I48">
        <v>30000</v>
      </c>
      <c r="Q48" s="216">
        <v>45548</v>
      </c>
      <c r="R48" s="216">
        <v>45548</v>
      </c>
      <c r="V48" t="s">
        <v>293</v>
      </c>
    </row>
    <row r="49" spans="1:22" x14ac:dyDescent="0.2">
      <c r="A49" s="176" t="s">
        <v>200</v>
      </c>
      <c r="B49">
        <v>10000</v>
      </c>
      <c r="C49">
        <v>10000</v>
      </c>
      <c r="R49" s="216">
        <v>45616</v>
      </c>
    </row>
    <row r="50" spans="1:22" x14ac:dyDescent="0.2">
      <c r="A50" s="176" t="s">
        <v>201</v>
      </c>
      <c r="B50">
        <v>12000</v>
      </c>
      <c r="C50">
        <v>12000</v>
      </c>
      <c r="V50" t="s">
        <v>288</v>
      </c>
    </row>
    <row r="51" spans="1:22" x14ac:dyDescent="0.2">
      <c r="A51" s="176" t="s">
        <v>202</v>
      </c>
      <c r="B51">
        <v>6000</v>
      </c>
      <c r="C51">
        <v>6000</v>
      </c>
      <c r="V51" t="s">
        <v>288</v>
      </c>
    </row>
    <row r="52" spans="1:22" x14ac:dyDescent="0.2">
      <c r="A52" s="176" t="s">
        <v>203</v>
      </c>
      <c r="B52">
        <v>15000</v>
      </c>
      <c r="C52">
        <v>15000</v>
      </c>
    </row>
    <row r="53" spans="1:22" x14ac:dyDescent="0.2">
      <c r="A53" s="176" t="s">
        <v>204</v>
      </c>
      <c r="B53">
        <v>8500</v>
      </c>
      <c r="C53">
        <v>8500</v>
      </c>
      <c r="R53" s="216">
        <v>45617</v>
      </c>
      <c r="V53" t="s">
        <v>308</v>
      </c>
    </row>
    <row r="54" spans="1:22" x14ac:dyDescent="0.2">
      <c r="A54" s="176" t="s">
        <v>205</v>
      </c>
      <c r="B54">
        <v>10000</v>
      </c>
      <c r="C54">
        <v>10000</v>
      </c>
      <c r="V54" t="s">
        <v>288</v>
      </c>
    </row>
    <row r="55" spans="1:22" x14ac:dyDescent="0.2">
      <c r="A55" s="176" t="s">
        <v>206</v>
      </c>
      <c r="B55">
        <v>12000</v>
      </c>
      <c r="C55">
        <v>12000</v>
      </c>
      <c r="R55" s="216">
        <v>45617</v>
      </c>
    </row>
    <row r="56" spans="1:22" x14ac:dyDescent="0.2">
      <c r="A56" s="176" t="s">
        <v>207</v>
      </c>
      <c r="B56">
        <v>5000</v>
      </c>
      <c r="C56">
        <v>5000</v>
      </c>
    </row>
    <row r="57" spans="1:22" x14ac:dyDescent="0.2">
      <c r="A57" s="176" t="s">
        <v>208</v>
      </c>
      <c r="B57">
        <v>7000</v>
      </c>
      <c r="C57">
        <v>7000</v>
      </c>
      <c r="R57" s="216">
        <v>45618</v>
      </c>
    </row>
    <row r="58" spans="1:22" x14ac:dyDescent="0.2">
      <c r="A58" s="176" t="s">
        <v>209</v>
      </c>
      <c r="B58">
        <v>10000</v>
      </c>
      <c r="C58">
        <v>10000</v>
      </c>
      <c r="I58">
        <v>30000</v>
      </c>
      <c r="Q58" s="216">
        <v>45548</v>
      </c>
      <c r="R58" s="216">
        <v>45548</v>
      </c>
    </row>
    <row r="59" spans="1:22" x14ac:dyDescent="0.2">
      <c r="A59" s="176" t="s">
        <v>210</v>
      </c>
      <c r="B59">
        <v>10000</v>
      </c>
      <c r="C59">
        <v>10000</v>
      </c>
      <c r="R59" s="216">
        <v>45624</v>
      </c>
    </row>
    <row r="60" spans="1:22" x14ac:dyDescent="0.2">
      <c r="A60" s="176" t="s">
        <v>117</v>
      </c>
      <c r="B60">
        <v>476000</v>
      </c>
      <c r="C60">
        <v>476000</v>
      </c>
      <c r="V60" t="s">
        <v>288</v>
      </c>
    </row>
    <row r="61" spans="1:22" x14ac:dyDescent="0.2">
      <c r="I61">
        <v>25000</v>
      </c>
      <c r="Q61" s="216">
        <v>45615</v>
      </c>
      <c r="R61" s="216">
        <v>45551</v>
      </c>
      <c r="V61" t="s">
        <v>288</v>
      </c>
    </row>
    <row r="62" spans="1:22" x14ac:dyDescent="0.2">
      <c r="R62" s="216">
        <v>45551</v>
      </c>
    </row>
    <row r="63" spans="1:22" x14ac:dyDescent="0.2">
      <c r="M63">
        <v>55000</v>
      </c>
      <c r="Q63" s="216">
        <v>45548</v>
      </c>
      <c r="R63" s="216">
        <v>45548</v>
      </c>
      <c r="V63" t="s">
        <v>258</v>
      </c>
    </row>
    <row r="66" spans="9:22" x14ac:dyDescent="0.2">
      <c r="R66" s="216">
        <v>45551</v>
      </c>
      <c r="V66" t="s">
        <v>294</v>
      </c>
    </row>
    <row r="68" spans="9:22" x14ac:dyDescent="0.2">
      <c r="R68" s="216">
        <v>45624</v>
      </c>
    </row>
    <row r="70" spans="9:22" x14ac:dyDescent="0.2">
      <c r="V70" t="s">
        <v>295</v>
      </c>
    </row>
    <row r="72" spans="9:22" x14ac:dyDescent="0.2">
      <c r="V72" t="s">
        <v>296</v>
      </c>
    </row>
    <row r="73" spans="9:22" x14ac:dyDescent="0.2">
      <c r="I73">
        <v>30000</v>
      </c>
      <c r="Q73" s="216">
        <v>45545</v>
      </c>
      <c r="V73" t="s">
        <v>260</v>
      </c>
    </row>
    <row r="74" spans="9:22" x14ac:dyDescent="0.2">
      <c r="V74" t="s">
        <v>288</v>
      </c>
    </row>
    <row r="75" spans="9:22" x14ac:dyDescent="0.2">
      <c r="M75">
        <v>30000</v>
      </c>
      <c r="Q75" s="216">
        <v>45547</v>
      </c>
      <c r="R75" s="216">
        <v>45547</v>
      </c>
      <c r="V75" t="s">
        <v>261</v>
      </c>
    </row>
    <row r="78" spans="9:22" x14ac:dyDescent="0.2">
      <c r="V78" t="s">
        <v>297</v>
      </c>
    </row>
    <row r="80" spans="9:22" x14ac:dyDescent="0.2">
      <c r="R80" s="216">
        <v>45551</v>
      </c>
    </row>
    <row r="85" spans="9:22" x14ac:dyDescent="0.2">
      <c r="M85">
        <v>30000</v>
      </c>
      <c r="Q85" s="216">
        <v>45548</v>
      </c>
      <c r="R85" s="216">
        <v>45548</v>
      </c>
      <c r="V85" t="s">
        <v>258</v>
      </c>
    </row>
    <row r="86" spans="9:22" x14ac:dyDescent="0.2">
      <c r="V86" t="s">
        <v>288</v>
      </c>
    </row>
    <row r="88" spans="9:22" x14ac:dyDescent="0.2">
      <c r="I88">
        <v>30000</v>
      </c>
      <c r="Q88" s="216">
        <v>45544</v>
      </c>
    </row>
    <row r="89" spans="9:22" x14ac:dyDescent="0.2">
      <c r="R89" s="216">
        <v>45551</v>
      </c>
    </row>
    <row r="90" spans="9:22" x14ac:dyDescent="0.2">
      <c r="M90">
        <v>30000</v>
      </c>
      <c r="Q90" s="216">
        <v>45615</v>
      </c>
      <c r="V90" t="s">
        <v>288</v>
      </c>
    </row>
    <row r="91" spans="9:22" x14ac:dyDescent="0.2">
      <c r="R91" s="216">
        <v>45551</v>
      </c>
      <c r="V91" t="s">
        <v>298</v>
      </c>
    </row>
    <row r="92" spans="9:22" x14ac:dyDescent="0.2">
      <c r="R92" s="216">
        <v>45551</v>
      </c>
    </row>
    <row r="93" spans="9:22" x14ac:dyDescent="0.2">
      <c r="V93" t="s">
        <v>299</v>
      </c>
    </row>
    <row r="94" spans="9:22" x14ac:dyDescent="0.2">
      <c r="V94" t="s">
        <v>300</v>
      </c>
    </row>
    <row r="95" spans="9:22" x14ac:dyDescent="0.2">
      <c r="I95">
        <v>30000</v>
      </c>
      <c r="Q95" s="216">
        <v>45615</v>
      </c>
      <c r="V95" t="s">
        <v>289</v>
      </c>
    </row>
    <row r="96" spans="9:22" x14ac:dyDescent="0.2">
      <c r="R96" s="216">
        <v>45624</v>
      </c>
    </row>
    <row r="97" spans="9:22" x14ac:dyDescent="0.2">
      <c r="I97">
        <v>40000</v>
      </c>
      <c r="Q97" s="216">
        <v>45545</v>
      </c>
      <c r="V97" t="s">
        <v>260</v>
      </c>
    </row>
    <row r="99" spans="9:22" x14ac:dyDescent="0.2">
      <c r="V99" t="s">
        <v>288</v>
      </c>
    </row>
    <row r="100" spans="9:22" x14ac:dyDescent="0.2">
      <c r="I100">
        <v>40000</v>
      </c>
      <c r="Q100" s="216">
        <v>45548</v>
      </c>
      <c r="R100" s="216">
        <v>45548</v>
      </c>
      <c r="V100" t="s">
        <v>301</v>
      </c>
    </row>
    <row r="101" spans="9:22" x14ac:dyDescent="0.2">
      <c r="R101" s="216">
        <v>45618</v>
      </c>
    </row>
    <row r="102" spans="9:22" x14ac:dyDescent="0.2">
      <c r="I102">
        <v>30000</v>
      </c>
      <c r="Q102" s="216">
        <v>45548</v>
      </c>
      <c r="R102" s="216">
        <v>45621</v>
      </c>
    </row>
    <row r="103" spans="9:22" x14ac:dyDescent="0.2">
      <c r="R103" s="216">
        <v>45551</v>
      </c>
      <c r="V103" t="s">
        <v>261</v>
      </c>
    </row>
    <row r="105" spans="9:22" x14ac:dyDescent="0.2">
      <c r="V105" t="s">
        <v>261</v>
      </c>
    </row>
    <row r="106" spans="9:22" x14ac:dyDescent="0.2">
      <c r="I106">
        <v>30000</v>
      </c>
      <c r="Q106" s="216">
        <v>45615</v>
      </c>
      <c r="T106">
        <v>1</v>
      </c>
      <c r="U106">
        <v>1</v>
      </c>
      <c r="V106" t="s">
        <v>291</v>
      </c>
    </row>
    <row r="107" spans="9:22" x14ac:dyDescent="0.2">
      <c r="I107">
        <v>30000</v>
      </c>
      <c r="Q107" s="216">
        <v>45548</v>
      </c>
      <c r="R107" s="216">
        <v>45548</v>
      </c>
      <c r="V107" t="s">
        <v>260</v>
      </c>
    </row>
    <row r="108" spans="9:22" x14ac:dyDescent="0.2">
      <c r="R108" s="216">
        <v>45618</v>
      </c>
    </row>
    <row r="109" spans="9:22" x14ac:dyDescent="0.2">
      <c r="R109" s="216">
        <v>45617</v>
      </c>
    </row>
    <row r="110" spans="9:22" x14ac:dyDescent="0.2">
      <c r="R110" s="216">
        <v>45551</v>
      </c>
      <c r="V110" t="s">
        <v>302</v>
      </c>
    </row>
    <row r="112" spans="9:22" x14ac:dyDescent="0.2">
      <c r="R112" s="216">
        <v>45551</v>
      </c>
      <c r="V112" t="s">
        <v>288</v>
      </c>
    </row>
    <row r="113" spans="9:22" x14ac:dyDescent="0.2">
      <c r="M113">
        <v>10000</v>
      </c>
      <c r="Q113" s="216">
        <v>45615</v>
      </c>
      <c r="R113" s="216">
        <v>45551</v>
      </c>
      <c r="V113" t="s">
        <v>288</v>
      </c>
    </row>
    <row r="115" spans="9:22" x14ac:dyDescent="0.2">
      <c r="I115">
        <v>30000</v>
      </c>
      <c r="Q115" s="216">
        <v>45547</v>
      </c>
    </row>
    <row r="116" spans="9:22" x14ac:dyDescent="0.2">
      <c r="R116" s="216">
        <v>45619</v>
      </c>
    </row>
    <row r="117" spans="9:22" x14ac:dyDescent="0.2">
      <c r="V117" t="s">
        <v>303</v>
      </c>
    </row>
    <row r="118" spans="9:22" x14ac:dyDescent="0.2">
      <c r="V118" t="s">
        <v>298</v>
      </c>
    </row>
    <row r="124" spans="9:22" x14ac:dyDescent="0.2">
      <c r="R124" s="216">
        <v>45551</v>
      </c>
      <c r="V124" t="s">
        <v>304</v>
      </c>
    </row>
    <row r="125" spans="9:22" x14ac:dyDescent="0.2">
      <c r="M125">
        <v>30000</v>
      </c>
      <c r="Q125" s="216">
        <v>45546</v>
      </c>
      <c r="V125" t="s">
        <v>305</v>
      </c>
    </row>
    <row r="127" spans="9:22" x14ac:dyDescent="0.2">
      <c r="R127" s="216">
        <v>45619</v>
      </c>
    </row>
    <row r="130" spans="9:22" x14ac:dyDescent="0.2">
      <c r="I130">
        <v>12000</v>
      </c>
      <c r="Q130" s="216">
        <v>45547</v>
      </c>
    </row>
    <row r="131" spans="9:22" x14ac:dyDescent="0.2">
      <c r="I131">
        <v>40000</v>
      </c>
      <c r="Q131" s="216">
        <v>45615</v>
      </c>
      <c r="R131" s="216">
        <v>45615</v>
      </c>
      <c r="V131" t="s">
        <v>288</v>
      </c>
    </row>
    <row r="134" spans="9:22" x14ac:dyDescent="0.2">
      <c r="V134" t="s">
        <v>306</v>
      </c>
    </row>
    <row r="135" spans="9:22" x14ac:dyDescent="0.2">
      <c r="I135">
        <v>40000</v>
      </c>
      <c r="Q135" s="216">
        <v>45615</v>
      </c>
      <c r="V135" t="s">
        <v>287</v>
      </c>
    </row>
    <row r="139" spans="9:22" x14ac:dyDescent="0.2">
      <c r="I139">
        <v>35000</v>
      </c>
      <c r="Q139" s="216">
        <v>45545</v>
      </c>
      <c r="V139" t="s">
        <v>260</v>
      </c>
    </row>
    <row r="140" spans="9:22" x14ac:dyDescent="0.2">
      <c r="V140" t="s">
        <v>307</v>
      </c>
    </row>
    <row r="141" spans="9:22" x14ac:dyDescent="0.2">
      <c r="R141" s="216">
        <v>45551</v>
      </c>
    </row>
    <row r="143" spans="9:22" x14ac:dyDescent="0.2">
      <c r="I143">
        <v>30000</v>
      </c>
      <c r="Q143" s="216">
        <v>45547</v>
      </c>
      <c r="V143" t="s">
        <v>260</v>
      </c>
    </row>
    <row r="145" spans="9:22" x14ac:dyDescent="0.2">
      <c r="R145" s="216">
        <v>45551</v>
      </c>
    </row>
    <row r="148" spans="9:22" x14ac:dyDescent="0.2">
      <c r="R148" s="216">
        <v>45551</v>
      </c>
    </row>
    <row r="150" spans="9:22" x14ac:dyDescent="0.2">
      <c r="I150">
        <v>30000</v>
      </c>
      <c r="Q150" s="216">
        <v>45544</v>
      </c>
    </row>
    <row r="156" spans="9:22" x14ac:dyDescent="0.2">
      <c r="R156" s="216">
        <v>45551</v>
      </c>
    </row>
    <row r="158" spans="9:22" x14ac:dyDescent="0.2">
      <c r="R158" s="216">
        <v>45551</v>
      </c>
    </row>
    <row r="159" spans="9:22" x14ac:dyDescent="0.2">
      <c r="L159">
        <v>30000</v>
      </c>
      <c r="Q159" s="216">
        <v>45547</v>
      </c>
      <c r="V159" t="s">
        <v>259</v>
      </c>
    </row>
    <row r="162" spans="9:22" x14ac:dyDescent="0.2">
      <c r="R162" s="216">
        <v>45551</v>
      </c>
    </row>
    <row r="165" spans="9:22" x14ac:dyDescent="0.2">
      <c r="L165">
        <v>30000</v>
      </c>
      <c r="Q165" s="216">
        <v>45547</v>
      </c>
      <c r="V165" t="s">
        <v>263</v>
      </c>
    </row>
    <row r="166" spans="9:22" x14ac:dyDescent="0.2">
      <c r="R166" s="216">
        <v>45551</v>
      </c>
    </row>
    <row r="169" spans="9:22" x14ac:dyDescent="0.2">
      <c r="I169">
        <v>50000</v>
      </c>
      <c r="Q169" s="216">
        <v>45544</v>
      </c>
      <c r="V169" t="s">
        <v>264</v>
      </c>
    </row>
  </sheetData>
  <phoneticPr fontId="25" type="noConversion"/>
  <pageMargins left="0.7" right="0.7" top="0.75" bottom="0.75" header="0.3" footer="0.3"/>
  <pageSetup paperSize="9" orientation="portrait" horizontalDpi="300" verticalDpi="0" copies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/>
  <dimension ref="A1:C19"/>
  <sheetViews>
    <sheetView workbookViewId="0">
      <selection activeCell="C11" sqref="C11"/>
    </sheetView>
  </sheetViews>
  <sheetFormatPr baseColWidth="10" defaultRowHeight="12.75" x14ac:dyDescent="0.2"/>
  <cols>
    <col min="2" max="2" width="28.7109375" customWidth="1"/>
    <col min="3" max="3" width="22" bestFit="1" customWidth="1"/>
  </cols>
  <sheetData>
    <row r="1" spans="1:3" x14ac:dyDescent="0.2">
      <c r="A1" s="124">
        <v>1</v>
      </c>
      <c r="B1" s="211" t="s">
        <v>90</v>
      </c>
      <c r="C1" s="211">
        <v>1</v>
      </c>
    </row>
    <row r="2" spans="1:3" x14ac:dyDescent="0.2">
      <c r="A2" s="124">
        <v>2</v>
      </c>
      <c r="B2" s="147" t="s">
        <v>89</v>
      </c>
      <c r="C2" s="147">
        <v>3</v>
      </c>
    </row>
    <row r="3" spans="1:3" x14ac:dyDescent="0.2">
      <c r="A3" s="124">
        <v>3</v>
      </c>
      <c r="B3" s="211"/>
      <c r="C3" s="211">
        <v>1</v>
      </c>
    </row>
    <row r="4" spans="1:3" x14ac:dyDescent="0.2">
      <c r="A4" s="124">
        <v>4</v>
      </c>
      <c r="B4" s="146" t="s">
        <v>216</v>
      </c>
      <c r="C4" s="146">
        <v>2</v>
      </c>
    </row>
    <row r="5" spans="1:3" x14ac:dyDescent="0.2">
      <c r="A5" s="124">
        <v>5</v>
      </c>
      <c r="B5" s="211"/>
      <c r="C5" s="211">
        <v>1</v>
      </c>
    </row>
    <row r="6" spans="1:3" x14ac:dyDescent="0.2">
      <c r="A6" s="124">
        <v>6</v>
      </c>
      <c r="B6" s="211"/>
      <c r="C6" s="211">
        <v>1</v>
      </c>
    </row>
    <row r="7" spans="1:3" x14ac:dyDescent="0.2">
      <c r="A7" s="124">
        <v>7</v>
      </c>
      <c r="B7" s="147" t="s">
        <v>511</v>
      </c>
      <c r="C7" s="147">
        <v>3</v>
      </c>
    </row>
    <row r="8" spans="1:3" x14ac:dyDescent="0.2">
      <c r="A8" s="124">
        <v>8</v>
      </c>
      <c r="B8" s="146"/>
      <c r="C8" s="146">
        <v>2</v>
      </c>
    </row>
    <row r="9" spans="1:3" x14ac:dyDescent="0.2">
      <c r="A9" s="124">
        <v>9</v>
      </c>
      <c r="B9" s="146"/>
      <c r="C9" s="146">
        <v>2</v>
      </c>
    </row>
    <row r="14" spans="1:3" x14ac:dyDescent="0.2">
      <c r="B14" s="191" t="s">
        <v>150</v>
      </c>
      <c r="C14" s="8">
        <f>COUNTIF(C1:C9,1)</f>
        <v>4</v>
      </c>
    </row>
    <row r="15" spans="1:3" x14ac:dyDescent="0.2">
      <c r="B15" s="191" t="s">
        <v>77</v>
      </c>
      <c r="C15" s="8">
        <f>COUNTIF(C1:C9,2)</f>
        <v>3</v>
      </c>
    </row>
    <row r="16" spans="1:3" x14ac:dyDescent="0.2">
      <c r="B16" s="191" t="s">
        <v>78</v>
      </c>
      <c r="C16" s="8">
        <f>COUNTIF(C1:C9,3)</f>
        <v>2</v>
      </c>
    </row>
    <row r="17" spans="2:3" x14ac:dyDescent="0.2">
      <c r="B17" s="191" t="s">
        <v>88</v>
      </c>
      <c r="C17" s="8">
        <f>COUNTIF(C1:C9,4)</f>
        <v>0</v>
      </c>
    </row>
    <row r="19" spans="2:3" x14ac:dyDescent="0.2">
      <c r="C19" s="8">
        <f>SUM(C14:C18)</f>
        <v>9</v>
      </c>
    </row>
  </sheetData>
  <sheetProtection sheet="1" objects="1" scenarios="1"/>
  <phoneticPr fontId="2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AUTOHOGAR</vt:lpstr>
      <vt:lpstr>PENDIENTES AGOSTO</vt:lpstr>
      <vt:lpstr>COBRANZA SIN CUPONES</vt:lpstr>
      <vt:lpstr>PAGARA</vt:lpstr>
      <vt:lpstr>PAGARA DETALLADO</vt:lpstr>
      <vt:lpstr>COB</vt:lpstr>
      <vt:lpstr>AUTOHOGAR!Área_de_impresión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AGRO</dc:creator>
  <cp:lastModifiedBy>COMPAQ</cp:lastModifiedBy>
  <cp:lastPrinted>2024-02-02T09:48:04Z</cp:lastPrinted>
  <dcterms:created xsi:type="dcterms:W3CDTF">2012-03-04T17:17:47Z</dcterms:created>
  <dcterms:modified xsi:type="dcterms:W3CDTF">2026-09-02T13:49:52Z</dcterms:modified>
</cp:coreProperties>
</file>