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OMPAQ\Documents\AGOSTO 2026\14-08\"/>
    </mc:Choice>
  </mc:AlternateContent>
  <xr:revisionPtr revIDLastSave="0" documentId="13_ncr:1_{D0C9DF8E-7689-4EC8-98DA-E80679833E9D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58" i="1" l="1"/>
  <c r="B50" i="1"/>
  <c r="B58" i="1"/>
  <c r="E50" i="1" l="1"/>
  <c r="E60" i="1" s="1"/>
</calcChain>
</file>

<file path=xl/sharedStrings.xml><?xml version="1.0" encoding="utf-8"?>
<sst xmlns="http://schemas.openxmlformats.org/spreadsheetml/2006/main" count="26" uniqueCount="19">
  <si>
    <t>FECHA</t>
  </si>
  <si>
    <t>N°  COBRADOR</t>
  </si>
  <si>
    <t>N° CLIENTE</t>
  </si>
  <si>
    <t>NOMBRE</t>
  </si>
  <si>
    <t>IMPORTE</t>
  </si>
  <si>
    <t>MEDIO DE PAGO</t>
  </si>
  <si>
    <t>TOTAL</t>
  </si>
  <si>
    <t>MERCADO PAGO</t>
  </si>
  <si>
    <t xml:space="preserve"> </t>
  </si>
  <si>
    <t>GOMEZ LILIANA</t>
  </si>
  <si>
    <t>MARTINEZ BENAVIDEZ ANDREA ROSANA</t>
  </si>
  <si>
    <t>OLMO CECILIA CRISTINA</t>
  </si>
  <si>
    <t>OCAMPO RODRIGUEZ MICAELA BELEN</t>
  </si>
  <si>
    <t>CORTEZ JUANA BEATRIZ</t>
  </si>
  <si>
    <t>ORMEÑO DEGO ANDRES</t>
  </si>
  <si>
    <t>ARAYA PABLO RAUL</t>
  </si>
  <si>
    <t>ARROYO MARIANA DEOLINDA</t>
  </si>
  <si>
    <t>POSNET OFICINA</t>
  </si>
  <si>
    <t>MALDONADO NELLY LEONOR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</si>
</sst>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\ #,##0;[Red]\-&quot;$&quot;\ #,##0"/>
    <numFmt numFmtId="164" formatCode="&quot;$&quot;\ #,##0"/>
  </numFmts>
  <fonts count="3" x14ac:knownFonts="1"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indexed="8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164" fontId="1" fillId="2" borderId="0" xfId="0" applyNumberFormat="1" applyFont="1" applyFill="1"/>
    <xf numFmtId="164" fontId="0" fillId="0" borderId="0" xfId="0" applyNumberFormat="1"/>
    <xf numFmtId="0" fontId="0" fillId="3" borderId="0" xfId="0" applyFill="1"/>
    <xf numFmtId="0" fontId="0" fillId="0" borderId="1" xfId="0" applyBorder="1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Protection="1">
      <protection locked="0"/>
    </xf>
    <xf numFmtId="0" fontId="2" fillId="0" borderId="0" xfId="0" applyFont="1"/>
    <xf numFmtId="164" fontId="0" fillId="3" borderId="0" xfId="0" applyNumberFormat="1" applyFill="1"/>
    <xf numFmtId="0" fontId="0" fillId="3" borderId="0" xfId="0" applyFill="1" applyAlignment="1">
      <alignment horizontal="center"/>
    </xf>
    <xf numFmtId="0" fontId="0" fillId="3" borderId="0" xfId="0" applyFill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 vertical="center"/>
    </xf>
    <xf numFmtId="164" fontId="0" fillId="3" borderId="1" xfId="0" applyNumberFormat="1" applyFill="1" applyBorder="1"/>
    <xf numFmtId="0" fontId="1" fillId="2" borderId="2" xfId="0" applyFont="1" applyFill="1" applyBorder="1" applyAlignment="1">
      <alignment horizontal="center" vertical="center"/>
    </xf>
    <xf numFmtId="164" fontId="0" fillId="0" borderId="1" xfId="0" applyNumberFormat="1" applyBorder="1"/>
    <xf numFmtId="0" fontId="0" fillId="0" borderId="1" xfId="0" applyBorder="1" applyAlignment="1">
      <alignment horizontal="center"/>
    </xf>
    <xf numFmtId="6" fontId="0" fillId="3" borderId="1" xfId="0" applyNumberFormat="1" applyFill="1" applyBorder="1"/>
    <xf numFmtId="0" fontId="0" fillId="3" borderId="1" xfId="0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Protection="1">
      <protection locked="0"/>
    </xf>
  </cellXfs>
  <cellStyles count="1">
    <cellStyle name="Normal" xfId="0" builtinId="0"/>
  </cellStyles>
  <dxfs count="5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L62"/>
  <sheetViews>
    <sheetView tabSelected="1" topLeftCell="A40" zoomScale="90" zoomScaleNormal="90" workbookViewId="0">
      <selection activeCell="E62" sqref="E62"/>
    </sheetView>
  </sheetViews>
  <sheetFormatPr baseColWidth="10" defaultRowHeight="15" x14ac:dyDescent="0.25"/>
  <cols>
    <col min="1" max="1" width="8.28515625" customWidth="1"/>
    <col min="2" max="2" width="10.42578125" style="3" bestFit="1" customWidth="1"/>
    <col min="3" max="3" width="11.42578125" style="3"/>
    <col min="4" max="4" width="42.28515625" bestFit="1" customWidth="1"/>
    <col min="5" max="5" width="16.7109375" style="5" customWidth="1"/>
    <col min="6" max="6" width="34.7109375" style="3" customWidth="1"/>
    <col min="7" max="7" width="34.7109375" style="9" customWidth="1"/>
    <col min="8" max="8" width="58.42578125" bestFit="1" customWidth="1"/>
  </cols>
  <sheetData>
    <row r="3" spans="2:12" ht="14.25" customHeight="1" x14ac:dyDescent="0.25">
      <c r="B3" s="2" t="s">
        <v>0</v>
      </c>
      <c r="C3" s="2" t="s">
        <v>2</v>
      </c>
      <c r="D3" s="1" t="s">
        <v>3</v>
      </c>
      <c r="E3" s="4" t="s">
        <v>4</v>
      </c>
      <c r="F3" s="2" t="s">
        <v>1</v>
      </c>
      <c r="G3" s="18" t="s">
        <v>5</v>
      </c>
    </row>
    <row r="4" spans="2:12" s="6" customFormat="1" x14ac:dyDescent="0.25">
      <c r="B4" s="15">
        <v>46248</v>
      </c>
      <c r="C4" s="26">
        <v>3444</v>
      </c>
      <c r="D4" s="27" t="s">
        <v>9</v>
      </c>
      <c r="E4" s="21">
        <v>150000</v>
      </c>
      <c r="F4" s="20">
        <v>7</v>
      </c>
      <c r="G4" s="16" t="s">
        <v>7</v>
      </c>
      <c r="H4" s="11"/>
      <c r="I4"/>
      <c r="J4" s="12"/>
      <c r="K4" s="13"/>
      <c r="L4" s="14"/>
    </row>
    <row r="5" spans="2:12" s="6" customFormat="1" x14ac:dyDescent="0.25">
      <c r="B5" s="15">
        <v>46248</v>
      </c>
      <c r="C5" s="23">
        <v>3129</v>
      </c>
      <c r="D5" s="7" t="s">
        <v>10</v>
      </c>
      <c r="E5" s="21">
        <v>60000</v>
      </c>
      <c r="F5" s="20">
        <v>7</v>
      </c>
      <c r="G5" s="16" t="s">
        <v>7</v>
      </c>
      <c r="H5" s="11"/>
      <c r="I5"/>
      <c r="J5"/>
      <c r="K5"/>
      <c r="L5"/>
    </row>
    <row r="6" spans="2:12" x14ac:dyDescent="0.25">
      <c r="B6" s="15">
        <v>46248</v>
      </c>
      <c r="C6" s="23">
        <v>3182</v>
      </c>
      <c r="D6" s="7" t="s">
        <v>11</v>
      </c>
      <c r="E6" s="19">
        <v>80000</v>
      </c>
      <c r="F6" s="20">
        <v>7</v>
      </c>
      <c r="G6" s="16" t="s">
        <v>7</v>
      </c>
    </row>
    <row r="7" spans="2:12" x14ac:dyDescent="0.25">
      <c r="B7" s="15">
        <v>46248</v>
      </c>
      <c r="C7" s="23">
        <v>3342</v>
      </c>
      <c r="D7" s="7" t="s">
        <v>12</v>
      </c>
      <c r="E7" s="19">
        <v>100000</v>
      </c>
      <c r="F7" s="20">
        <v>7</v>
      </c>
      <c r="G7" s="16" t="s">
        <v>7</v>
      </c>
    </row>
    <row r="8" spans="2:12" x14ac:dyDescent="0.25">
      <c r="B8" s="15">
        <v>46248</v>
      </c>
      <c r="C8" s="23">
        <v>3355</v>
      </c>
      <c r="D8" s="7" t="s">
        <v>13</v>
      </c>
      <c r="E8" s="19">
        <v>100000</v>
      </c>
      <c r="F8" s="20">
        <v>7</v>
      </c>
      <c r="G8" s="16" t="s">
        <v>7</v>
      </c>
      <c r="H8" s="11"/>
      <c r="I8" s="6"/>
      <c r="J8" s="6"/>
      <c r="K8" s="6"/>
      <c r="L8" s="6"/>
    </row>
    <row r="9" spans="2:12" x14ac:dyDescent="0.25">
      <c r="B9" s="15">
        <v>46248</v>
      </c>
      <c r="C9" s="23">
        <v>2892</v>
      </c>
      <c r="D9" s="7" t="s">
        <v>14</v>
      </c>
      <c r="E9" s="19">
        <v>80000</v>
      </c>
      <c r="F9" s="20">
        <v>7</v>
      </c>
      <c r="G9" s="16" t="s">
        <v>7</v>
      </c>
    </row>
    <row r="10" spans="2:12" x14ac:dyDescent="0.25">
      <c r="B10" s="15">
        <v>46248</v>
      </c>
      <c r="C10" s="23">
        <v>2802</v>
      </c>
      <c r="D10" s="7" t="s">
        <v>15</v>
      </c>
      <c r="E10" s="19">
        <v>60000</v>
      </c>
      <c r="F10" s="20">
        <v>7</v>
      </c>
      <c r="G10" s="16" t="s">
        <v>7</v>
      </c>
    </row>
    <row r="11" spans="2:12" x14ac:dyDescent="0.25">
      <c r="B11" s="15">
        <v>46248</v>
      </c>
      <c r="C11" s="23">
        <v>2747</v>
      </c>
      <c r="D11" s="7" t="s">
        <v>18</v>
      </c>
      <c r="E11" s="19">
        <v>100000</v>
      </c>
      <c r="F11" s="20">
        <v>7</v>
      </c>
      <c r="G11" s="16" t="s">
        <v>7</v>
      </c>
    </row>
    <row r="12" spans="2:12" x14ac:dyDescent="0.25">
      <c r="B12" s="15"/>
      <c r="C12" s="23"/>
      <c r="D12" s="7"/>
      <c r="E12" s="19"/>
      <c r="F12" s="20"/>
      <c r="G12" s="16"/>
    </row>
    <row r="13" spans="2:12" x14ac:dyDescent="0.25">
      <c r="B13" s="15"/>
      <c r="C13" s="23"/>
      <c r="D13" s="7"/>
      <c r="E13" s="19"/>
      <c r="F13" s="20"/>
      <c r="G13" s="16"/>
    </row>
    <row r="14" spans="2:12" x14ac:dyDescent="0.25">
      <c r="B14" s="15"/>
      <c r="C14" s="23"/>
      <c r="D14" s="7"/>
      <c r="E14" s="19"/>
      <c r="F14" s="20"/>
      <c r="G14" s="16"/>
    </row>
    <row r="15" spans="2:12" x14ac:dyDescent="0.25">
      <c r="B15" s="15"/>
      <c r="C15" s="23"/>
      <c r="D15" s="7"/>
      <c r="E15" s="19"/>
      <c r="F15" s="20"/>
      <c r="G15" s="16"/>
    </row>
    <row r="16" spans="2:12" x14ac:dyDescent="0.25">
      <c r="B16" s="15"/>
      <c r="C16" s="23"/>
      <c r="D16" s="7"/>
      <c r="E16" s="19"/>
      <c r="F16" s="20"/>
      <c r="G16" s="16"/>
    </row>
    <row r="17" spans="2:12" x14ac:dyDescent="0.25">
      <c r="B17" s="15"/>
      <c r="C17" s="23"/>
      <c r="D17" s="7"/>
      <c r="E17" s="19"/>
      <c r="F17" s="20"/>
      <c r="G17" s="16"/>
      <c r="H17" s="10"/>
      <c r="I17" s="6"/>
      <c r="J17" s="6"/>
      <c r="K17" s="6"/>
      <c r="L17" s="6"/>
    </row>
    <row r="18" spans="2:12" x14ac:dyDescent="0.25">
      <c r="B18" s="15"/>
      <c r="C18" s="23"/>
      <c r="D18" s="7"/>
      <c r="E18" s="19"/>
      <c r="F18" s="20"/>
      <c r="G18" s="16"/>
    </row>
    <row r="19" spans="2:12" x14ac:dyDescent="0.25">
      <c r="B19" s="15"/>
      <c r="C19" s="23"/>
      <c r="D19" s="7"/>
      <c r="E19" s="19"/>
      <c r="F19" s="20"/>
      <c r="G19" s="16"/>
    </row>
    <row r="20" spans="2:12" x14ac:dyDescent="0.25">
      <c r="B20" s="15"/>
      <c r="C20" s="23"/>
      <c r="D20" s="7"/>
      <c r="E20" s="19"/>
      <c r="F20" s="20"/>
      <c r="G20" s="16"/>
    </row>
    <row r="21" spans="2:12" x14ac:dyDescent="0.25">
      <c r="B21" s="15"/>
      <c r="C21" s="23"/>
      <c r="D21" s="7"/>
      <c r="E21" s="19"/>
      <c r="F21" s="20"/>
      <c r="G21" s="16"/>
    </row>
    <row r="22" spans="2:12" x14ac:dyDescent="0.25">
      <c r="B22" s="15"/>
      <c r="C22" s="20"/>
      <c r="D22" s="7"/>
      <c r="E22" s="19"/>
      <c r="F22" s="20"/>
      <c r="G22" s="16"/>
    </row>
    <row r="23" spans="2:12" x14ac:dyDescent="0.25">
      <c r="B23" s="15"/>
      <c r="C23" s="23"/>
      <c r="D23" s="7"/>
      <c r="E23" s="19"/>
      <c r="F23" s="20"/>
      <c r="G23" s="16"/>
    </row>
    <row r="24" spans="2:12" x14ac:dyDescent="0.25">
      <c r="B24" s="15"/>
      <c r="C24" s="20"/>
      <c r="D24" s="7"/>
      <c r="E24" s="19"/>
      <c r="F24" s="20"/>
      <c r="G24" s="16"/>
    </row>
    <row r="25" spans="2:12" x14ac:dyDescent="0.25">
      <c r="B25" s="15"/>
      <c r="C25" s="20"/>
      <c r="D25" s="7"/>
      <c r="E25" s="19"/>
      <c r="F25" s="20"/>
      <c r="G25" s="16"/>
    </row>
    <row r="26" spans="2:12" x14ac:dyDescent="0.25">
      <c r="B26" s="15"/>
      <c r="C26" s="23"/>
      <c r="D26" s="7"/>
      <c r="E26" s="17"/>
      <c r="F26" s="22"/>
      <c r="G26" s="15"/>
    </row>
    <row r="27" spans="2:12" x14ac:dyDescent="0.25">
      <c r="B27" s="15"/>
      <c r="C27" s="23"/>
      <c r="D27" s="7"/>
      <c r="E27" s="17"/>
      <c r="F27" s="22"/>
      <c r="G27" s="15"/>
    </row>
    <row r="28" spans="2:12" x14ac:dyDescent="0.25">
      <c r="B28" s="15"/>
      <c r="C28" s="23"/>
      <c r="D28" s="7"/>
      <c r="E28" s="17"/>
      <c r="F28" s="22"/>
      <c r="G28" s="15"/>
    </row>
    <row r="29" spans="2:12" x14ac:dyDescent="0.25">
      <c r="B29" s="15"/>
      <c r="C29" s="23"/>
      <c r="D29" s="7"/>
      <c r="E29" s="17"/>
      <c r="F29" s="22"/>
      <c r="G29" s="15"/>
    </row>
    <row r="30" spans="2:12" x14ac:dyDescent="0.25">
      <c r="B30" s="15"/>
      <c r="C30" s="23"/>
      <c r="D30" s="7"/>
      <c r="E30" s="19"/>
      <c r="F30" s="22"/>
      <c r="G30" s="15"/>
    </row>
    <row r="31" spans="2:12" x14ac:dyDescent="0.25">
      <c r="B31" s="15"/>
      <c r="C31" s="23"/>
      <c r="D31" s="7"/>
      <c r="E31" s="17"/>
      <c r="F31" s="22"/>
      <c r="G31" s="15"/>
    </row>
    <row r="32" spans="2:12" x14ac:dyDescent="0.25">
      <c r="B32" s="15"/>
      <c r="C32" s="23"/>
      <c r="D32" s="7"/>
      <c r="E32" s="17"/>
      <c r="F32" s="22"/>
      <c r="G32" s="15"/>
    </row>
    <row r="33" spans="2:7" x14ac:dyDescent="0.25">
      <c r="B33" s="15"/>
      <c r="C33" s="23"/>
      <c r="D33" s="7"/>
      <c r="E33" s="17"/>
      <c r="F33" s="22"/>
      <c r="G33" s="15"/>
    </row>
    <row r="34" spans="2:7" x14ac:dyDescent="0.25">
      <c r="B34" s="15"/>
      <c r="C34" s="23"/>
      <c r="D34" s="7"/>
      <c r="E34" s="17"/>
      <c r="F34" s="22"/>
      <c r="G34" s="15"/>
    </row>
    <row r="35" spans="2:7" x14ac:dyDescent="0.25">
      <c r="B35" s="15"/>
      <c r="C35" s="23"/>
      <c r="D35" s="7"/>
      <c r="E35" s="17"/>
      <c r="F35" s="22"/>
      <c r="G35" s="15"/>
    </row>
    <row r="36" spans="2:7" x14ac:dyDescent="0.25">
      <c r="B36" s="15"/>
      <c r="C36" s="23"/>
      <c r="D36" s="7"/>
      <c r="E36" s="17"/>
      <c r="F36" s="22"/>
      <c r="G36" s="15"/>
    </row>
    <row r="37" spans="2:7" x14ac:dyDescent="0.25">
      <c r="B37" s="15"/>
      <c r="C37" s="23"/>
      <c r="D37" s="7"/>
      <c r="E37" s="17"/>
      <c r="F37" s="22"/>
      <c r="G37" s="15"/>
    </row>
    <row r="38" spans="2:7" x14ac:dyDescent="0.25">
      <c r="B38" s="15"/>
      <c r="C38" s="23"/>
      <c r="D38" s="7"/>
      <c r="E38" s="17"/>
      <c r="F38" s="22"/>
      <c r="G38" s="15"/>
    </row>
    <row r="39" spans="2:7" x14ac:dyDescent="0.25">
      <c r="B39" s="15"/>
      <c r="C39" s="23"/>
      <c r="D39" s="7"/>
      <c r="E39" s="17"/>
      <c r="F39" s="22"/>
      <c r="G39" s="15"/>
    </row>
    <row r="40" spans="2:7" x14ac:dyDescent="0.25">
      <c r="B40" s="15"/>
      <c r="C40" s="23"/>
      <c r="D40" s="7"/>
      <c r="E40" s="17"/>
      <c r="F40" s="22"/>
      <c r="G40" s="15"/>
    </row>
    <row r="41" spans="2:7" x14ac:dyDescent="0.25">
      <c r="B41" s="15"/>
      <c r="C41" s="23"/>
      <c r="D41" s="7"/>
      <c r="E41" s="17"/>
      <c r="F41" s="22"/>
      <c r="G41" s="15"/>
    </row>
    <row r="42" spans="2:7" x14ac:dyDescent="0.25">
      <c r="B42" s="15"/>
      <c r="C42" s="23"/>
      <c r="D42" s="7"/>
      <c r="E42" s="17"/>
      <c r="F42" s="22"/>
      <c r="G42" s="15"/>
    </row>
    <row r="43" spans="2:7" x14ac:dyDescent="0.25">
      <c r="B43" s="15"/>
      <c r="C43" s="23"/>
      <c r="D43" s="7"/>
      <c r="E43" s="17"/>
      <c r="F43" s="22"/>
      <c r="G43" s="15"/>
    </row>
    <row r="44" spans="2:7" x14ac:dyDescent="0.25">
      <c r="B44" s="15"/>
      <c r="C44" s="23"/>
      <c r="D44" s="7"/>
      <c r="E44" s="17"/>
      <c r="F44" s="22"/>
      <c r="G44" s="15"/>
    </row>
    <row r="45" spans="2:7" x14ac:dyDescent="0.25">
      <c r="B45" s="15"/>
      <c r="C45" s="23"/>
      <c r="D45" s="7"/>
      <c r="E45" s="17"/>
      <c r="F45" s="22"/>
      <c r="G45" s="15"/>
    </row>
    <row r="46" spans="2:7" x14ac:dyDescent="0.25">
      <c r="B46" s="15"/>
      <c r="C46" s="23"/>
      <c r="D46" s="7"/>
      <c r="E46" s="17"/>
      <c r="F46" s="22"/>
      <c r="G46" s="15"/>
    </row>
    <row r="47" spans="2:7" x14ac:dyDescent="0.25">
      <c r="B47" s="15"/>
      <c r="C47" s="23"/>
      <c r="D47" s="7"/>
      <c r="E47" s="17"/>
      <c r="F47" s="22"/>
      <c r="G47" s="15"/>
    </row>
    <row r="50" spans="2:7" x14ac:dyDescent="0.25">
      <c r="B50" s="2">
        <f>COUNTA(B4:B48)</f>
        <v>8</v>
      </c>
      <c r="C50" s="2"/>
      <c r="D50" s="1"/>
      <c r="E50" s="4">
        <f>SUM(E4:E47)</f>
        <v>730000</v>
      </c>
      <c r="F50" s="2"/>
      <c r="G50" s="8"/>
    </row>
    <row r="51" spans="2:7" x14ac:dyDescent="0.25">
      <c r="B51" s="25"/>
      <c r="C51" s="24"/>
    </row>
    <row r="52" spans="2:7" x14ac:dyDescent="0.25">
      <c r="B52" s="15">
        <v>46248</v>
      </c>
      <c r="C52" s="23">
        <v>2744</v>
      </c>
      <c r="D52" s="7" t="s">
        <v>16</v>
      </c>
      <c r="E52" s="19">
        <v>60000</v>
      </c>
      <c r="F52" s="20">
        <v>7</v>
      </c>
      <c r="G52" s="16" t="s">
        <v>17</v>
      </c>
    </row>
    <row r="53" spans="2:7" x14ac:dyDescent="0.25">
      <c r="B53" s="15"/>
      <c r="C53" s="23"/>
      <c r="D53" s="7"/>
      <c r="E53" s="19"/>
      <c r="F53" s="20"/>
      <c r="G53" s="16"/>
    </row>
    <row r="54" spans="2:7" x14ac:dyDescent="0.25">
      <c r="B54" s="15"/>
      <c r="C54" s="23"/>
      <c r="D54" s="7"/>
      <c r="E54" s="19"/>
      <c r="F54" s="20"/>
      <c r="G54" s="16"/>
    </row>
    <row r="55" spans="2:7" x14ac:dyDescent="0.25">
      <c r="B55" s="15"/>
      <c r="C55" s="23"/>
      <c r="D55" s="7"/>
      <c r="E55" s="19"/>
      <c r="F55" s="20"/>
      <c r="G55" s="16"/>
    </row>
    <row r="56" spans="2:7" x14ac:dyDescent="0.25">
      <c r="B56" s="15"/>
      <c r="C56" s="23"/>
      <c r="D56" s="7"/>
      <c r="E56" s="19"/>
      <c r="F56" s="20"/>
      <c r="G56" s="16"/>
    </row>
    <row r="57" spans="2:7" x14ac:dyDescent="0.25">
      <c r="B57" s="15"/>
      <c r="C57" s="23"/>
      <c r="D57" s="7"/>
      <c r="E57" s="19"/>
      <c r="F57" s="20"/>
      <c r="G57" s="16"/>
    </row>
    <row r="58" spans="2:7" x14ac:dyDescent="0.25">
      <c r="B58" s="2">
        <f>COUNTA(B52:B56)</f>
        <v>1</v>
      </c>
      <c r="C58" s="2"/>
      <c r="D58" s="1"/>
      <c r="E58" s="4">
        <f>SUM(E52:E57)</f>
        <v>60000</v>
      </c>
      <c r="F58" s="2"/>
      <c r="G58" s="8"/>
    </row>
    <row r="60" spans="2:7" x14ac:dyDescent="0.25">
      <c r="D60" s="1" t="s">
        <v>6</v>
      </c>
      <c r="E60" s="4">
        <f>E50+E58</f>
        <v>790000</v>
      </c>
    </row>
    <row r="62" spans="2:7" x14ac:dyDescent="0.25">
      <c r="E62" s="5" t="s">
        <v>8</v>
      </c>
    </row>
  </sheetData>
  <conditionalFormatting sqref="C5">
    <cfRule type="duplicateValues" dxfId="48" priority="10"/>
  </conditionalFormatting>
  <conditionalFormatting sqref="C12">
    <cfRule type="duplicateValues" dxfId="43" priority="22"/>
  </conditionalFormatting>
  <conditionalFormatting sqref="C13">
    <cfRule type="duplicateValues" dxfId="42" priority="21"/>
  </conditionalFormatting>
  <conditionalFormatting sqref="C14">
    <cfRule type="duplicateValues" dxfId="41" priority="20"/>
  </conditionalFormatting>
  <conditionalFormatting sqref="C15">
    <cfRule type="duplicateValues" dxfId="40" priority="19"/>
  </conditionalFormatting>
  <conditionalFormatting sqref="C16">
    <cfRule type="duplicateValues" dxfId="39" priority="18"/>
  </conditionalFormatting>
  <conditionalFormatting sqref="C17">
    <cfRule type="duplicateValues" dxfId="38" priority="17"/>
  </conditionalFormatting>
  <conditionalFormatting sqref="C18">
    <cfRule type="duplicateValues" dxfId="37" priority="16"/>
  </conditionalFormatting>
  <conditionalFormatting sqref="C19">
    <cfRule type="duplicateValues" dxfId="36" priority="15"/>
  </conditionalFormatting>
  <conditionalFormatting sqref="C20">
    <cfRule type="duplicateValues" dxfId="35" priority="14"/>
  </conditionalFormatting>
  <conditionalFormatting sqref="C21">
    <cfRule type="duplicateValues" dxfId="34" priority="13"/>
  </conditionalFormatting>
  <conditionalFormatting sqref="C23">
    <cfRule type="duplicateValues" dxfId="33" priority="12"/>
  </conditionalFormatting>
  <conditionalFormatting sqref="C26">
    <cfRule type="duplicateValues" dxfId="32" priority="457"/>
  </conditionalFormatting>
  <conditionalFormatting sqref="C27">
    <cfRule type="duplicateValues" dxfId="31" priority="456"/>
  </conditionalFormatting>
  <conditionalFormatting sqref="C28">
    <cfRule type="duplicateValues" dxfId="30" priority="455"/>
  </conditionalFormatting>
  <conditionalFormatting sqref="C29">
    <cfRule type="duplicateValues" dxfId="29" priority="454"/>
  </conditionalFormatting>
  <conditionalFormatting sqref="C30">
    <cfRule type="duplicateValues" dxfId="28" priority="453"/>
  </conditionalFormatting>
  <conditionalFormatting sqref="C31">
    <cfRule type="duplicateValues" dxfId="27" priority="452"/>
  </conditionalFormatting>
  <conditionalFormatting sqref="C32">
    <cfRule type="duplicateValues" dxfId="26" priority="451"/>
  </conditionalFormatting>
  <conditionalFormatting sqref="C33">
    <cfRule type="duplicateValues" dxfId="25" priority="450"/>
  </conditionalFormatting>
  <conditionalFormatting sqref="C34:C36">
    <cfRule type="duplicateValues" dxfId="24" priority="449"/>
  </conditionalFormatting>
  <conditionalFormatting sqref="C37">
    <cfRule type="duplicateValues" dxfId="23" priority="448"/>
  </conditionalFormatting>
  <conditionalFormatting sqref="C38">
    <cfRule type="duplicateValues" dxfId="22" priority="447"/>
  </conditionalFormatting>
  <conditionalFormatting sqref="C39">
    <cfRule type="duplicateValues" dxfId="21" priority="446"/>
  </conditionalFormatting>
  <conditionalFormatting sqref="C40">
    <cfRule type="duplicateValues" dxfId="20" priority="445"/>
  </conditionalFormatting>
  <conditionalFormatting sqref="C41">
    <cfRule type="duplicateValues" dxfId="19" priority="444"/>
  </conditionalFormatting>
  <conditionalFormatting sqref="C42">
    <cfRule type="duplicateValues" dxfId="18" priority="443"/>
  </conditionalFormatting>
  <conditionalFormatting sqref="C43">
    <cfRule type="duplicateValues" dxfId="17" priority="442"/>
  </conditionalFormatting>
  <conditionalFormatting sqref="C44">
    <cfRule type="duplicateValues" dxfId="16" priority="441"/>
  </conditionalFormatting>
  <conditionalFormatting sqref="C45">
    <cfRule type="duplicateValues" dxfId="15" priority="439"/>
  </conditionalFormatting>
  <conditionalFormatting sqref="C46">
    <cfRule type="duplicateValues" dxfId="14" priority="438"/>
  </conditionalFormatting>
  <conditionalFormatting sqref="C47">
    <cfRule type="duplicateValues" dxfId="13" priority="437"/>
  </conditionalFormatting>
  <conditionalFormatting sqref="C51">
    <cfRule type="duplicateValues" dxfId="12" priority="525"/>
  </conditionalFormatting>
  <conditionalFormatting sqref="C53:C54">
    <cfRule type="duplicateValues" dxfId="11" priority="31"/>
  </conditionalFormatting>
  <conditionalFormatting sqref="C55">
    <cfRule type="duplicateValues" dxfId="10" priority="261"/>
  </conditionalFormatting>
  <conditionalFormatting sqref="C56">
    <cfRule type="duplicateValues" dxfId="9" priority="260"/>
  </conditionalFormatting>
  <conditionalFormatting sqref="C57">
    <cfRule type="duplicateValues" dxfId="8" priority="297"/>
  </conditionalFormatting>
  <conditionalFormatting sqref="C6">
    <cfRule type="duplicateValues" dxfId="7" priority="8"/>
  </conditionalFormatting>
  <conditionalFormatting sqref="C7">
    <cfRule type="duplicateValues" dxfId="6" priority="7"/>
  </conditionalFormatting>
  <conditionalFormatting sqref="C8">
    <cfRule type="duplicateValues" dxfId="5" priority="6"/>
  </conditionalFormatting>
  <conditionalFormatting sqref="C9">
    <cfRule type="duplicateValues" dxfId="4" priority="5"/>
  </conditionalFormatting>
  <conditionalFormatting sqref="C10">
    <cfRule type="duplicateValues" dxfId="3" priority="4"/>
  </conditionalFormatting>
  <conditionalFormatting sqref="C52">
    <cfRule type="duplicateValues" dxfId="1" priority="2"/>
  </conditionalFormatting>
  <conditionalFormatting sqref="C1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Rafael Alonso</dc:creator>
  <cp:lastModifiedBy>COMPAQ</cp:lastModifiedBy>
  <dcterms:created xsi:type="dcterms:W3CDTF">2024-12-09T21:13:32Z</dcterms:created>
  <dcterms:modified xsi:type="dcterms:W3CDTF">2026-08-14T23:09:15Z</dcterms:modified>
</cp:coreProperties>
</file>