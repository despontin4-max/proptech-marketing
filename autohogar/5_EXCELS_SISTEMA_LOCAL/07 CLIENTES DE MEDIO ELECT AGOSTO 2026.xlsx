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COMPAQ\Downloads\"/>
    </mc:Choice>
  </mc:AlternateContent>
  <xr:revisionPtr revIDLastSave="0" documentId="13_ncr:1_{56F2BA58-EC7C-42F8-B30C-FB44957150C3}" xr6:coauthVersionLast="47" xr6:coauthVersionMax="47" xr10:uidLastSave="{00000000-0000-0000-0000-000000000000}"/>
  <bookViews>
    <workbookView xWindow="-120" yWindow="-120" windowWidth="20730" windowHeight="11160" tabRatio="906" xr2:uid="{00000000-000D-0000-FFFF-FFFF00000000}"/>
  </bookViews>
  <sheets>
    <sheet name="AUTOHOGAR" sheetId="5" r:id="rId1"/>
    <sheet name="Hoja2" sheetId="21" r:id="rId2"/>
    <sheet name="COBRANZA SIN CUPONES" sheetId="8" r:id="rId3"/>
    <sheet name="PAGARA" sheetId="19" r:id="rId4"/>
    <sheet name="PAGARA DETALLADO" sheetId="18" r:id="rId5"/>
    <sheet name="COB" sheetId="13" r:id="rId6"/>
  </sheets>
  <externalReferences>
    <externalReference r:id="rId7"/>
  </externalReferences>
  <definedNames>
    <definedName name="_xlnm._FilterDatabase" localSheetId="0" hidden="1">AUTOHOGAR!$A$3:$IV$3</definedName>
    <definedName name="_xlnm._FilterDatabase" localSheetId="2" hidden="1">'COBRANZA SIN CUPONES'!$A$5:$N$17</definedName>
    <definedName name="_GoBack" localSheetId="0">AUTOHOGAR!#REF!</definedName>
    <definedName name="_xlnm.Print_Area" localSheetId="0">AUTOHOGAR!$A$1:$X$182</definedName>
    <definedName name="entrega">'[1]Sugerencia Rendiciones '!$BP$2:$BP$11</definedName>
    <definedName name="tipo">'[1]Sugerencia Rendiciones '!$D$3:$D$11</definedName>
  </definedNames>
  <calcPr calcId="191029"/>
  <pivotCaches>
    <pivotCache cacheId="0" r:id="rId8"/>
  </pivotCaches>
</workbook>
</file>

<file path=xl/calcChain.xml><?xml version="1.0" encoding="utf-8"?>
<calcChain xmlns="http://schemas.openxmlformats.org/spreadsheetml/2006/main">
  <c r="P140" i="5" l="1"/>
  <c r="O140" i="5"/>
  <c r="N140" i="5"/>
  <c r="P139" i="5"/>
  <c r="O139" i="5"/>
  <c r="N139" i="5"/>
  <c r="Z139" i="5" s="1"/>
  <c r="P138" i="5"/>
  <c r="O138" i="5"/>
  <c r="AJ138" i="5" s="1"/>
  <c r="N138" i="5"/>
  <c r="P137" i="5"/>
  <c r="O137" i="5"/>
  <c r="AU137" i="5" s="1"/>
  <c r="N137" i="5"/>
  <c r="Z137" i="5" s="1"/>
  <c r="P136" i="5"/>
  <c r="O136" i="5"/>
  <c r="AU136" i="5" s="1"/>
  <c r="N136" i="5"/>
  <c r="Z136" i="5" s="1"/>
  <c r="P135" i="5"/>
  <c r="O135" i="5"/>
  <c r="AJ135" i="5" s="1"/>
  <c r="N135" i="5"/>
  <c r="P134" i="5"/>
  <c r="O134" i="5"/>
  <c r="AU134" i="5" s="1"/>
  <c r="N134" i="5"/>
  <c r="P133" i="5"/>
  <c r="O133" i="5"/>
  <c r="AU133" i="5" s="1"/>
  <c r="N133" i="5"/>
  <c r="Z133" i="5" s="1"/>
  <c r="P132" i="5"/>
  <c r="O132" i="5"/>
  <c r="N132" i="5"/>
  <c r="P131" i="5"/>
  <c r="O131" i="5"/>
  <c r="N131" i="5"/>
  <c r="Z131" i="5" s="1"/>
  <c r="P130" i="5"/>
  <c r="O130" i="5"/>
  <c r="AJ130" i="5" s="1"/>
  <c r="N130" i="5"/>
  <c r="Z130" i="5" s="1"/>
  <c r="P129" i="5"/>
  <c r="O129" i="5"/>
  <c r="AU129" i="5" s="1"/>
  <c r="N129" i="5"/>
  <c r="Z129" i="5" s="1"/>
  <c r="P128" i="5"/>
  <c r="O128" i="5"/>
  <c r="AJ128" i="5" s="1"/>
  <c r="N128" i="5"/>
  <c r="P127" i="5"/>
  <c r="O127" i="5"/>
  <c r="AJ127" i="5" s="1"/>
  <c r="N127" i="5"/>
  <c r="P126" i="5"/>
  <c r="O126" i="5"/>
  <c r="AJ126" i="5" s="1"/>
  <c r="N126" i="5"/>
  <c r="P125" i="5"/>
  <c r="O125" i="5"/>
  <c r="AJ125" i="5" s="1"/>
  <c r="N125" i="5"/>
  <c r="Z125" i="5" s="1"/>
  <c r="P124" i="5"/>
  <c r="O124" i="5"/>
  <c r="N124" i="5"/>
  <c r="Z124" i="5" s="1"/>
  <c r="P123" i="5"/>
  <c r="O123" i="5"/>
  <c r="N123" i="5"/>
  <c r="Z123" i="5" s="1"/>
  <c r="P122" i="5"/>
  <c r="O122" i="5"/>
  <c r="AU122" i="5" s="1"/>
  <c r="N122" i="5"/>
  <c r="Z122" i="5" s="1"/>
  <c r="P121" i="5"/>
  <c r="O121" i="5"/>
  <c r="AU121" i="5" s="1"/>
  <c r="N121" i="5"/>
  <c r="Z121" i="5" s="1"/>
  <c r="P120" i="5"/>
  <c r="O120" i="5"/>
  <c r="AU120" i="5" s="1"/>
  <c r="N120" i="5"/>
  <c r="Z120" i="5" s="1"/>
  <c r="P119" i="5"/>
  <c r="O119" i="5"/>
  <c r="AJ119" i="5" s="1"/>
  <c r="N119" i="5"/>
  <c r="P118" i="5"/>
  <c r="O118" i="5"/>
  <c r="AJ118" i="5" s="1"/>
  <c r="N118" i="5"/>
  <c r="P117" i="5"/>
  <c r="O117" i="5"/>
  <c r="AU117" i="5" s="1"/>
  <c r="N117" i="5"/>
  <c r="Z117" i="5" s="1"/>
  <c r="P116" i="5"/>
  <c r="O116" i="5"/>
  <c r="N116" i="5"/>
  <c r="Z116" i="5" s="1"/>
  <c r="P115" i="5"/>
  <c r="O115" i="5"/>
  <c r="N115" i="5"/>
  <c r="Z115" i="5" s="1"/>
  <c r="P114" i="5"/>
  <c r="O114" i="5"/>
  <c r="AU114" i="5" s="1"/>
  <c r="N114" i="5"/>
  <c r="Z114" i="5" s="1"/>
  <c r="P113" i="5"/>
  <c r="O113" i="5"/>
  <c r="AU113" i="5" s="1"/>
  <c r="N113" i="5"/>
  <c r="Z113" i="5" s="1"/>
  <c r="P112" i="5"/>
  <c r="O112" i="5"/>
  <c r="AJ112" i="5" s="1"/>
  <c r="N112" i="5"/>
  <c r="P111" i="5"/>
  <c r="O111" i="5"/>
  <c r="AU111" i="5" s="1"/>
  <c r="N111" i="5"/>
  <c r="P110" i="5"/>
  <c r="O110" i="5"/>
  <c r="AU110" i="5" s="1"/>
  <c r="N110" i="5"/>
  <c r="P109" i="5"/>
  <c r="O109" i="5"/>
  <c r="AU109" i="5" s="1"/>
  <c r="N109" i="5"/>
  <c r="Z109" i="5" s="1"/>
  <c r="P108" i="5"/>
  <c r="O108" i="5"/>
  <c r="N108" i="5"/>
  <c r="Z108" i="5" s="1"/>
  <c r="P107" i="5"/>
  <c r="O107" i="5"/>
  <c r="N107" i="5"/>
  <c r="Z107" i="5" s="1"/>
  <c r="P106" i="5"/>
  <c r="O106" i="5"/>
  <c r="AU106" i="5" s="1"/>
  <c r="N106" i="5"/>
  <c r="Z106" i="5" s="1"/>
  <c r="P105" i="5"/>
  <c r="O105" i="5"/>
  <c r="AU105" i="5" s="1"/>
  <c r="N105" i="5"/>
  <c r="Z105" i="5" s="1"/>
  <c r="P104" i="5"/>
  <c r="O104" i="5"/>
  <c r="AU104" i="5" s="1"/>
  <c r="N104" i="5"/>
  <c r="P103" i="5"/>
  <c r="O103" i="5"/>
  <c r="AJ103" i="5" s="1"/>
  <c r="N103" i="5"/>
  <c r="P102" i="5"/>
  <c r="O102" i="5"/>
  <c r="AJ102" i="5" s="1"/>
  <c r="N102" i="5"/>
  <c r="P101" i="5"/>
  <c r="O101" i="5"/>
  <c r="AJ101" i="5" s="1"/>
  <c r="N101" i="5"/>
  <c r="Z101" i="5" s="1"/>
  <c r="P100" i="5"/>
  <c r="O100" i="5"/>
  <c r="N100" i="5"/>
  <c r="Z100" i="5" s="1"/>
  <c r="P99" i="5"/>
  <c r="O99" i="5"/>
  <c r="N99" i="5"/>
  <c r="P98" i="5"/>
  <c r="O98" i="5"/>
  <c r="AU98" i="5" s="1"/>
  <c r="N98" i="5"/>
  <c r="Z98" i="5" s="1"/>
  <c r="P97" i="5"/>
  <c r="O97" i="5"/>
  <c r="AU97" i="5" s="1"/>
  <c r="N97" i="5"/>
  <c r="P96" i="5"/>
  <c r="O96" i="5"/>
  <c r="AU96" i="5" s="1"/>
  <c r="N96" i="5"/>
  <c r="Z96" i="5" s="1"/>
  <c r="P95" i="5"/>
  <c r="O95" i="5"/>
  <c r="AU95" i="5" s="1"/>
  <c r="N95" i="5"/>
  <c r="P94" i="5"/>
  <c r="O94" i="5"/>
  <c r="AU94" i="5" s="1"/>
  <c r="N94" i="5"/>
  <c r="P93" i="5"/>
  <c r="O93" i="5"/>
  <c r="AJ93" i="5" s="1"/>
  <c r="N93" i="5"/>
  <c r="Z93" i="5" s="1"/>
  <c r="P92" i="5"/>
  <c r="O92" i="5"/>
  <c r="N92" i="5"/>
  <c r="Z92" i="5" s="1"/>
  <c r="P91" i="5"/>
  <c r="O91" i="5"/>
  <c r="N91" i="5"/>
  <c r="Z91" i="5" s="1"/>
  <c r="P90" i="5"/>
  <c r="O90" i="5"/>
  <c r="AJ90" i="5" s="1"/>
  <c r="N90" i="5"/>
  <c r="Z90" i="5" s="1"/>
  <c r="P89" i="5"/>
  <c r="O89" i="5"/>
  <c r="AJ89" i="5" s="1"/>
  <c r="N89" i="5"/>
  <c r="Z89" i="5" s="1"/>
  <c r="P88" i="5"/>
  <c r="O88" i="5"/>
  <c r="AU88" i="5" s="1"/>
  <c r="N88" i="5"/>
  <c r="Z88" i="5" s="1"/>
  <c r="P87" i="5"/>
  <c r="O87" i="5"/>
  <c r="AU87" i="5" s="1"/>
  <c r="N87" i="5"/>
  <c r="P86" i="5"/>
  <c r="O86" i="5"/>
  <c r="AJ86" i="5" s="1"/>
  <c r="N86" i="5"/>
  <c r="P85" i="5"/>
  <c r="O85" i="5"/>
  <c r="AU85" i="5" s="1"/>
  <c r="N85" i="5"/>
  <c r="Z85" i="5" s="1"/>
  <c r="P84" i="5"/>
  <c r="O84" i="5"/>
  <c r="N84" i="5"/>
  <c r="Z84" i="5" s="1"/>
  <c r="P83" i="5"/>
  <c r="O83" i="5"/>
  <c r="N83" i="5"/>
  <c r="Z83" i="5" s="1"/>
  <c r="P82" i="5"/>
  <c r="O82" i="5"/>
  <c r="AU82" i="5" s="1"/>
  <c r="N82" i="5"/>
  <c r="Z82" i="5" s="1"/>
  <c r="P81" i="5"/>
  <c r="O81" i="5"/>
  <c r="AU81" i="5" s="1"/>
  <c r="N81" i="5"/>
  <c r="Z81" i="5" s="1"/>
  <c r="P80" i="5"/>
  <c r="O80" i="5"/>
  <c r="AU80" i="5" s="1"/>
  <c r="N80" i="5"/>
  <c r="P79" i="5"/>
  <c r="O79" i="5"/>
  <c r="AU79" i="5" s="1"/>
  <c r="N79" i="5"/>
  <c r="P78" i="5"/>
  <c r="O78" i="5"/>
  <c r="AJ78" i="5" s="1"/>
  <c r="N78" i="5"/>
  <c r="P77" i="5"/>
  <c r="O77" i="5"/>
  <c r="AU77" i="5" s="1"/>
  <c r="N77" i="5"/>
  <c r="Z77" i="5" s="1"/>
  <c r="P76" i="5"/>
  <c r="O76" i="5"/>
  <c r="N76" i="5"/>
  <c r="Z76" i="5" s="1"/>
  <c r="P75" i="5"/>
  <c r="O75" i="5"/>
  <c r="N75" i="5"/>
  <c r="P74" i="5"/>
  <c r="O74" i="5"/>
  <c r="AJ74" i="5" s="1"/>
  <c r="N74" i="5"/>
  <c r="Z74" i="5" s="1"/>
  <c r="P73" i="5"/>
  <c r="O73" i="5"/>
  <c r="AU73" i="5" s="1"/>
  <c r="N73" i="5"/>
  <c r="Z73" i="5" s="1"/>
  <c r="P72" i="5"/>
  <c r="O72" i="5"/>
  <c r="AU72" i="5" s="1"/>
  <c r="N72" i="5"/>
  <c r="Z72" i="5" s="1"/>
  <c r="P71" i="5"/>
  <c r="O71" i="5"/>
  <c r="AU71" i="5" s="1"/>
  <c r="N71" i="5"/>
  <c r="P70" i="5"/>
  <c r="O70" i="5"/>
  <c r="AJ70" i="5" s="1"/>
  <c r="N70" i="5"/>
  <c r="P69" i="5"/>
  <c r="O69" i="5"/>
  <c r="AU69" i="5" s="1"/>
  <c r="N69" i="5"/>
  <c r="Z69" i="5" s="1"/>
  <c r="P68" i="5"/>
  <c r="O68" i="5"/>
  <c r="N68" i="5"/>
  <c r="Z68" i="5" s="1"/>
  <c r="P67" i="5"/>
  <c r="O67" i="5"/>
  <c r="N67" i="5"/>
  <c r="Z67" i="5" s="1"/>
  <c r="P66" i="5"/>
  <c r="O66" i="5"/>
  <c r="AJ66" i="5" s="1"/>
  <c r="N66" i="5"/>
  <c r="P65" i="5"/>
  <c r="O65" i="5"/>
  <c r="AU65" i="5" s="1"/>
  <c r="N65" i="5"/>
  <c r="Z65" i="5" s="1"/>
  <c r="P64" i="5"/>
  <c r="O64" i="5"/>
  <c r="AU64" i="5" s="1"/>
  <c r="N64" i="5"/>
  <c r="P63" i="5"/>
  <c r="O63" i="5"/>
  <c r="AJ63" i="5" s="1"/>
  <c r="N63" i="5"/>
  <c r="P62" i="5"/>
  <c r="O62" i="5"/>
  <c r="AJ62" i="5" s="1"/>
  <c r="N62" i="5"/>
  <c r="P61" i="5"/>
  <c r="O61" i="5"/>
  <c r="AU61" i="5" s="1"/>
  <c r="N61" i="5"/>
  <c r="Z61" i="5" s="1"/>
  <c r="P60" i="5"/>
  <c r="O60" i="5"/>
  <c r="N60" i="5"/>
  <c r="P59" i="5"/>
  <c r="O59" i="5"/>
  <c r="N59" i="5"/>
  <c r="Z59" i="5" s="1"/>
  <c r="P58" i="5"/>
  <c r="O58" i="5"/>
  <c r="AU58" i="5" s="1"/>
  <c r="N58" i="5"/>
  <c r="Z58" i="5" s="1"/>
  <c r="P57" i="5"/>
  <c r="O57" i="5"/>
  <c r="AU57" i="5" s="1"/>
  <c r="N57" i="5"/>
  <c r="Z57" i="5" s="1"/>
  <c r="P56" i="5"/>
  <c r="O56" i="5"/>
  <c r="AU56" i="5" s="1"/>
  <c r="N56" i="5"/>
  <c r="Z56" i="5" s="1"/>
  <c r="P55" i="5"/>
  <c r="O55" i="5"/>
  <c r="AU55" i="5" s="1"/>
  <c r="N55" i="5"/>
  <c r="P54" i="5"/>
  <c r="O54" i="5"/>
  <c r="AU54" i="5" s="1"/>
  <c r="N54" i="5"/>
  <c r="P53" i="5"/>
  <c r="O53" i="5"/>
  <c r="AU53" i="5" s="1"/>
  <c r="N53" i="5"/>
  <c r="Z53" i="5" s="1"/>
  <c r="P52" i="5"/>
  <c r="O52" i="5"/>
  <c r="N52" i="5"/>
  <c r="Z52" i="5" s="1"/>
  <c r="P51" i="5"/>
  <c r="O51" i="5"/>
  <c r="N51" i="5"/>
  <c r="Z51" i="5" s="1"/>
  <c r="P50" i="5"/>
  <c r="O50" i="5"/>
  <c r="AU50" i="5" s="1"/>
  <c r="N50" i="5"/>
  <c r="Z50" i="5" s="1"/>
  <c r="P49" i="5"/>
  <c r="O49" i="5"/>
  <c r="AJ49" i="5" s="1"/>
  <c r="N49" i="5"/>
  <c r="Z49" i="5" s="1"/>
  <c r="P48" i="5"/>
  <c r="O48" i="5"/>
  <c r="AU48" i="5" s="1"/>
  <c r="N48" i="5"/>
  <c r="Z48" i="5" s="1"/>
  <c r="P47" i="5"/>
  <c r="O47" i="5"/>
  <c r="AJ47" i="5" s="1"/>
  <c r="N47" i="5"/>
  <c r="P46" i="5"/>
  <c r="O46" i="5"/>
  <c r="AU46" i="5" s="1"/>
  <c r="N46" i="5"/>
  <c r="P45" i="5"/>
  <c r="O45" i="5"/>
  <c r="AU45" i="5" s="1"/>
  <c r="N45" i="5"/>
  <c r="Z45" i="5" s="1"/>
  <c r="P44" i="5"/>
  <c r="O44" i="5"/>
  <c r="N44" i="5"/>
  <c r="P43" i="5"/>
  <c r="O43" i="5"/>
  <c r="N43" i="5"/>
  <c r="Z43" i="5" s="1"/>
  <c r="P42" i="5"/>
  <c r="O42" i="5"/>
  <c r="AJ42" i="5" s="1"/>
  <c r="N42" i="5"/>
  <c r="Z42" i="5" s="1"/>
  <c r="P41" i="5"/>
  <c r="O41" i="5"/>
  <c r="AJ41" i="5" s="1"/>
  <c r="N41" i="5"/>
  <c r="Z41" i="5" s="1"/>
  <c r="P40" i="5"/>
  <c r="O40" i="5"/>
  <c r="AJ40" i="5" s="1"/>
  <c r="N40" i="5"/>
  <c r="P39" i="5"/>
  <c r="O39" i="5"/>
  <c r="AJ39" i="5" s="1"/>
  <c r="N39" i="5"/>
  <c r="P38" i="5"/>
  <c r="O38" i="5"/>
  <c r="AU38" i="5" s="1"/>
  <c r="N38" i="5"/>
  <c r="P37" i="5"/>
  <c r="O37" i="5"/>
  <c r="AJ37" i="5" s="1"/>
  <c r="N37" i="5"/>
  <c r="Z37" i="5" s="1"/>
  <c r="P36" i="5"/>
  <c r="O36" i="5"/>
  <c r="N36" i="5"/>
  <c r="Z36" i="5" s="1"/>
  <c r="P35" i="5"/>
  <c r="O35" i="5"/>
  <c r="N35" i="5"/>
  <c r="P34" i="5"/>
  <c r="O34" i="5"/>
  <c r="AU34" i="5" s="1"/>
  <c r="N34" i="5"/>
  <c r="Z34" i="5" s="1"/>
  <c r="P33" i="5"/>
  <c r="O33" i="5"/>
  <c r="AJ33" i="5" s="1"/>
  <c r="N33" i="5"/>
  <c r="Z33" i="5" s="1"/>
  <c r="P32" i="5"/>
  <c r="O32" i="5"/>
  <c r="AJ32" i="5" s="1"/>
  <c r="N32" i="5"/>
  <c r="Z32" i="5" s="1"/>
  <c r="P31" i="5"/>
  <c r="O31" i="5"/>
  <c r="AU31" i="5" s="1"/>
  <c r="N31" i="5"/>
  <c r="P30" i="5"/>
  <c r="O30" i="5"/>
  <c r="AU30" i="5" s="1"/>
  <c r="N30" i="5"/>
  <c r="P29" i="5"/>
  <c r="O29" i="5"/>
  <c r="AU29" i="5" s="1"/>
  <c r="N29" i="5"/>
  <c r="Z29" i="5" s="1"/>
  <c r="P28" i="5"/>
  <c r="O28" i="5"/>
  <c r="N28" i="5"/>
  <c r="Z28" i="5" s="1"/>
  <c r="P27" i="5"/>
  <c r="O27" i="5"/>
  <c r="N27" i="5"/>
  <c r="Z27" i="5" s="1"/>
  <c r="P26" i="5"/>
  <c r="O26" i="5"/>
  <c r="AJ26" i="5" s="1"/>
  <c r="N26" i="5"/>
  <c r="P25" i="5"/>
  <c r="O25" i="5"/>
  <c r="AJ25" i="5" s="1"/>
  <c r="N25" i="5"/>
  <c r="Z25" i="5" s="1"/>
  <c r="P24" i="5"/>
  <c r="O24" i="5"/>
  <c r="AU24" i="5" s="1"/>
  <c r="N24" i="5"/>
  <c r="Z24" i="5" s="1"/>
  <c r="P23" i="5"/>
  <c r="O23" i="5"/>
  <c r="AU23" i="5" s="1"/>
  <c r="N23" i="5"/>
  <c r="P22" i="5"/>
  <c r="O22" i="5"/>
  <c r="AJ22" i="5" s="1"/>
  <c r="N22" i="5"/>
  <c r="P21" i="5"/>
  <c r="O21" i="5"/>
  <c r="AU21" i="5" s="1"/>
  <c r="N21" i="5"/>
  <c r="Z21" i="5" s="1"/>
  <c r="P20" i="5"/>
  <c r="O20" i="5"/>
  <c r="N20" i="5"/>
  <c r="Z20" i="5" s="1"/>
  <c r="P19" i="5"/>
  <c r="O19" i="5"/>
  <c r="N19" i="5"/>
  <c r="P18" i="5"/>
  <c r="O18" i="5"/>
  <c r="AU18" i="5" s="1"/>
  <c r="N18" i="5"/>
  <c r="Z18" i="5" s="1"/>
  <c r="P17" i="5"/>
  <c r="O17" i="5"/>
  <c r="AJ17" i="5" s="1"/>
  <c r="N17" i="5"/>
  <c r="Z17" i="5" s="1"/>
  <c r="P16" i="5"/>
  <c r="O16" i="5"/>
  <c r="AJ16" i="5" s="1"/>
  <c r="N16" i="5"/>
  <c r="Z16" i="5" s="1"/>
  <c r="P15" i="5"/>
  <c r="O15" i="5"/>
  <c r="AU15" i="5" s="1"/>
  <c r="N15" i="5"/>
  <c r="P14" i="5"/>
  <c r="O14" i="5"/>
  <c r="AJ14" i="5" s="1"/>
  <c r="N14" i="5"/>
  <c r="P13" i="5"/>
  <c r="O13" i="5"/>
  <c r="AU13" i="5" s="1"/>
  <c r="N13" i="5"/>
  <c r="Z13" i="5" s="1"/>
  <c r="P12" i="5"/>
  <c r="O12" i="5"/>
  <c r="N12" i="5"/>
  <c r="Z12" i="5" s="1"/>
  <c r="P11" i="5"/>
  <c r="O11" i="5"/>
  <c r="N11" i="5"/>
  <c r="Z11" i="5" s="1"/>
  <c r="P10" i="5"/>
  <c r="O10" i="5"/>
  <c r="AJ10" i="5" s="1"/>
  <c r="N10" i="5"/>
  <c r="Z10" i="5" s="1"/>
  <c r="P9" i="5"/>
  <c r="O9" i="5"/>
  <c r="AJ9" i="5" s="1"/>
  <c r="N9" i="5"/>
  <c r="Z9" i="5" s="1"/>
  <c r="P8" i="5"/>
  <c r="O8" i="5"/>
  <c r="AU8" i="5" s="1"/>
  <c r="N8" i="5"/>
  <c r="Z8" i="5" s="1"/>
  <c r="P7" i="5"/>
  <c r="O7" i="5"/>
  <c r="AJ7" i="5" s="1"/>
  <c r="N7" i="5"/>
  <c r="P6" i="5"/>
  <c r="O6" i="5"/>
  <c r="AJ6" i="5" s="1"/>
  <c r="N6" i="5"/>
  <c r="P5" i="5"/>
  <c r="O5" i="5"/>
  <c r="AU5" i="5" s="1"/>
  <c r="N5" i="5"/>
  <c r="Z5" i="5" s="1"/>
  <c r="P4" i="5"/>
  <c r="O4" i="5"/>
  <c r="N4" i="5"/>
  <c r="Z4" i="5" s="1"/>
  <c r="AU140" i="5"/>
  <c r="AS140" i="5"/>
  <c r="AT140" i="5" s="1"/>
  <c r="AJ140" i="5"/>
  <c r="AI140" i="5"/>
  <c r="AK140" i="5" s="1"/>
  <c r="Z140" i="5"/>
  <c r="AU139" i="5"/>
  <c r="AS139" i="5"/>
  <c r="AT139" i="5" s="1"/>
  <c r="AJ139" i="5"/>
  <c r="AI139" i="5"/>
  <c r="AK139" i="5" s="1"/>
  <c r="AS138" i="5"/>
  <c r="AT138" i="5" s="1"/>
  <c r="AI138" i="5"/>
  <c r="AO138" i="5" s="1"/>
  <c r="AQ138" i="5" s="1"/>
  <c r="Z138" i="5"/>
  <c r="AS137" i="5"/>
  <c r="AT137" i="5" s="1"/>
  <c r="AI137" i="5"/>
  <c r="AK137" i="5" s="1"/>
  <c r="AN137" i="5" s="1"/>
  <c r="AS136" i="5"/>
  <c r="AT136" i="5" s="1"/>
  <c r="AI136" i="5"/>
  <c r="AK136" i="5" s="1"/>
  <c r="AS135" i="5"/>
  <c r="AT135" i="5" s="1"/>
  <c r="AI135" i="5"/>
  <c r="AO135" i="5" s="1"/>
  <c r="Z135" i="5"/>
  <c r="AS134" i="5"/>
  <c r="AT134" i="5" s="1"/>
  <c r="AI134" i="5"/>
  <c r="Z134" i="5"/>
  <c r="AS133" i="5"/>
  <c r="AT133" i="5" s="1"/>
  <c r="AI133" i="5"/>
  <c r="AU132" i="5"/>
  <c r="AS132" i="5"/>
  <c r="AT132" i="5" s="1"/>
  <c r="AJ132" i="5"/>
  <c r="AI132" i="5"/>
  <c r="Z132" i="5"/>
  <c r="AU131" i="5"/>
  <c r="AS131" i="5"/>
  <c r="AT131" i="5" s="1"/>
  <c r="AJ131" i="5"/>
  <c r="AI131" i="5"/>
  <c r="AK131" i="5" s="1"/>
  <c r="AL131" i="5" s="1"/>
  <c r="AS130" i="5"/>
  <c r="AT130" i="5" s="1"/>
  <c r="AI130" i="5"/>
  <c r="AO130" i="5" s="1"/>
  <c r="AQ130" i="5" s="1"/>
  <c r="AS129" i="5"/>
  <c r="AT129" i="5" s="1"/>
  <c r="AI129" i="5"/>
  <c r="AK129" i="5" s="1"/>
  <c r="AS128" i="5"/>
  <c r="AT128" i="5" s="1"/>
  <c r="AI128" i="5"/>
  <c r="AK128" i="5" s="1"/>
  <c r="Z128" i="5"/>
  <c r="AU127" i="5"/>
  <c r="AS127" i="5"/>
  <c r="AT127" i="5" s="1"/>
  <c r="AI127" i="5"/>
  <c r="AO127" i="5" s="1"/>
  <c r="Z127" i="5"/>
  <c r="AS126" i="5"/>
  <c r="AT126" i="5" s="1"/>
  <c r="AI126" i="5"/>
  <c r="AO126" i="5" s="1"/>
  <c r="Z126" i="5"/>
  <c r="AU125" i="5"/>
  <c r="AS125" i="5"/>
  <c r="AT125" i="5" s="1"/>
  <c r="AI125" i="5"/>
  <c r="AO125" i="5" s="1"/>
  <c r="AU124" i="5"/>
  <c r="AS124" i="5"/>
  <c r="AT124" i="5" s="1"/>
  <c r="AJ124" i="5"/>
  <c r="AI124" i="5"/>
  <c r="AU123" i="5"/>
  <c r="AS123" i="5"/>
  <c r="AT123" i="5" s="1"/>
  <c r="AJ123" i="5"/>
  <c r="AI123" i="5"/>
  <c r="AS122" i="5"/>
  <c r="AT122" i="5" s="1"/>
  <c r="AI122" i="5"/>
  <c r="AS121" i="5"/>
  <c r="AT121" i="5" s="1"/>
  <c r="AI121" i="5"/>
  <c r="AS120" i="5"/>
  <c r="AT120" i="5" s="1"/>
  <c r="AJ120" i="5"/>
  <c r="AI120" i="5"/>
  <c r="AK120" i="5" s="1"/>
  <c r="AS119" i="5"/>
  <c r="AT119" i="5" s="1"/>
  <c r="AI119" i="5"/>
  <c r="AK119" i="5" s="1"/>
  <c r="AL119" i="5" s="1"/>
  <c r="Z119" i="5"/>
  <c r="AS118" i="5"/>
  <c r="AT118" i="5" s="1"/>
  <c r="AI118" i="5"/>
  <c r="AO118" i="5" s="1"/>
  <c r="AR118" i="5" s="1"/>
  <c r="Z118" i="5"/>
  <c r="AS117" i="5"/>
  <c r="AT117" i="5" s="1"/>
  <c r="AI117" i="5"/>
  <c r="AK117" i="5" s="1"/>
  <c r="AN117" i="5" s="1"/>
  <c r="AU116" i="5"/>
  <c r="AS116" i="5"/>
  <c r="AT116" i="5" s="1"/>
  <c r="AJ116" i="5"/>
  <c r="AI116" i="5"/>
  <c r="AO116" i="5" s="1"/>
  <c r="AU115" i="5"/>
  <c r="AS115" i="5"/>
  <c r="AT115" i="5" s="1"/>
  <c r="AJ115" i="5"/>
  <c r="AI115" i="5"/>
  <c r="AO115" i="5" s="1"/>
  <c r="AS114" i="5"/>
  <c r="AT114" i="5" s="1"/>
  <c r="AI114" i="5"/>
  <c r="AS113" i="5"/>
  <c r="AT113" i="5" s="1"/>
  <c r="AI113" i="5"/>
  <c r="AU112" i="5"/>
  <c r="AS112" i="5"/>
  <c r="AT112" i="5" s="1"/>
  <c r="AI112" i="5"/>
  <c r="AK112" i="5" s="1"/>
  <c r="Z112" i="5"/>
  <c r="AS111" i="5"/>
  <c r="AT111" i="5" s="1"/>
  <c r="AI111" i="5"/>
  <c r="AO111" i="5" s="1"/>
  <c r="Z111" i="5"/>
  <c r="AS110" i="5"/>
  <c r="AT110" i="5" s="1"/>
  <c r="AI110" i="5"/>
  <c r="AK110" i="5" s="1"/>
  <c r="Z110" i="5"/>
  <c r="AS109" i="5"/>
  <c r="AT109" i="5" s="1"/>
  <c r="AJ109" i="5"/>
  <c r="AI109" i="5"/>
  <c r="AK109" i="5" s="1"/>
  <c r="AL109" i="5" s="1"/>
  <c r="AU108" i="5"/>
  <c r="AS108" i="5"/>
  <c r="AT108" i="5" s="1"/>
  <c r="AJ108" i="5"/>
  <c r="AI108" i="5"/>
  <c r="AO108" i="5" s="1"/>
  <c r="AP108" i="5" s="1"/>
  <c r="AU107" i="5"/>
  <c r="AS107" i="5"/>
  <c r="AT107" i="5" s="1"/>
  <c r="AJ107" i="5"/>
  <c r="AI107" i="5"/>
  <c r="AO107" i="5" s="1"/>
  <c r="AS106" i="5"/>
  <c r="AT106" i="5" s="1"/>
  <c r="AI106" i="5"/>
  <c r="AO106" i="5" s="1"/>
  <c r="AS105" i="5"/>
  <c r="AT105" i="5" s="1"/>
  <c r="AI105" i="5"/>
  <c r="AS104" i="5"/>
  <c r="AT104" i="5" s="1"/>
  <c r="AI104" i="5"/>
  <c r="Z104" i="5"/>
  <c r="AS103" i="5"/>
  <c r="AT103" i="5" s="1"/>
  <c r="AI103" i="5"/>
  <c r="AO103" i="5" s="1"/>
  <c r="Z103" i="5"/>
  <c r="AS102" i="5"/>
  <c r="AT102" i="5" s="1"/>
  <c r="AI102" i="5"/>
  <c r="AO102" i="5" s="1"/>
  <c r="AQ102" i="5" s="1"/>
  <c r="Z102" i="5"/>
  <c r="AU101" i="5"/>
  <c r="AS101" i="5"/>
  <c r="AT101" i="5" s="1"/>
  <c r="AI101" i="5"/>
  <c r="AK101" i="5" s="1"/>
  <c r="AN101" i="5" s="1"/>
  <c r="AU100" i="5"/>
  <c r="AS100" i="5"/>
  <c r="AT100" i="5" s="1"/>
  <c r="AJ100" i="5"/>
  <c r="AI100" i="5"/>
  <c r="AK100" i="5" s="1"/>
  <c r="AU99" i="5"/>
  <c r="AS99" i="5"/>
  <c r="AT99" i="5" s="1"/>
  <c r="AJ99" i="5"/>
  <c r="AI99" i="5"/>
  <c r="AK99" i="5" s="1"/>
  <c r="Z99" i="5"/>
  <c r="AS98" i="5"/>
  <c r="AT98" i="5" s="1"/>
  <c r="AI98" i="5"/>
  <c r="AK98" i="5" s="1"/>
  <c r="AS97" i="5"/>
  <c r="AT97" i="5" s="1"/>
  <c r="AJ97" i="5"/>
  <c r="AI97" i="5"/>
  <c r="AO97" i="5" s="1"/>
  <c r="Z97" i="5"/>
  <c r="AS96" i="5"/>
  <c r="AT96" i="5" s="1"/>
  <c r="AI96" i="5"/>
  <c r="AS95" i="5"/>
  <c r="AT95" i="5" s="1"/>
  <c r="AI95" i="5"/>
  <c r="Z95" i="5"/>
  <c r="AS94" i="5"/>
  <c r="AT94" i="5" s="1"/>
  <c r="AI94" i="5"/>
  <c r="AO94" i="5" s="1"/>
  <c r="Z94" i="5"/>
  <c r="AS93" i="5"/>
  <c r="AT93" i="5" s="1"/>
  <c r="AI93" i="5"/>
  <c r="AK93" i="5" s="1"/>
  <c r="AL93" i="5" s="1"/>
  <c r="AU92" i="5"/>
  <c r="AS92" i="5"/>
  <c r="AT92" i="5" s="1"/>
  <c r="AJ92" i="5"/>
  <c r="AI92" i="5"/>
  <c r="AK92" i="5" s="1"/>
  <c r="AM92" i="5" s="1"/>
  <c r="AU91" i="5"/>
  <c r="AS91" i="5"/>
  <c r="AT91" i="5" s="1"/>
  <c r="AJ91" i="5"/>
  <c r="AI91" i="5"/>
  <c r="AK91" i="5" s="1"/>
  <c r="AS90" i="5"/>
  <c r="AT90" i="5" s="1"/>
  <c r="AI90" i="5"/>
  <c r="AK90" i="5" s="1"/>
  <c r="AS89" i="5"/>
  <c r="AT89" i="5" s="1"/>
  <c r="AI89" i="5"/>
  <c r="AO89" i="5" s="1"/>
  <c r="AP89" i="5" s="1"/>
  <c r="AS88" i="5"/>
  <c r="AT88" i="5" s="1"/>
  <c r="AI88" i="5"/>
  <c r="AS87" i="5"/>
  <c r="AT87" i="5" s="1"/>
  <c r="AI87" i="5"/>
  <c r="Z87" i="5"/>
  <c r="AS86" i="5"/>
  <c r="AT86" i="5" s="1"/>
  <c r="AI86" i="5"/>
  <c r="AO86" i="5" s="1"/>
  <c r="Z86" i="5"/>
  <c r="AS85" i="5"/>
  <c r="AT85" i="5" s="1"/>
  <c r="AI85" i="5"/>
  <c r="AK85" i="5" s="1"/>
  <c r="AU84" i="5"/>
  <c r="AS84" i="5"/>
  <c r="AT84" i="5" s="1"/>
  <c r="AJ84" i="5"/>
  <c r="AI84" i="5"/>
  <c r="AK84" i="5" s="1"/>
  <c r="AM84" i="5" s="1"/>
  <c r="AU83" i="5"/>
  <c r="AS83" i="5"/>
  <c r="AT83" i="5" s="1"/>
  <c r="AJ83" i="5"/>
  <c r="AI83" i="5"/>
  <c r="AK83" i="5" s="1"/>
  <c r="AS82" i="5"/>
  <c r="AT82" i="5" s="1"/>
  <c r="AI82" i="5"/>
  <c r="AK82" i="5" s="1"/>
  <c r="AN82" i="5" s="1"/>
  <c r="AS81" i="5"/>
  <c r="AT81" i="5" s="1"/>
  <c r="AI81" i="5"/>
  <c r="AS80" i="5"/>
  <c r="AT80" i="5" s="1"/>
  <c r="AJ80" i="5"/>
  <c r="AI80" i="5"/>
  <c r="Z80" i="5"/>
  <c r="AS79" i="5"/>
  <c r="AT79" i="5" s="1"/>
  <c r="AI79" i="5"/>
  <c r="Z79" i="5"/>
  <c r="AS78" i="5"/>
  <c r="AT78" i="5" s="1"/>
  <c r="AI78" i="5"/>
  <c r="AO78" i="5" s="1"/>
  <c r="AQ78" i="5" s="1"/>
  <c r="Z78" i="5"/>
  <c r="AS77" i="5"/>
  <c r="AT77" i="5" s="1"/>
  <c r="AJ77" i="5"/>
  <c r="AI77" i="5"/>
  <c r="AK77" i="5" s="1"/>
  <c r="AU76" i="5"/>
  <c r="AS76" i="5"/>
  <c r="AT76" i="5" s="1"/>
  <c r="AJ76" i="5"/>
  <c r="AI76" i="5"/>
  <c r="AK76" i="5" s="1"/>
  <c r="AN76" i="5" s="1"/>
  <c r="AU75" i="5"/>
  <c r="AS75" i="5"/>
  <c r="AT75" i="5" s="1"/>
  <c r="AJ75" i="5"/>
  <c r="AI75" i="5"/>
  <c r="AO75" i="5" s="1"/>
  <c r="Z75" i="5"/>
  <c r="AS74" i="5"/>
  <c r="AT74" i="5" s="1"/>
  <c r="AI74" i="5"/>
  <c r="AK74" i="5" s="1"/>
  <c r="AS73" i="5"/>
  <c r="AT73" i="5" s="1"/>
  <c r="AI73" i="5"/>
  <c r="AS72" i="5"/>
  <c r="AT72" i="5" s="1"/>
  <c r="AJ72" i="5"/>
  <c r="AI72" i="5"/>
  <c r="AS71" i="5"/>
  <c r="AT71" i="5" s="1"/>
  <c r="AI71" i="5"/>
  <c r="Z71" i="5"/>
  <c r="AS70" i="5"/>
  <c r="AT70" i="5" s="1"/>
  <c r="AI70" i="5"/>
  <c r="AK70" i="5" s="1"/>
  <c r="AL70" i="5" s="1"/>
  <c r="Z70" i="5"/>
  <c r="AS69" i="5"/>
  <c r="AT69" i="5" s="1"/>
  <c r="AI69" i="5"/>
  <c r="AK69" i="5" s="1"/>
  <c r="AU68" i="5"/>
  <c r="AS68" i="5"/>
  <c r="AT68" i="5" s="1"/>
  <c r="AJ68" i="5"/>
  <c r="AI68" i="5"/>
  <c r="AK68" i="5" s="1"/>
  <c r="AU67" i="5"/>
  <c r="AS67" i="5"/>
  <c r="AT67" i="5" s="1"/>
  <c r="AJ67" i="5"/>
  <c r="AI67" i="5"/>
  <c r="AK67" i="5" s="1"/>
  <c r="AS66" i="5"/>
  <c r="AT66" i="5" s="1"/>
  <c r="AI66" i="5"/>
  <c r="AK66" i="5" s="1"/>
  <c r="Z66" i="5"/>
  <c r="AS65" i="5"/>
  <c r="AT65" i="5" s="1"/>
  <c r="AJ65" i="5"/>
  <c r="AI65" i="5"/>
  <c r="AS64" i="5"/>
  <c r="AT64" i="5" s="1"/>
  <c r="AJ64" i="5"/>
  <c r="AI64" i="5"/>
  <c r="Z64" i="5"/>
  <c r="AS63" i="5"/>
  <c r="AT63" i="5" s="1"/>
  <c r="AI63" i="5"/>
  <c r="Z63" i="5"/>
  <c r="AS62" i="5"/>
  <c r="AT62" i="5" s="1"/>
  <c r="AI62" i="5"/>
  <c r="AK62" i="5" s="1"/>
  <c r="AL62" i="5" s="1"/>
  <c r="Z62" i="5"/>
  <c r="AS61" i="5"/>
  <c r="AT61" i="5" s="1"/>
  <c r="AJ61" i="5"/>
  <c r="AI61" i="5"/>
  <c r="AK61" i="5" s="1"/>
  <c r="AU60" i="5"/>
  <c r="AS60" i="5"/>
  <c r="AT60" i="5" s="1"/>
  <c r="AJ60" i="5"/>
  <c r="AI60" i="5"/>
  <c r="AK60" i="5" s="1"/>
  <c r="AN60" i="5" s="1"/>
  <c r="Z60" i="5"/>
  <c r="AU59" i="5"/>
  <c r="AS59" i="5"/>
  <c r="AT59" i="5" s="1"/>
  <c r="AJ59" i="5"/>
  <c r="AI59" i="5"/>
  <c r="AO59" i="5" s="1"/>
  <c r="AS58" i="5"/>
  <c r="AT58" i="5" s="1"/>
  <c r="AI58" i="5"/>
  <c r="AK58" i="5" s="1"/>
  <c r="AM58" i="5" s="1"/>
  <c r="AS57" i="5"/>
  <c r="AT57" i="5" s="1"/>
  <c r="AI57" i="5"/>
  <c r="AS56" i="5"/>
  <c r="AT56" i="5" s="1"/>
  <c r="AI56" i="5"/>
  <c r="AS55" i="5"/>
  <c r="AT55" i="5" s="1"/>
  <c r="AJ55" i="5"/>
  <c r="AI55" i="5"/>
  <c r="AO55" i="5" s="1"/>
  <c r="AR55" i="5" s="1"/>
  <c r="Z55" i="5"/>
  <c r="AS54" i="5"/>
  <c r="AT54" i="5" s="1"/>
  <c r="AI54" i="5"/>
  <c r="AK54" i="5" s="1"/>
  <c r="Z54" i="5"/>
  <c r="AS53" i="5"/>
  <c r="AT53" i="5" s="1"/>
  <c r="AI53" i="5"/>
  <c r="AU52" i="5"/>
  <c r="AS52" i="5"/>
  <c r="AT52" i="5" s="1"/>
  <c r="AJ52" i="5"/>
  <c r="AI52" i="5"/>
  <c r="AO52" i="5" s="1"/>
  <c r="AP52" i="5" s="1"/>
  <c r="AU51" i="5"/>
  <c r="AS51" i="5"/>
  <c r="AT51" i="5" s="1"/>
  <c r="AJ51" i="5"/>
  <c r="AI51" i="5"/>
  <c r="AK51" i="5" s="1"/>
  <c r="AL51" i="5" s="1"/>
  <c r="AS50" i="5"/>
  <c r="AT50" i="5" s="1"/>
  <c r="AI50" i="5"/>
  <c r="AK50" i="5" s="1"/>
  <c r="AL50" i="5" s="1"/>
  <c r="AS49" i="5"/>
  <c r="AT49" i="5" s="1"/>
  <c r="AI49" i="5"/>
  <c r="AK49" i="5" s="1"/>
  <c r="AL49" i="5" s="1"/>
  <c r="AS48" i="5"/>
  <c r="AT48" i="5" s="1"/>
  <c r="AJ48" i="5"/>
  <c r="AI48" i="5"/>
  <c r="AO48" i="5" s="1"/>
  <c r="AS47" i="5"/>
  <c r="AT47" i="5" s="1"/>
  <c r="AI47" i="5"/>
  <c r="AK47" i="5" s="1"/>
  <c r="AM47" i="5" s="1"/>
  <c r="Z47" i="5"/>
  <c r="AS46" i="5"/>
  <c r="AT46" i="5" s="1"/>
  <c r="AI46" i="5"/>
  <c r="Z46" i="5"/>
  <c r="AS45" i="5"/>
  <c r="AT45" i="5" s="1"/>
  <c r="AI45" i="5"/>
  <c r="AU44" i="5"/>
  <c r="AS44" i="5"/>
  <c r="AT44" i="5" s="1"/>
  <c r="AJ44" i="5"/>
  <c r="AI44" i="5"/>
  <c r="AO44" i="5" s="1"/>
  <c r="AP44" i="5" s="1"/>
  <c r="Z44" i="5"/>
  <c r="AU43" i="5"/>
  <c r="AS43" i="5"/>
  <c r="AT43" i="5" s="1"/>
  <c r="AJ43" i="5"/>
  <c r="AI43" i="5"/>
  <c r="AK43" i="5" s="1"/>
  <c r="AS42" i="5"/>
  <c r="AT42" i="5" s="1"/>
  <c r="AI42" i="5"/>
  <c r="AK42" i="5" s="1"/>
  <c r="AS41" i="5"/>
  <c r="AT41" i="5" s="1"/>
  <c r="AI41" i="5"/>
  <c r="AO41" i="5" s="1"/>
  <c r="AU40" i="5"/>
  <c r="AS40" i="5"/>
  <c r="AT40" i="5" s="1"/>
  <c r="AI40" i="5"/>
  <c r="AO40" i="5" s="1"/>
  <c r="Z40" i="5"/>
  <c r="AS39" i="5"/>
  <c r="AT39" i="5" s="1"/>
  <c r="AI39" i="5"/>
  <c r="AK39" i="5" s="1"/>
  <c r="AM39" i="5" s="1"/>
  <c r="Z39" i="5"/>
  <c r="AS38" i="5"/>
  <c r="AT38" i="5" s="1"/>
  <c r="AI38" i="5"/>
  <c r="AO38" i="5" s="1"/>
  <c r="AP38" i="5" s="1"/>
  <c r="Z38" i="5"/>
  <c r="AU37" i="5"/>
  <c r="AS37" i="5"/>
  <c r="AT37" i="5" s="1"/>
  <c r="AI37" i="5"/>
  <c r="AU36" i="5"/>
  <c r="AS36" i="5"/>
  <c r="AT36" i="5" s="1"/>
  <c r="AJ36" i="5"/>
  <c r="AI36" i="5"/>
  <c r="AU35" i="5"/>
  <c r="AS35" i="5"/>
  <c r="AT35" i="5" s="1"/>
  <c r="AJ35" i="5"/>
  <c r="AI35" i="5"/>
  <c r="AK35" i="5" s="1"/>
  <c r="Z35" i="5"/>
  <c r="AS34" i="5"/>
  <c r="AT34" i="5" s="1"/>
  <c r="AI34" i="5"/>
  <c r="AU33" i="5"/>
  <c r="AS33" i="5"/>
  <c r="AT33" i="5" s="1"/>
  <c r="AI33" i="5"/>
  <c r="AO33" i="5" s="1"/>
  <c r="AS32" i="5"/>
  <c r="AT32" i="5" s="1"/>
  <c r="AI32" i="5"/>
  <c r="AO32" i="5" s="1"/>
  <c r="AS31" i="5"/>
  <c r="AT31" i="5" s="1"/>
  <c r="AI31" i="5"/>
  <c r="AK31" i="5" s="1"/>
  <c r="AM31" i="5" s="1"/>
  <c r="Z31" i="5"/>
  <c r="AS30" i="5"/>
  <c r="AT30" i="5" s="1"/>
  <c r="AI30" i="5"/>
  <c r="Z30" i="5"/>
  <c r="AS29" i="5"/>
  <c r="AT29" i="5" s="1"/>
  <c r="AI29" i="5"/>
  <c r="AU28" i="5"/>
  <c r="AS28" i="5"/>
  <c r="AT28" i="5" s="1"/>
  <c r="AJ28" i="5"/>
  <c r="AI28" i="5"/>
  <c r="AO28" i="5" s="1"/>
  <c r="AU27" i="5"/>
  <c r="AS27" i="5"/>
  <c r="AT27" i="5" s="1"/>
  <c r="AJ27" i="5"/>
  <c r="AI27" i="5"/>
  <c r="AK27" i="5" s="1"/>
  <c r="AS26" i="5"/>
  <c r="AT26" i="5" s="1"/>
  <c r="AI26" i="5"/>
  <c r="Z26" i="5"/>
  <c r="AU25" i="5"/>
  <c r="AS25" i="5"/>
  <c r="AT25" i="5" s="1"/>
  <c r="AI25" i="5"/>
  <c r="AK25" i="5" s="1"/>
  <c r="AS24" i="5"/>
  <c r="AT24" i="5" s="1"/>
  <c r="AI24" i="5"/>
  <c r="AO24" i="5" s="1"/>
  <c r="AS23" i="5"/>
  <c r="AT23" i="5" s="1"/>
  <c r="AI23" i="5"/>
  <c r="AK23" i="5" s="1"/>
  <c r="Z23" i="5"/>
  <c r="AS22" i="5"/>
  <c r="AT22" i="5" s="1"/>
  <c r="AI22" i="5"/>
  <c r="AO22" i="5" s="1"/>
  <c r="AR22" i="5" s="1"/>
  <c r="Z22" i="5"/>
  <c r="AS21" i="5"/>
  <c r="AT21" i="5" s="1"/>
  <c r="AJ21" i="5"/>
  <c r="AI21" i="5"/>
  <c r="AU20" i="5"/>
  <c r="AS20" i="5"/>
  <c r="AT20" i="5" s="1"/>
  <c r="AJ20" i="5"/>
  <c r="AI20" i="5"/>
  <c r="AK20" i="5" s="1"/>
  <c r="AU19" i="5"/>
  <c r="AS19" i="5"/>
  <c r="AT19" i="5" s="1"/>
  <c r="AJ19" i="5"/>
  <c r="AI19" i="5"/>
  <c r="AK19" i="5" s="1"/>
  <c r="AL19" i="5" s="1"/>
  <c r="Z19" i="5"/>
  <c r="AS18" i="5"/>
  <c r="AT18" i="5" s="1"/>
  <c r="AI18" i="5"/>
  <c r="AU17" i="5"/>
  <c r="AS17" i="5"/>
  <c r="AT17" i="5" s="1"/>
  <c r="AI17" i="5"/>
  <c r="AK17" i="5" s="1"/>
  <c r="AS16" i="5"/>
  <c r="AT16" i="5" s="1"/>
  <c r="AI16" i="5"/>
  <c r="AK16" i="5" s="1"/>
  <c r="AS15" i="5"/>
  <c r="AT15" i="5" s="1"/>
  <c r="AJ15" i="5"/>
  <c r="AI15" i="5"/>
  <c r="AK15" i="5" s="1"/>
  <c r="AM15" i="5" s="1"/>
  <c r="Z15" i="5"/>
  <c r="AS14" i="5"/>
  <c r="AT14" i="5" s="1"/>
  <c r="AI14" i="5"/>
  <c r="Z14" i="5"/>
  <c r="AS13" i="5"/>
  <c r="AT13" i="5" s="1"/>
  <c r="AI13" i="5"/>
  <c r="AU12" i="5"/>
  <c r="AS12" i="5"/>
  <c r="AT12" i="5" s="1"/>
  <c r="AJ12" i="5"/>
  <c r="AI12" i="5"/>
  <c r="AK12" i="5" s="1"/>
  <c r="AU11" i="5"/>
  <c r="AS11" i="5"/>
  <c r="AT11" i="5" s="1"/>
  <c r="AJ11" i="5"/>
  <c r="AI11" i="5"/>
  <c r="AK11" i="5" s="1"/>
  <c r="AM11" i="5" s="1"/>
  <c r="AS10" i="5"/>
  <c r="AT10" i="5" s="1"/>
  <c r="AI10" i="5"/>
  <c r="AK10" i="5" s="1"/>
  <c r="AS9" i="5"/>
  <c r="AT9" i="5" s="1"/>
  <c r="AI9" i="5"/>
  <c r="AO9" i="5" s="1"/>
  <c r="AS8" i="5"/>
  <c r="AT8" i="5" s="1"/>
  <c r="AI8" i="5"/>
  <c r="AK8" i="5" s="1"/>
  <c r="AS7" i="5"/>
  <c r="AT7" i="5" s="1"/>
  <c r="AI7" i="5"/>
  <c r="AK7" i="5" s="1"/>
  <c r="AM7" i="5" s="1"/>
  <c r="Z7" i="5"/>
  <c r="AS6" i="5"/>
  <c r="AT6" i="5" s="1"/>
  <c r="AI6" i="5"/>
  <c r="AO6" i="5" s="1"/>
  <c r="Z6" i="5"/>
  <c r="AS5" i="5"/>
  <c r="AT5" i="5" s="1"/>
  <c r="AI5" i="5"/>
  <c r="AU4" i="5"/>
  <c r="AS4" i="5"/>
  <c r="AT4" i="5" s="1"/>
  <c r="AJ4" i="5"/>
  <c r="AI4" i="5"/>
  <c r="AJ5" i="5" l="1"/>
  <c r="AU10" i="5"/>
  <c r="AJ45" i="5"/>
  <c r="AJ85" i="5"/>
  <c r="AJ117" i="5"/>
  <c r="AJ122" i="5"/>
  <c r="AJ133" i="5"/>
  <c r="AJ13" i="5"/>
  <c r="AJ29" i="5"/>
  <c r="AJ53" i="5"/>
  <c r="AJ69" i="5"/>
  <c r="AU74" i="5"/>
  <c r="AU93" i="5"/>
  <c r="AK130" i="5"/>
  <c r="AO17" i="5"/>
  <c r="AQ17" i="5" s="1"/>
  <c r="AU90" i="5"/>
  <c r="AO15" i="5"/>
  <c r="AV15" i="5" s="1"/>
  <c r="AJ82" i="5"/>
  <c r="AL84" i="5"/>
  <c r="AU26" i="5"/>
  <c r="AU42" i="5"/>
  <c r="AJ114" i="5"/>
  <c r="AJ18" i="5"/>
  <c r="AO67" i="5"/>
  <c r="AJ98" i="5"/>
  <c r="AO31" i="5"/>
  <c r="AP31" i="5" s="1"/>
  <c r="AO100" i="5"/>
  <c r="AR100" i="5" s="1"/>
  <c r="AJ34" i="5"/>
  <c r="AU130" i="5"/>
  <c r="AV130" i="5" s="1"/>
  <c r="AL7" i="5"/>
  <c r="AK9" i="5"/>
  <c r="AN31" i="5"/>
  <c r="AU41" i="5"/>
  <c r="AM49" i="5"/>
  <c r="AJ57" i="5"/>
  <c r="AU89" i="5"/>
  <c r="AO16" i="5"/>
  <c r="AR16" i="5" s="1"/>
  <c r="AU49" i="5"/>
  <c r="AJ73" i="5"/>
  <c r="AK78" i="5"/>
  <c r="AO128" i="5"/>
  <c r="AK138" i="5"/>
  <c r="AL138" i="5" s="1"/>
  <c r="AO90" i="5"/>
  <c r="AP90" i="5" s="1"/>
  <c r="AO99" i="5"/>
  <c r="AR99" i="5" s="1"/>
  <c r="AO110" i="5"/>
  <c r="AR110" i="5" s="1"/>
  <c r="AO8" i="5"/>
  <c r="AP8" i="5" s="1"/>
  <c r="AJ105" i="5"/>
  <c r="AJ121" i="5"/>
  <c r="AL15" i="5"/>
  <c r="AJ81" i="5"/>
  <c r="AM109" i="5"/>
  <c r="AJ113" i="5"/>
  <c r="AK127" i="5"/>
  <c r="AL127" i="5" s="1"/>
  <c r="AJ129" i="5"/>
  <c r="AJ137" i="5"/>
  <c r="AU9" i="5"/>
  <c r="AO98" i="5"/>
  <c r="AV98" i="5" s="1"/>
  <c r="AW98" i="5" s="1"/>
  <c r="AK103" i="5"/>
  <c r="AN103" i="5" s="1"/>
  <c r="AN109" i="5"/>
  <c r="AO51" i="5"/>
  <c r="AQ51" i="5" s="1"/>
  <c r="AL8" i="5"/>
  <c r="AN8" i="5"/>
  <c r="AM8" i="5"/>
  <c r="AL83" i="5"/>
  <c r="AM83" i="5"/>
  <c r="AN83" i="5"/>
  <c r="AR6" i="5"/>
  <c r="AQ6" i="5"/>
  <c r="AP6" i="5"/>
  <c r="AN17" i="5"/>
  <c r="AM17" i="5"/>
  <c r="AL17" i="5"/>
  <c r="AQ86" i="5"/>
  <c r="AP86" i="5"/>
  <c r="AR86" i="5"/>
  <c r="AQ41" i="5"/>
  <c r="AR41" i="5"/>
  <c r="AM68" i="5"/>
  <c r="AL68" i="5"/>
  <c r="AN68" i="5"/>
  <c r="AQ103" i="5"/>
  <c r="AR103" i="5"/>
  <c r="AP103" i="5"/>
  <c r="AL16" i="5"/>
  <c r="AM16" i="5"/>
  <c r="AQ33" i="5"/>
  <c r="AR33" i="5"/>
  <c r="AQ111" i="5"/>
  <c r="AR111" i="5"/>
  <c r="AP111" i="5"/>
  <c r="AL99" i="5"/>
  <c r="AN99" i="5"/>
  <c r="AM99" i="5"/>
  <c r="AM10" i="5"/>
  <c r="AL10" i="5"/>
  <c r="AL67" i="5"/>
  <c r="AM67" i="5"/>
  <c r="AN67" i="5"/>
  <c r="AL91" i="5"/>
  <c r="AN91" i="5"/>
  <c r="AM91" i="5"/>
  <c r="AQ94" i="5"/>
  <c r="AP94" i="5"/>
  <c r="AR94" i="5"/>
  <c r="AL100" i="5"/>
  <c r="AN100" i="5"/>
  <c r="AQ52" i="5"/>
  <c r="AO25" i="5"/>
  <c r="AP25" i="5" s="1"/>
  <c r="AK28" i="5"/>
  <c r="AV28" i="5" s="1"/>
  <c r="AN49" i="5"/>
  <c r="AR52" i="5"/>
  <c r="AK59" i="5"/>
  <c r="AL59" i="5" s="1"/>
  <c r="AL60" i="5"/>
  <c r="AU62" i="5"/>
  <c r="AP78" i="5"/>
  <c r="AO83" i="5"/>
  <c r="AV83" i="5" s="1"/>
  <c r="AN84" i="5"/>
  <c r="AO91" i="5"/>
  <c r="AR91" i="5" s="1"/>
  <c r="AV99" i="5"/>
  <c r="AW99" i="5" s="1"/>
  <c r="AK102" i="5"/>
  <c r="AN102" i="5" s="1"/>
  <c r="AO109" i="5"/>
  <c r="AQ109" i="5" s="1"/>
  <c r="AK118" i="5"/>
  <c r="AN118" i="5" s="1"/>
  <c r="AR130" i="5"/>
  <c r="AR138" i="5"/>
  <c r="AO66" i="5"/>
  <c r="AP66" i="5" s="1"/>
  <c r="AK24" i="5"/>
  <c r="AK33" i="5"/>
  <c r="AK40" i="5"/>
  <c r="AV40" i="5" s="1"/>
  <c r="AW40" i="5" s="1"/>
  <c r="AK41" i="5"/>
  <c r="AL47" i="5"/>
  <c r="AK48" i="5"/>
  <c r="AN48" i="5" s="1"/>
  <c r="AO49" i="5"/>
  <c r="AM60" i="5"/>
  <c r="AR78" i="5"/>
  <c r="AO82" i="5"/>
  <c r="AR82" i="5" s="1"/>
  <c r="AM117" i="5"/>
  <c r="AO119" i="5"/>
  <c r="AN7" i="5"/>
  <c r="AU14" i="5"/>
  <c r="AJ30" i="5"/>
  <c r="AN47" i="5"/>
  <c r="AL58" i="5"/>
  <c r="AK75" i="5"/>
  <c r="AJ94" i="5"/>
  <c r="AK111" i="5"/>
  <c r="AM111" i="5" s="1"/>
  <c r="AO117" i="5"/>
  <c r="AR117" i="5" s="1"/>
  <c r="AO47" i="5"/>
  <c r="AP47" i="5" s="1"/>
  <c r="AN58" i="5"/>
  <c r="AO74" i="5"/>
  <c r="AV74" i="5" s="1"/>
  <c r="AM76" i="5"/>
  <c r="AK86" i="5"/>
  <c r="AM86" i="5" s="1"/>
  <c r="AK94" i="5"/>
  <c r="AV94" i="5" s="1"/>
  <c r="AO23" i="5"/>
  <c r="AV23" i="5" s="1"/>
  <c r="AK32" i="5"/>
  <c r="AL32" i="5" s="1"/>
  <c r="AN39" i="5"/>
  <c r="AO58" i="5"/>
  <c r="AR58" i="5" s="1"/>
  <c r="AK106" i="5"/>
  <c r="AM106" i="5" s="1"/>
  <c r="AO20" i="5"/>
  <c r="AQ20" i="5" s="1"/>
  <c r="AO39" i="5"/>
  <c r="AP39" i="5" s="1"/>
  <c r="AJ134" i="5"/>
  <c r="AO136" i="5"/>
  <c r="AJ23" i="5"/>
  <c r="AJ31" i="5"/>
  <c r="AJ87" i="5"/>
  <c r="AU119" i="5"/>
  <c r="AU135" i="5"/>
  <c r="AU39" i="5"/>
  <c r="AJ50" i="5"/>
  <c r="AU63" i="5"/>
  <c r="AU66" i="5"/>
  <c r="AJ106" i="5"/>
  <c r="AU7" i="5"/>
  <c r="AJ58" i="5"/>
  <c r="AJ71" i="5"/>
  <c r="AU78" i="5"/>
  <c r="AV78" i="5" s="1"/>
  <c r="AU138" i="5"/>
  <c r="AU22" i="5"/>
  <c r="AU47" i="5"/>
  <c r="AJ79" i="5"/>
  <c r="AJ111" i="5"/>
  <c r="AJ54" i="5"/>
  <c r="AU103" i="5"/>
  <c r="AU118" i="5"/>
  <c r="AJ95" i="5"/>
  <c r="AU70" i="5"/>
  <c r="AJ110" i="5"/>
  <c r="AJ24" i="5"/>
  <c r="AJ38" i="5"/>
  <c r="AJ136" i="5"/>
  <c r="AJ8" i="5"/>
  <c r="AU16" i="5"/>
  <c r="AU86" i="5"/>
  <c r="AJ88" i="5"/>
  <c r="AU126" i="5"/>
  <c r="AU32" i="5"/>
  <c r="AV59" i="5"/>
  <c r="AW59" i="5" s="1"/>
  <c r="AY59" i="5" s="1"/>
  <c r="AU128" i="5"/>
  <c r="AJ96" i="5"/>
  <c r="AU6" i="5"/>
  <c r="AJ46" i="5"/>
  <c r="AJ56" i="5"/>
  <c r="AU102" i="5"/>
  <c r="AJ104" i="5"/>
  <c r="AO13" i="5"/>
  <c r="AK13" i="5"/>
  <c r="AO45" i="5"/>
  <c r="AK45" i="5"/>
  <c r="AN54" i="5"/>
  <c r="AM54" i="5"/>
  <c r="AL54" i="5"/>
  <c r="AN93" i="5"/>
  <c r="AM93" i="5"/>
  <c r="AN20" i="5"/>
  <c r="AM20" i="5"/>
  <c r="AL20" i="5"/>
  <c r="AN42" i="5"/>
  <c r="AR32" i="5"/>
  <c r="AQ32" i="5"/>
  <c r="AP32" i="5"/>
  <c r="AO36" i="5"/>
  <c r="AK36" i="5"/>
  <c r="AL42" i="5"/>
  <c r="AN61" i="5"/>
  <c r="AM61" i="5"/>
  <c r="AL61" i="5"/>
  <c r="AK4" i="5"/>
  <c r="AO4" i="5"/>
  <c r="AN19" i="5"/>
  <c r="AM19" i="5"/>
  <c r="AO71" i="5"/>
  <c r="AK71" i="5"/>
  <c r="AM23" i="5"/>
  <c r="AN23" i="5"/>
  <c r="AL23" i="5"/>
  <c r="AN25" i="5"/>
  <c r="AM25" i="5"/>
  <c r="AL25" i="5"/>
  <c r="AO26" i="5"/>
  <c r="AK26" i="5"/>
  <c r="AN27" i="5"/>
  <c r="AM27" i="5"/>
  <c r="AL27" i="5"/>
  <c r="AN28" i="5"/>
  <c r="AL28" i="5"/>
  <c r="AM42" i="5"/>
  <c r="AN50" i="5"/>
  <c r="AM50" i="5"/>
  <c r="AK14" i="5"/>
  <c r="AO14" i="5"/>
  <c r="AL48" i="5"/>
  <c r="AM48" i="5"/>
  <c r="AR39" i="5"/>
  <c r="AO18" i="5"/>
  <c r="AK18" i="5"/>
  <c r="AP28" i="5"/>
  <c r="AR28" i="5"/>
  <c r="AQ28" i="5"/>
  <c r="AR38" i="5"/>
  <c r="AQ38" i="5"/>
  <c r="AK5" i="5"/>
  <c r="AN10" i="5"/>
  <c r="AQ22" i="5"/>
  <c r="AR24" i="5"/>
  <c r="AQ24" i="5"/>
  <c r="AP24" i="5"/>
  <c r="AR44" i="5"/>
  <c r="AK46" i="5"/>
  <c r="AR66" i="5"/>
  <c r="AO79" i="5"/>
  <c r="AK79" i="5"/>
  <c r="AK81" i="5"/>
  <c r="AO81" i="5"/>
  <c r="AL102" i="5"/>
  <c r="AO10" i="5"/>
  <c r="AV10" i="5" s="1"/>
  <c r="BB10" i="5" s="1"/>
  <c r="AN15" i="5"/>
  <c r="AK22" i="5"/>
  <c r="AR40" i="5"/>
  <c r="AQ40" i="5"/>
  <c r="AP40" i="5"/>
  <c r="AO46" i="5"/>
  <c r="AO53" i="5"/>
  <c r="AK53" i="5"/>
  <c r="AO56" i="5"/>
  <c r="AK56" i="5"/>
  <c r="AK73" i="5"/>
  <c r="AO73" i="5"/>
  <c r="AM74" i="5"/>
  <c r="AL74" i="5"/>
  <c r="AY99" i="5"/>
  <c r="AX99" i="5"/>
  <c r="AO5" i="5"/>
  <c r="AR15" i="5"/>
  <c r="AO21" i="5"/>
  <c r="AK21" i="5"/>
  <c r="AK30" i="5"/>
  <c r="AO34" i="5"/>
  <c r="AN35" i="5"/>
  <c r="AM35" i="5"/>
  <c r="AK57" i="5"/>
  <c r="AO57" i="5"/>
  <c r="AO63" i="5"/>
  <c r="AK63" i="5"/>
  <c r="AP15" i="5"/>
  <c r="AN16" i="5"/>
  <c r="AO29" i="5"/>
  <c r="AK29" i="5"/>
  <c r="AL31" i="5"/>
  <c r="AL35" i="5"/>
  <c r="AK44" i="5"/>
  <c r="AR48" i="5"/>
  <c r="AQ48" i="5"/>
  <c r="AP48" i="5"/>
  <c r="AP55" i="5"/>
  <c r="AQ55" i="5"/>
  <c r="AK65" i="5"/>
  <c r="AO65" i="5"/>
  <c r="AM66" i="5"/>
  <c r="AL66" i="5"/>
  <c r="AN74" i="5"/>
  <c r="AR75" i="5"/>
  <c r="AQ75" i="5"/>
  <c r="AP75" i="5"/>
  <c r="AQ9" i="5"/>
  <c r="AP9" i="5"/>
  <c r="AK34" i="5"/>
  <c r="AK38" i="5"/>
  <c r="AO42" i="5"/>
  <c r="AN43" i="5"/>
  <c r="AM43" i="5"/>
  <c r="AQ74" i="5"/>
  <c r="AN77" i="5"/>
  <c r="AM77" i="5"/>
  <c r="AL77" i="5"/>
  <c r="AN140" i="5"/>
  <c r="AM140" i="5"/>
  <c r="AL140" i="5"/>
  <c r="AN11" i="5"/>
  <c r="AN12" i="5"/>
  <c r="AM12" i="5"/>
  <c r="AL12" i="5"/>
  <c r="AK6" i="5"/>
  <c r="AO7" i="5"/>
  <c r="AR9" i="5"/>
  <c r="AL11" i="5"/>
  <c r="AO12" i="5"/>
  <c r="AV12" i="5" s="1"/>
  <c r="AW12" i="5" s="1"/>
  <c r="AP22" i="5"/>
  <c r="AO30" i="5"/>
  <c r="AR31" i="5"/>
  <c r="AQ31" i="5"/>
  <c r="AO37" i="5"/>
  <c r="AK37" i="5"/>
  <c r="AL39" i="5"/>
  <c r="AL43" i="5"/>
  <c r="AQ44" i="5"/>
  <c r="AO50" i="5"/>
  <c r="AN51" i="5"/>
  <c r="AM51" i="5"/>
  <c r="AK52" i="5"/>
  <c r="AN66" i="5"/>
  <c r="AR67" i="5"/>
  <c r="AQ67" i="5"/>
  <c r="AP67" i="5"/>
  <c r="AV67" i="5"/>
  <c r="AW67" i="5" s="1"/>
  <c r="AP74" i="5"/>
  <c r="AN78" i="5"/>
  <c r="AM78" i="5"/>
  <c r="AL78" i="5"/>
  <c r="AR97" i="5"/>
  <c r="AQ97" i="5"/>
  <c r="AP97" i="5"/>
  <c r="AN69" i="5"/>
  <c r="AQ83" i="5"/>
  <c r="AN85" i="5"/>
  <c r="AM85" i="5"/>
  <c r="AM98" i="5"/>
  <c r="AL98" i="5"/>
  <c r="AO123" i="5"/>
  <c r="AK123" i="5"/>
  <c r="AK133" i="5"/>
  <c r="AO133" i="5"/>
  <c r="AN139" i="5"/>
  <c r="AM139" i="5"/>
  <c r="AL139" i="5"/>
  <c r="AP17" i="5"/>
  <c r="AP33" i="5"/>
  <c r="AP41" i="5"/>
  <c r="AP49" i="5"/>
  <c r="AO64" i="5"/>
  <c r="AK64" i="5"/>
  <c r="AL69" i="5"/>
  <c r="AO72" i="5"/>
  <c r="AK72" i="5"/>
  <c r="AL85" i="5"/>
  <c r="AR89" i="5"/>
  <c r="AQ89" i="5"/>
  <c r="AO95" i="5"/>
  <c r="AK95" i="5"/>
  <c r="AO11" i="5"/>
  <c r="AO19" i="5"/>
  <c r="AO27" i="5"/>
  <c r="AV27" i="5" s="1"/>
  <c r="BB27" i="5" s="1"/>
  <c r="AO35" i="5"/>
  <c r="AV35" i="5" s="1"/>
  <c r="AO43" i="5"/>
  <c r="AV43" i="5" s="1"/>
  <c r="BB43" i="5" s="1"/>
  <c r="AK55" i="5"/>
  <c r="AR59" i="5"/>
  <c r="AQ59" i="5"/>
  <c r="AP59" i="5"/>
  <c r="AM69" i="5"/>
  <c r="AL76" i="5"/>
  <c r="AO80" i="5"/>
  <c r="AK80" i="5"/>
  <c r="AM90" i="5"/>
  <c r="AL90" i="5"/>
  <c r="AN92" i="5"/>
  <c r="AO96" i="5"/>
  <c r="AK96" i="5"/>
  <c r="AN98" i="5"/>
  <c r="AR106" i="5"/>
  <c r="AQ106" i="5"/>
  <c r="AP106" i="5"/>
  <c r="AN110" i="5"/>
  <c r="AM110" i="5"/>
  <c r="AL110" i="5"/>
  <c r="AV111" i="5"/>
  <c r="AL111" i="5"/>
  <c r="AN119" i="5"/>
  <c r="AM119" i="5"/>
  <c r="AO87" i="5"/>
  <c r="AK87" i="5"/>
  <c r="AR107" i="5"/>
  <c r="AQ107" i="5"/>
  <c r="AP107" i="5"/>
  <c r="AO61" i="5"/>
  <c r="AN62" i="5"/>
  <c r="AM62" i="5"/>
  <c r="AN70" i="5"/>
  <c r="AM70" i="5"/>
  <c r="AM82" i="5"/>
  <c r="AL82" i="5"/>
  <c r="AO88" i="5"/>
  <c r="AK88" i="5"/>
  <c r="AN90" i="5"/>
  <c r="AL92" i="5"/>
  <c r="AP100" i="5"/>
  <c r="AN112" i="5"/>
  <c r="AM112" i="5"/>
  <c r="AL112" i="5"/>
  <c r="AR125" i="5"/>
  <c r="AQ125" i="5"/>
  <c r="AP125" i="5"/>
  <c r="AN128" i="5"/>
  <c r="AM128" i="5"/>
  <c r="AL128" i="5"/>
  <c r="AR90" i="5"/>
  <c r="AQ90" i="5"/>
  <c r="AO124" i="5"/>
  <c r="AK124" i="5"/>
  <c r="AK114" i="5"/>
  <c r="AR115" i="5"/>
  <c r="AQ115" i="5"/>
  <c r="AR116" i="5"/>
  <c r="AQ116" i="5"/>
  <c r="AP116" i="5"/>
  <c r="AO122" i="5"/>
  <c r="AK122" i="5"/>
  <c r="AO60" i="5"/>
  <c r="AO68" i="5"/>
  <c r="AO76" i="5"/>
  <c r="AO84" i="5"/>
  <c r="AV84" i="5" s="1"/>
  <c r="AP91" i="5"/>
  <c r="AO92" i="5"/>
  <c r="AV92" i="5" s="1"/>
  <c r="AP99" i="5"/>
  <c r="AR108" i="5"/>
  <c r="AQ108" i="5"/>
  <c r="AP115" i="5"/>
  <c r="AO69" i="5"/>
  <c r="AV69" i="5" s="1"/>
  <c r="BB69" i="5" s="1"/>
  <c r="AO77" i="5"/>
  <c r="AV77" i="5" s="1"/>
  <c r="AO85" i="5"/>
  <c r="AK89" i="5"/>
  <c r="AQ91" i="5"/>
  <c r="AO93" i="5"/>
  <c r="AK97" i="5"/>
  <c r="AQ99" i="5"/>
  <c r="AL101" i="5"/>
  <c r="AO114" i="5"/>
  <c r="AO120" i="5"/>
  <c r="AN129" i="5"/>
  <c r="AM129" i="5"/>
  <c r="AL129" i="5"/>
  <c r="AN130" i="5"/>
  <c r="AM130" i="5"/>
  <c r="AO54" i="5"/>
  <c r="AV54" i="5" s="1"/>
  <c r="AO62" i="5"/>
  <c r="AO70" i="5"/>
  <c r="AM101" i="5"/>
  <c r="AR102" i="5"/>
  <c r="AP102" i="5"/>
  <c r="AL103" i="5"/>
  <c r="AO104" i="5"/>
  <c r="AO105" i="5"/>
  <c r="AO113" i="5"/>
  <c r="AL117" i="5"/>
  <c r="AR126" i="5"/>
  <c r="AQ126" i="5"/>
  <c r="AP126" i="5"/>
  <c r="AL130" i="5"/>
  <c r="AK107" i="5"/>
  <c r="AN120" i="5"/>
  <c r="AM120" i="5"/>
  <c r="AL120" i="5"/>
  <c r="AN136" i="5"/>
  <c r="AM136" i="5"/>
  <c r="AL136" i="5"/>
  <c r="AV136" i="5"/>
  <c r="AO139" i="5"/>
  <c r="AV139" i="5" s="1"/>
  <c r="AW139" i="5" s="1"/>
  <c r="AM100" i="5"/>
  <c r="AV100" i="5"/>
  <c r="AW100" i="5" s="1"/>
  <c r="AO101" i="5"/>
  <c r="AV101" i="5" s="1"/>
  <c r="BB101" i="5" s="1"/>
  <c r="AK104" i="5"/>
  <c r="AK105" i="5"/>
  <c r="AO112" i="5"/>
  <c r="AK113" i="5"/>
  <c r="AO121" i="5"/>
  <c r="AK121" i="5"/>
  <c r="AN131" i="5"/>
  <c r="AM131" i="5"/>
  <c r="AK134" i="5"/>
  <c r="AO134" i="5"/>
  <c r="AR127" i="5"/>
  <c r="AQ127" i="5"/>
  <c r="AO132" i="5"/>
  <c r="AK115" i="5"/>
  <c r="AP118" i="5"/>
  <c r="AP127" i="5"/>
  <c r="AQ128" i="5"/>
  <c r="AP128" i="5"/>
  <c r="AL137" i="5"/>
  <c r="AK108" i="5"/>
  <c r="AK116" i="5"/>
  <c r="AQ118" i="5"/>
  <c r="AO131" i="5"/>
  <c r="AV131" i="5" s="1"/>
  <c r="BB131" i="5" s="1"/>
  <c r="AK132" i="5"/>
  <c r="AR135" i="5"/>
  <c r="AQ135" i="5"/>
  <c r="AM137" i="5"/>
  <c r="AO140" i="5"/>
  <c r="AK125" i="5"/>
  <c r="AK126" i="5"/>
  <c r="AP135" i="5"/>
  <c r="AR136" i="5"/>
  <c r="AQ136" i="5"/>
  <c r="AP136" i="5"/>
  <c r="AO129" i="5"/>
  <c r="AV129" i="5" s="1"/>
  <c r="BB129" i="5" s="1"/>
  <c r="AO137" i="5"/>
  <c r="AP130" i="5"/>
  <c r="AK135" i="5"/>
  <c r="AP138" i="5"/>
  <c r="AV128" i="5" l="1"/>
  <c r="AV9" i="5"/>
  <c r="AW9" i="5" s="1"/>
  <c r="BB15" i="5"/>
  <c r="BC15" i="5" s="1"/>
  <c r="AW15" i="5"/>
  <c r="AX15" i="5" s="1"/>
  <c r="AM59" i="5"/>
  <c r="AM102" i="5"/>
  <c r="AV103" i="5"/>
  <c r="BB103" i="5" s="1"/>
  <c r="BD103" i="5" s="1"/>
  <c r="AR128" i="5"/>
  <c r="AP117" i="5"/>
  <c r="AN59" i="5"/>
  <c r="AV102" i="5"/>
  <c r="AV119" i="5"/>
  <c r="AV138" i="5"/>
  <c r="AV93" i="5"/>
  <c r="BB93" i="5" s="1"/>
  <c r="AQ100" i="5"/>
  <c r="AL94" i="5"/>
  <c r="AQ15" i="5"/>
  <c r="AN138" i="5"/>
  <c r="AV90" i="5"/>
  <c r="BB90" i="5" s="1"/>
  <c r="AV66" i="5"/>
  <c r="AV17" i="5"/>
  <c r="AM138" i="5"/>
  <c r="BB99" i="5"/>
  <c r="AM32" i="5"/>
  <c r="AM103" i="5"/>
  <c r="AV8" i="5"/>
  <c r="BB8" i="5" s="1"/>
  <c r="AV20" i="5"/>
  <c r="BB20" i="5" s="1"/>
  <c r="AL106" i="5"/>
  <c r="AV51" i="5"/>
  <c r="AR74" i="5"/>
  <c r="AQ8" i="5"/>
  <c r="AP20" i="5"/>
  <c r="AV16" i="5"/>
  <c r="AR17" i="5"/>
  <c r="AR8" i="5"/>
  <c r="AN106" i="5"/>
  <c r="AP16" i="5"/>
  <c r="AY15" i="5"/>
  <c r="BA15" i="5" s="1"/>
  <c r="AZ15" i="5" s="1"/>
  <c r="AM127" i="5"/>
  <c r="AR51" i="5"/>
  <c r="AV106" i="5"/>
  <c r="BB106" i="5" s="1"/>
  <c r="AQ16" i="5"/>
  <c r="AV42" i="5"/>
  <c r="BB42" i="5" s="1"/>
  <c r="AV127" i="5"/>
  <c r="AR20" i="5"/>
  <c r="AN32" i="5"/>
  <c r="AV31" i="5"/>
  <c r="AN127" i="5"/>
  <c r="BB28" i="5"/>
  <c r="AW28" i="5"/>
  <c r="AR23" i="5"/>
  <c r="AQ39" i="5"/>
  <c r="AV62" i="5"/>
  <c r="BB62" i="5" s="1"/>
  <c r="AP98" i="5"/>
  <c r="AL9" i="5"/>
  <c r="AN9" i="5"/>
  <c r="AM9" i="5"/>
  <c r="AP110" i="5"/>
  <c r="AQ98" i="5"/>
  <c r="AL86" i="5"/>
  <c r="AP83" i="5"/>
  <c r="AQ66" i="5"/>
  <c r="AV48" i="5"/>
  <c r="AW48" i="5" s="1"/>
  <c r="AY48" i="5" s="1"/>
  <c r="AR98" i="5"/>
  <c r="AP109" i="5"/>
  <c r="AR83" i="5"/>
  <c r="AM28" i="5"/>
  <c r="BB9" i="5"/>
  <c r="AV58" i="5"/>
  <c r="BB58" i="5" s="1"/>
  <c r="AP51" i="5"/>
  <c r="AV110" i="5"/>
  <c r="AW110" i="5" s="1"/>
  <c r="AY110" i="5" s="1"/>
  <c r="AQ110" i="5"/>
  <c r="AV39" i="5"/>
  <c r="AV91" i="5"/>
  <c r="AW83" i="5"/>
  <c r="BB83" i="5"/>
  <c r="BC83" i="5" s="1"/>
  <c r="AN33" i="5"/>
  <c r="AM33" i="5"/>
  <c r="AV33" i="5"/>
  <c r="AL33" i="5"/>
  <c r="BB98" i="5"/>
  <c r="BC98" i="5" s="1"/>
  <c r="AV117" i="5"/>
  <c r="AL75" i="5"/>
  <c r="AN75" i="5"/>
  <c r="AM75" i="5"/>
  <c r="AR109" i="5"/>
  <c r="AN111" i="5"/>
  <c r="AN86" i="5"/>
  <c r="AQ23" i="5"/>
  <c r="AR47" i="5"/>
  <c r="AL40" i="5"/>
  <c r="AN40" i="5"/>
  <c r="AM40" i="5"/>
  <c r="AQ25" i="5"/>
  <c r="AR25" i="5"/>
  <c r="AM94" i="5"/>
  <c r="AL24" i="5"/>
  <c r="AM24" i="5"/>
  <c r="AN94" i="5"/>
  <c r="AN24" i="5"/>
  <c r="AP82" i="5"/>
  <c r="AV25" i="5"/>
  <c r="BB25" i="5" s="1"/>
  <c r="AV47" i="5"/>
  <c r="BB47" i="5" s="1"/>
  <c r="BC47" i="5" s="1"/>
  <c r="AV109" i="5"/>
  <c r="AM118" i="5"/>
  <c r="AL118" i="5"/>
  <c r="BD15" i="5"/>
  <c r="AP58" i="5"/>
  <c r="AQ58" i="5"/>
  <c r="AP23" i="5"/>
  <c r="AW20" i="5"/>
  <c r="AQ82" i="5"/>
  <c r="AV118" i="5"/>
  <c r="AQ49" i="5"/>
  <c r="AR49" i="5"/>
  <c r="AV49" i="5"/>
  <c r="AQ117" i="5"/>
  <c r="AV82" i="5"/>
  <c r="BB82" i="5" s="1"/>
  <c r="AV24" i="5"/>
  <c r="AW24" i="5" s="1"/>
  <c r="AX24" i="5" s="1"/>
  <c r="AV75" i="5"/>
  <c r="AW75" i="5" s="1"/>
  <c r="AQ47" i="5"/>
  <c r="AV32" i="5"/>
  <c r="AW32" i="5" s="1"/>
  <c r="AV86" i="5"/>
  <c r="AW86" i="5" s="1"/>
  <c r="AQ119" i="5"/>
  <c r="AR119" i="5"/>
  <c r="AP119" i="5"/>
  <c r="AN41" i="5"/>
  <c r="AM41" i="5"/>
  <c r="AL41" i="5"/>
  <c r="AV41" i="5"/>
  <c r="AW90" i="5"/>
  <c r="AY90" i="5" s="1"/>
  <c r="BB75" i="5"/>
  <c r="BC75" i="5" s="1"/>
  <c r="AW106" i="5"/>
  <c r="AX106" i="5" s="1"/>
  <c r="AX59" i="5"/>
  <c r="BB59" i="5"/>
  <c r="BC103" i="5"/>
  <c r="BD83" i="5"/>
  <c r="BB67" i="5"/>
  <c r="BC67" i="5" s="1"/>
  <c r="BB92" i="5"/>
  <c r="AW92" i="5"/>
  <c r="BB35" i="5"/>
  <c r="AW35" i="5"/>
  <c r="AX139" i="5"/>
  <c r="AY139" i="5"/>
  <c r="AX12" i="5"/>
  <c r="AY12" i="5"/>
  <c r="BB54" i="5"/>
  <c r="AW54" i="5"/>
  <c r="BB77" i="5"/>
  <c r="AW77" i="5"/>
  <c r="BB84" i="5"/>
  <c r="AW84" i="5"/>
  <c r="AP112" i="5"/>
  <c r="AR112" i="5"/>
  <c r="AQ112" i="5"/>
  <c r="AV72" i="5"/>
  <c r="AN72" i="5"/>
  <c r="AM72" i="5"/>
  <c r="AL72" i="5"/>
  <c r="BD28" i="5"/>
  <c r="BC28" i="5"/>
  <c r="BB74" i="5"/>
  <c r="AW74" i="5"/>
  <c r="AR18" i="5"/>
  <c r="AP18" i="5"/>
  <c r="AQ18" i="5"/>
  <c r="AW138" i="5"/>
  <c r="BB138" i="5"/>
  <c r="AV89" i="5"/>
  <c r="AN89" i="5"/>
  <c r="AM89" i="5"/>
  <c r="AL89" i="5"/>
  <c r="BE103" i="5"/>
  <c r="BF103" i="5" s="1"/>
  <c r="BD43" i="5"/>
  <c r="BC43" i="5"/>
  <c r="AW27" i="5"/>
  <c r="AV26" i="5"/>
  <c r="AN26" i="5"/>
  <c r="AM26" i="5"/>
  <c r="AL26" i="5"/>
  <c r="AL135" i="5"/>
  <c r="AN135" i="5"/>
  <c r="AM135" i="5"/>
  <c r="AV135" i="5"/>
  <c r="AR129" i="5"/>
  <c r="AQ129" i="5"/>
  <c r="AP129" i="5"/>
  <c r="AR140" i="5"/>
  <c r="AQ140" i="5"/>
  <c r="AP140" i="5"/>
  <c r="AV113" i="5"/>
  <c r="AN113" i="5"/>
  <c r="AM113" i="5"/>
  <c r="AL113" i="5"/>
  <c r="AY100" i="5"/>
  <c r="AX100" i="5"/>
  <c r="AR114" i="5"/>
  <c r="AQ114" i="5"/>
  <c r="AP114" i="5"/>
  <c r="AR93" i="5"/>
  <c r="AQ93" i="5"/>
  <c r="AP93" i="5"/>
  <c r="AW118" i="5"/>
  <c r="BB118" i="5"/>
  <c r="AQ122" i="5"/>
  <c r="AP122" i="5"/>
  <c r="AR122" i="5"/>
  <c r="AR88" i="5"/>
  <c r="AP88" i="5"/>
  <c r="AQ88" i="5"/>
  <c r="AP87" i="5"/>
  <c r="AQ87" i="5"/>
  <c r="AR87" i="5"/>
  <c r="AR96" i="5"/>
  <c r="AQ96" i="5"/>
  <c r="AP96" i="5"/>
  <c r="AQ43" i="5"/>
  <c r="AP43" i="5"/>
  <c r="AR43" i="5"/>
  <c r="AQ64" i="5"/>
  <c r="AR64" i="5"/>
  <c r="AP64" i="5"/>
  <c r="AW94" i="5"/>
  <c r="BB94" i="5"/>
  <c r="AY67" i="5"/>
  <c r="AX67" i="5"/>
  <c r="AX28" i="5"/>
  <c r="AY28" i="5"/>
  <c r="AV38" i="5"/>
  <c r="AN38" i="5"/>
  <c r="AL38" i="5"/>
  <c r="AM38" i="5"/>
  <c r="AV65" i="5"/>
  <c r="AN65" i="5"/>
  <c r="AM65" i="5"/>
  <c r="AL65" i="5"/>
  <c r="AP63" i="5"/>
  <c r="AR63" i="5"/>
  <c r="AQ63" i="5"/>
  <c r="AW43" i="5"/>
  <c r="BB12" i="5"/>
  <c r="AR46" i="5"/>
  <c r="AQ46" i="5"/>
  <c r="AP46" i="5"/>
  <c r="AR81" i="5"/>
  <c r="AP81" i="5"/>
  <c r="AQ81" i="5"/>
  <c r="AV5" i="5"/>
  <c r="AN5" i="5"/>
  <c r="AM5" i="5"/>
  <c r="AL5" i="5"/>
  <c r="AW39" i="5"/>
  <c r="BB39" i="5"/>
  <c r="AV71" i="5"/>
  <c r="AN71" i="5"/>
  <c r="AM71" i="5"/>
  <c r="AL71" i="5"/>
  <c r="AQ4" i="5"/>
  <c r="AR4" i="5"/>
  <c r="AP4" i="5"/>
  <c r="AM45" i="5"/>
  <c r="AL45" i="5"/>
  <c r="AN45" i="5"/>
  <c r="AV45" i="5"/>
  <c r="AR13" i="5"/>
  <c r="AQ13" i="5"/>
  <c r="AP13" i="5"/>
  <c r="BD131" i="5"/>
  <c r="BC131" i="5"/>
  <c r="AR84" i="5"/>
  <c r="AQ84" i="5"/>
  <c r="AP84" i="5"/>
  <c r="AV124" i="5"/>
  <c r="AN124" i="5"/>
  <c r="AM124" i="5"/>
  <c r="AL124" i="5"/>
  <c r="BD69" i="5"/>
  <c r="BC69" i="5"/>
  <c r="AW8" i="5"/>
  <c r="AP29" i="5"/>
  <c r="AQ29" i="5"/>
  <c r="AR29" i="5"/>
  <c r="BD93" i="5"/>
  <c r="BC93" i="5"/>
  <c r="AV80" i="5"/>
  <c r="AN80" i="5"/>
  <c r="AM80" i="5"/>
  <c r="AL80" i="5"/>
  <c r="AR50" i="5"/>
  <c r="AP50" i="5"/>
  <c r="AQ50" i="5"/>
  <c r="BB23" i="5"/>
  <c r="AW23" i="5"/>
  <c r="AP71" i="5"/>
  <c r="AR71" i="5"/>
  <c r="AQ71" i="5"/>
  <c r="AP36" i="5"/>
  <c r="AR36" i="5"/>
  <c r="AQ36" i="5"/>
  <c r="AY9" i="5"/>
  <c r="AX9" i="5"/>
  <c r="AL108" i="5"/>
  <c r="AV108" i="5"/>
  <c r="AN108" i="5"/>
  <c r="AM108" i="5"/>
  <c r="AV121" i="5"/>
  <c r="AN121" i="5"/>
  <c r="AM121" i="5"/>
  <c r="AL121" i="5"/>
  <c r="BB139" i="5"/>
  <c r="BD106" i="5"/>
  <c r="BC106" i="5"/>
  <c r="AR105" i="5"/>
  <c r="AQ105" i="5"/>
  <c r="AP105" i="5"/>
  <c r="AR85" i="5"/>
  <c r="AQ85" i="5"/>
  <c r="AP85" i="5"/>
  <c r="AR76" i="5"/>
  <c r="AQ76" i="5"/>
  <c r="AP76" i="5"/>
  <c r="AR124" i="5"/>
  <c r="AQ124" i="5"/>
  <c r="AP124" i="5"/>
  <c r="AW93" i="5"/>
  <c r="AR61" i="5"/>
  <c r="AP61" i="5"/>
  <c r="AQ61" i="5"/>
  <c r="AW62" i="5"/>
  <c r="AQ19" i="5"/>
  <c r="AR19" i="5"/>
  <c r="AP19" i="5"/>
  <c r="AP95" i="5"/>
  <c r="AR95" i="5"/>
  <c r="AQ95" i="5"/>
  <c r="AQ72" i="5"/>
  <c r="AR72" i="5"/>
  <c r="AP72" i="5"/>
  <c r="AV85" i="5"/>
  <c r="AL6" i="5"/>
  <c r="AV6" i="5"/>
  <c r="AM6" i="5"/>
  <c r="AN6" i="5"/>
  <c r="AV140" i="5"/>
  <c r="AR42" i="5"/>
  <c r="AP42" i="5"/>
  <c r="AQ42" i="5"/>
  <c r="AV44" i="5"/>
  <c r="AN44" i="5"/>
  <c r="AM44" i="5"/>
  <c r="AL44" i="5"/>
  <c r="AP21" i="5"/>
  <c r="AQ21" i="5"/>
  <c r="AR21" i="5"/>
  <c r="AM53" i="5"/>
  <c r="AL53" i="5"/>
  <c r="AN53" i="5"/>
  <c r="AV53" i="5"/>
  <c r="AV79" i="5"/>
  <c r="AN79" i="5"/>
  <c r="AM79" i="5"/>
  <c r="AL79" i="5"/>
  <c r="AV46" i="5"/>
  <c r="AN46" i="5"/>
  <c r="AL46" i="5"/>
  <c r="AM46" i="5"/>
  <c r="AV14" i="5"/>
  <c r="AN14" i="5"/>
  <c r="AL14" i="5"/>
  <c r="AM14" i="5"/>
  <c r="BC9" i="5"/>
  <c r="BD9" i="5"/>
  <c r="AQ35" i="5"/>
  <c r="AR35" i="5"/>
  <c r="AP35" i="5"/>
  <c r="AP123" i="5"/>
  <c r="AQ123" i="5"/>
  <c r="AR123" i="5"/>
  <c r="AQ56" i="5"/>
  <c r="AP56" i="5"/>
  <c r="AR56" i="5"/>
  <c r="AM126" i="5"/>
  <c r="AL126" i="5"/>
  <c r="AV126" i="5"/>
  <c r="AN126" i="5"/>
  <c r="BD101" i="5"/>
  <c r="BC101" i="5"/>
  <c r="AW119" i="5"/>
  <c r="BB119" i="5"/>
  <c r="AQ27" i="5"/>
  <c r="AR27" i="5"/>
  <c r="AP27" i="5"/>
  <c r="AR7" i="5"/>
  <c r="AV7" i="5"/>
  <c r="AP7" i="5"/>
  <c r="AQ7" i="5"/>
  <c r="AV34" i="5"/>
  <c r="AN34" i="5"/>
  <c r="AL34" i="5"/>
  <c r="AM34" i="5"/>
  <c r="AR14" i="5"/>
  <c r="AQ14" i="5"/>
  <c r="AP14" i="5"/>
  <c r="AL4" i="5"/>
  <c r="AV4" i="5"/>
  <c r="AN4" i="5"/>
  <c r="AM4" i="5"/>
  <c r="AR45" i="5"/>
  <c r="AQ45" i="5"/>
  <c r="AP45" i="5"/>
  <c r="AV125" i="5"/>
  <c r="AN125" i="5"/>
  <c r="AM125" i="5"/>
  <c r="AL125" i="5"/>
  <c r="AM115" i="5"/>
  <c r="AL115" i="5"/>
  <c r="AV115" i="5"/>
  <c r="AN115" i="5"/>
  <c r="AR134" i="5"/>
  <c r="AQ134" i="5"/>
  <c r="AP134" i="5"/>
  <c r="AP139" i="5"/>
  <c r="AR139" i="5"/>
  <c r="AQ139" i="5"/>
  <c r="AQ70" i="5"/>
  <c r="AP70" i="5"/>
  <c r="AR70" i="5"/>
  <c r="AP120" i="5"/>
  <c r="AQ120" i="5"/>
  <c r="AR120" i="5"/>
  <c r="AR77" i="5"/>
  <c r="AQ77" i="5"/>
  <c r="AP77" i="5"/>
  <c r="AR68" i="5"/>
  <c r="AQ68" i="5"/>
  <c r="AP68" i="5"/>
  <c r="AV68" i="5"/>
  <c r="AQ80" i="5"/>
  <c r="AP80" i="5"/>
  <c r="AR80" i="5"/>
  <c r="AQ11" i="5"/>
  <c r="AR11" i="5"/>
  <c r="AP11" i="5"/>
  <c r="AR133" i="5"/>
  <c r="AQ133" i="5"/>
  <c r="AP133" i="5"/>
  <c r="AW42" i="5"/>
  <c r="BB66" i="5"/>
  <c r="AW66" i="5"/>
  <c r="AR34" i="5"/>
  <c r="AP34" i="5"/>
  <c r="AQ34" i="5"/>
  <c r="BA99" i="5"/>
  <c r="AZ99" i="5" s="1"/>
  <c r="AR73" i="5"/>
  <c r="AQ73" i="5"/>
  <c r="AP73" i="5"/>
  <c r="AQ53" i="5"/>
  <c r="AP53" i="5"/>
  <c r="AR53" i="5"/>
  <c r="AR10" i="5"/>
  <c r="AP10" i="5"/>
  <c r="AQ10" i="5"/>
  <c r="AY98" i="5"/>
  <c r="AX98" i="5"/>
  <c r="AR26" i="5"/>
  <c r="AP26" i="5"/>
  <c r="AQ26" i="5"/>
  <c r="AR113" i="5"/>
  <c r="AP113" i="5"/>
  <c r="AQ113" i="5"/>
  <c r="AR37" i="5"/>
  <c r="AQ37" i="5"/>
  <c r="AP37" i="5"/>
  <c r="AV22" i="5"/>
  <c r="AN22" i="5"/>
  <c r="AL22" i="5"/>
  <c r="AM22" i="5"/>
  <c r="BD42" i="5"/>
  <c r="BC42" i="5"/>
  <c r="BD129" i="5"/>
  <c r="BC129" i="5"/>
  <c r="BC99" i="5"/>
  <c r="BD99" i="5"/>
  <c r="AV132" i="5"/>
  <c r="AN132" i="5"/>
  <c r="AM132" i="5"/>
  <c r="AL132" i="5"/>
  <c r="AM134" i="5"/>
  <c r="AL134" i="5"/>
  <c r="AN134" i="5"/>
  <c r="AV134" i="5"/>
  <c r="AR121" i="5"/>
  <c r="AQ121" i="5"/>
  <c r="AP121" i="5"/>
  <c r="AV105" i="5"/>
  <c r="AN105" i="5"/>
  <c r="AM105" i="5"/>
  <c r="AL105" i="5"/>
  <c r="AP104" i="5"/>
  <c r="AR104" i="5"/>
  <c r="AQ104" i="5"/>
  <c r="AQ62" i="5"/>
  <c r="AP62" i="5"/>
  <c r="AR62" i="5"/>
  <c r="BB100" i="5"/>
  <c r="AR69" i="5"/>
  <c r="AQ69" i="5"/>
  <c r="AP69" i="5"/>
  <c r="AQ60" i="5"/>
  <c r="AP60" i="5"/>
  <c r="AR60" i="5"/>
  <c r="AV60" i="5"/>
  <c r="AW129" i="5"/>
  <c r="BB128" i="5"/>
  <c r="AW128" i="5"/>
  <c r="AV133" i="5"/>
  <c r="AN133" i="5"/>
  <c r="AM133" i="5"/>
  <c r="AL133" i="5"/>
  <c r="AW78" i="5"/>
  <c r="BB78" i="5"/>
  <c r="AX20" i="5"/>
  <c r="AY20" i="5"/>
  <c r="AY40" i="5"/>
  <c r="AX40" i="5"/>
  <c r="BD10" i="5"/>
  <c r="BC10" i="5"/>
  <c r="AR57" i="5"/>
  <c r="AQ57" i="5"/>
  <c r="AP57" i="5"/>
  <c r="AV73" i="5"/>
  <c r="AN73" i="5"/>
  <c r="AM73" i="5"/>
  <c r="AL73" i="5"/>
  <c r="AW10" i="5"/>
  <c r="BB102" i="5"/>
  <c r="AW102" i="5"/>
  <c r="AP79" i="5"/>
  <c r="AQ79" i="5"/>
  <c r="AR79" i="5"/>
  <c r="AW69" i="5"/>
  <c r="AL116" i="5"/>
  <c r="AV116" i="5"/>
  <c r="AM116" i="5"/>
  <c r="AN116" i="5"/>
  <c r="BB86" i="5"/>
  <c r="BD62" i="5"/>
  <c r="BC62" i="5"/>
  <c r="AP131" i="5"/>
  <c r="AR131" i="5"/>
  <c r="AQ131" i="5"/>
  <c r="AP132" i="5"/>
  <c r="AR132" i="5"/>
  <c r="AQ132" i="5"/>
  <c r="AV104" i="5"/>
  <c r="AN104" i="5"/>
  <c r="AM104" i="5"/>
  <c r="AL104" i="5"/>
  <c r="AW101" i="5"/>
  <c r="AQ54" i="5"/>
  <c r="AR54" i="5"/>
  <c r="AP54" i="5"/>
  <c r="AR92" i="5"/>
  <c r="AQ92" i="5"/>
  <c r="AP92" i="5"/>
  <c r="AV122" i="5"/>
  <c r="AN122" i="5"/>
  <c r="AM122" i="5"/>
  <c r="AL122" i="5"/>
  <c r="AV112" i="5"/>
  <c r="AV88" i="5"/>
  <c r="AN88" i="5"/>
  <c r="AM88" i="5"/>
  <c r="AL88" i="5"/>
  <c r="AV87" i="5"/>
  <c r="AN87" i="5"/>
  <c r="AM87" i="5"/>
  <c r="AL87" i="5"/>
  <c r="AW111" i="5"/>
  <c r="BB111" i="5"/>
  <c r="AV96" i="5"/>
  <c r="AN96" i="5"/>
  <c r="AM96" i="5"/>
  <c r="AL96" i="5"/>
  <c r="AV64" i="5"/>
  <c r="AN64" i="5"/>
  <c r="AM64" i="5"/>
  <c r="AL64" i="5"/>
  <c r="AV52" i="5"/>
  <c r="AN52" i="5"/>
  <c r="AM52" i="5"/>
  <c r="AL52" i="5"/>
  <c r="AP12" i="5"/>
  <c r="AQ12" i="5"/>
  <c r="AR12" i="5"/>
  <c r="BD20" i="5"/>
  <c r="BC20" i="5"/>
  <c r="BC90" i="5"/>
  <c r="BD90" i="5"/>
  <c r="BB40" i="5"/>
  <c r="AV63" i="5"/>
  <c r="AN63" i="5"/>
  <c r="AM63" i="5"/>
  <c r="AL63" i="5"/>
  <c r="AV57" i="5"/>
  <c r="AN57" i="5"/>
  <c r="AL57" i="5"/>
  <c r="AM57" i="5"/>
  <c r="AY24" i="5"/>
  <c r="AX48" i="5"/>
  <c r="BE15" i="5"/>
  <c r="BF15" i="5" s="1"/>
  <c r="AV19" i="5"/>
  <c r="AM13" i="5"/>
  <c r="AL13" i="5"/>
  <c r="AN13" i="5"/>
  <c r="AV13" i="5"/>
  <c r="BA59" i="5"/>
  <c r="AZ59" i="5" s="1"/>
  <c r="AM107" i="5"/>
  <c r="AL107" i="5"/>
  <c r="AV107" i="5"/>
  <c r="AN107" i="5"/>
  <c r="AV95" i="5"/>
  <c r="AN95" i="5"/>
  <c r="AM95" i="5"/>
  <c r="AL95" i="5"/>
  <c r="AW51" i="5"/>
  <c r="BB51" i="5"/>
  <c r="AM21" i="5"/>
  <c r="AL21" i="5"/>
  <c r="AN21" i="5"/>
  <c r="AV21" i="5"/>
  <c r="AV81" i="5"/>
  <c r="AN81" i="5"/>
  <c r="AM81" i="5"/>
  <c r="AL81" i="5"/>
  <c r="BD27" i="5"/>
  <c r="BC27" i="5"/>
  <c r="AV36" i="5"/>
  <c r="AN36" i="5"/>
  <c r="AM36" i="5"/>
  <c r="AL36" i="5"/>
  <c r="AR5" i="5"/>
  <c r="AQ5" i="5"/>
  <c r="AP5" i="5"/>
  <c r="AR137" i="5"/>
  <c r="AQ137" i="5"/>
  <c r="AP137" i="5"/>
  <c r="AV137" i="5"/>
  <c r="AW131" i="5"/>
  <c r="AQ101" i="5"/>
  <c r="AP101" i="5"/>
  <c r="AR101" i="5"/>
  <c r="BB136" i="5"/>
  <c r="AW136" i="5"/>
  <c r="AV120" i="5"/>
  <c r="AW130" i="5"/>
  <c r="BB130" i="5"/>
  <c r="AV97" i="5"/>
  <c r="AN97" i="5"/>
  <c r="AM97" i="5"/>
  <c r="AL97" i="5"/>
  <c r="AV114" i="5"/>
  <c r="AN114" i="5"/>
  <c r="AM114" i="5"/>
  <c r="AL114" i="5"/>
  <c r="AV70" i="5"/>
  <c r="BD75" i="5"/>
  <c r="AV55" i="5"/>
  <c r="AN55" i="5"/>
  <c r="AM55" i="5"/>
  <c r="AL55" i="5"/>
  <c r="AV123" i="5"/>
  <c r="AM123" i="5"/>
  <c r="AN123" i="5"/>
  <c r="AL123" i="5"/>
  <c r="AV76" i="5"/>
  <c r="AM37" i="5"/>
  <c r="AL37" i="5"/>
  <c r="AV37" i="5"/>
  <c r="AN37" i="5"/>
  <c r="AR30" i="5"/>
  <c r="AP30" i="5"/>
  <c r="AQ30" i="5"/>
  <c r="AV11" i="5"/>
  <c r="AY75" i="5"/>
  <c r="AX75" i="5"/>
  <c r="AR65" i="5"/>
  <c r="AQ65" i="5"/>
  <c r="AP65" i="5"/>
  <c r="AM29" i="5"/>
  <c r="AL29" i="5"/>
  <c r="AN29" i="5"/>
  <c r="AV29" i="5"/>
  <c r="AV30" i="5"/>
  <c r="AN30" i="5"/>
  <c r="AL30" i="5"/>
  <c r="AM30" i="5"/>
  <c r="AM56" i="5"/>
  <c r="AL56" i="5"/>
  <c r="AN56" i="5"/>
  <c r="AV56" i="5"/>
  <c r="BB24" i="5"/>
  <c r="AV18" i="5"/>
  <c r="AN18" i="5"/>
  <c r="AM18" i="5"/>
  <c r="AL18" i="5"/>
  <c r="AV50" i="5"/>
  <c r="AV61" i="5"/>
  <c r="BD47" i="5" l="1"/>
  <c r="BE47" i="5" s="1"/>
  <c r="BF47" i="5" s="1"/>
  <c r="BB17" i="5"/>
  <c r="AW17" i="5"/>
  <c r="AY106" i="5"/>
  <c r="AW103" i="5"/>
  <c r="BB110" i="5"/>
  <c r="BD110" i="5" s="1"/>
  <c r="AX90" i="5"/>
  <c r="AW127" i="5"/>
  <c r="BB127" i="5"/>
  <c r="BB31" i="5"/>
  <c r="AW31" i="5"/>
  <c r="AX110" i="5"/>
  <c r="BB16" i="5"/>
  <c r="AW16" i="5"/>
  <c r="BC110" i="5"/>
  <c r="BB32" i="5"/>
  <c r="BB48" i="5"/>
  <c r="BC48" i="5" s="1"/>
  <c r="AW91" i="5"/>
  <c r="BB91" i="5"/>
  <c r="BD58" i="5"/>
  <c r="BE58" i="5" s="1"/>
  <c r="BF58" i="5" s="1"/>
  <c r="BC58" i="5"/>
  <c r="AW58" i="5"/>
  <c r="AW47" i="5"/>
  <c r="AX47" i="5" s="1"/>
  <c r="AW41" i="5"/>
  <c r="BB41" i="5"/>
  <c r="AW33" i="5"/>
  <c r="BB33" i="5"/>
  <c r="AX83" i="5"/>
  <c r="AY83" i="5"/>
  <c r="BA83" i="5" s="1"/>
  <c r="AZ83" i="5" s="1"/>
  <c r="AW117" i="5"/>
  <c r="BB117" i="5"/>
  <c r="AW25" i="5"/>
  <c r="AY25" i="5" s="1"/>
  <c r="AW82" i="5"/>
  <c r="AY82" i="5" s="1"/>
  <c r="BD98" i="5"/>
  <c r="BE98" i="5" s="1"/>
  <c r="BF98" i="5" s="1"/>
  <c r="BB49" i="5"/>
  <c r="AW49" i="5"/>
  <c r="BB109" i="5"/>
  <c r="AW109" i="5"/>
  <c r="AY47" i="5"/>
  <c r="BD67" i="5"/>
  <c r="BE67" i="5" s="1"/>
  <c r="BF67" i="5" s="1"/>
  <c r="BE83" i="5"/>
  <c r="BF83" i="5" s="1"/>
  <c r="BD59" i="5"/>
  <c r="BE59" i="5" s="1"/>
  <c r="BF59" i="5" s="1"/>
  <c r="BC59" i="5"/>
  <c r="BB104" i="5"/>
  <c r="AW104" i="5"/>
  <c r="AW34" i="5"/>
  <c r="BB34" i="5"/>
  <c r="AY93" i="5"/>
  <c r="AX93" i="5"/>
  <c r="BA139" i="5"/>
  <c r="AZ139" i="5" s="1"/>
  <c r="BB13" i="5"/>
  <c r="AW13" i="5"/>
  <c r="AW18" i="5"/>
  <c r="BB18" i="5"/>
  <c r="AY130" i="5"/>
  <c r="AX130" i="5"/>
  <c r="BB137" i="5"/>
  <c r="AW137" i="5"/>
  <c r="AW21" i="5"/>
  <c r="BB21" i="5"/>
  <c r="AY111" i="5"/>
  <c r="AX111" i="5"/>
  <c r="BB88" i="5"/>
  <c r="AW88" i="5"/>
  <c r="AY101" i="5"/>
  <c r="AX101" i="5"/>
  <c r="BA40" i="5"/>
  <c r="AZ40" i="5" s="1"/>
  <c r="BA106" i="5"/>
  <c r="AZ106" i="5" s="1"/>
  <c r="AW79" i="5"/>
  <c r="BB79" i="5"/>
  <c r="AY62" i="5"/>
  <c r="AX62" i="5"/>
  <c r="AW121" i="5"/>
  <c r="BB121" i="5"/>
  <c r="BE93" i="5"/>
  <c r="BF93" i="5" s="1"/>
  <c r="BE110" i="5"/>
  <c r="BF110" i="5" s="1"/>
  <c r="AW38" i="5"/>
  <c r="BB38" i="5"/>
  <c r="AY77" i="5"/>
  <c r="AX77" i="5"/>
  <c r="AY35" i="5"/>
  <c r="AX35" i="5"/>
  <c r="AY92" i="5"/>
  <c r="AX92" i="5"/>
  <c r="BE20" i="5"/>
  <c r="BF20" i="5" s="1"/>
  <c r="BD119" i="5"/>
  <c r="BC119" i="5"/>
  <c r="AW14" i="5"/>
  <c r="BB14" i="5"/>
  <c r="AX131" i="5"/>
  <c r="AY131" i="5"/>
  <c r="AY119" i="5"/>
  <c r="AX119" i="5"/>
  <c r="BD8" i="5"/>
  <c r="BC8" i="5"/>
  <c r="BC82" i="5"/>
  <c r="BD82" i="5"/>
  <c r="AW36" i="5"/>
  <c r="BB36" i="5"/>
  <c r="BB95" i="5"/>
  <c r="AW95" i="5"/>
  <c r="BB63" i="5"/>
  <c r="AW63" i="5"/>
  <c r="BB112" i="5"/>
  <c r="AW112" i="5"/>
  <c r="AY102" i="5"/>
  <c r="AX102" i="5"/>
  <c r="BD100" i="5"/>
  <c r="BC100" i="5"/>
  <c r="BB134" i="5"/>
  <c r="AW134" i="5"/>
  <c r="AW132" i="5"/>
  <c r="BB132" i="5"/>
  <c r="BA98" i="5"/>
  <c r="AZ98" i="5" s="1"/>
  <c r="AW7" i="5"/>
  <c r="BB7" i="5"/>
  <c r="BE9" i="5"/>
  <c r="BF9" i="5" s="1"/>
  <c r="BB140" i="5"/>
  <c r="AW140" i="5"/>
  <c r="AY23" i="5"/>
  <c r="AX23" i="5"/>
  <c r="BE69" i="5"/>
  <c r="BF69" i="5" s="1"/>
  <c r="AW71" i="5"/>
  <c r="BB71" i="5"/>
  <c r="BB5" i="5"/>
  <c r="AW5" i="5"/>
  <c r="BA28" i="5"/>
  <c r="AZ28" i="5" s="1"/>
  <c r="BD77" i="5"/>
  <c r="BC77" i="5"/>
  <c r="BD35" i="5"/>
  <c r="BC35" i="5"/>
  <c r="BD92" i="5"/>
  <c r="BC92" i="5"/>
  <c r="AY69" i="5"/>
  <c r="AX69" i="5"/>
  <c r="AY78" i="5"/>
  <c r="AX78" i="5"/>
  <c r="AW22" i="5"/>
  <c r="BB22" i="5"/>
  <c r="BB85" i="5"/>
  <c r="AW85" i="5"/>
  <c r="BA100" i="5"/>
  <c r="AZ100" i="5" s="1"/>
  <c r="BA48" i="5"/>
  <c r="AZ48" i="5" s="1"/>
  <c r="AW73" i="5"/>
  <c r="BB73" i="5"/>
  <c r="AW123" i="5"/>
  <c r="BB123" i="5"/>
  <c r="AW120" i="5"/>
  <c r="BB120" i="5"/>
  <c r="BC25" i="5"/>
  <c r="BD25" i="5"/>
  <c r="BC40" i="5"/>
  <c r="BD40" i="5"/>
  <c r="BB64" i="5"/>
  <c r="AW64" i="5"/>
  <c r="AW116" i="5"/>
  <c r="BB116" i="5"/>
  <c r="BD102" i="5"/>
  <c r="BC102" i="5"/>
  <c r="BA90" i="5"/>
  <c r="AZ90" i="5" s="1"/>
  <c r="BB133" i="5"/>
  <c r="AW133" i="5"/>
  <c r="BB60" i="5"/>
  <c r="AW60" i="5"/>
  <c r="BE42" i="5"/>
  <c r="BF42" i="5" s="1"/>
  <c r="AY66" i="5"/>
  <c r="AX66" i="5"/>
  <c r="BB4" i="5"/>
  <c r="AW4" i="5"/>
  <c r="BA9" i="5"/>
  <c r="AZ9" i="5" s="1"/>
  <c r="BC23" i="5"/>
  <c r="BD23" i="5"/>
  <c r="BA110" i="5"/>
  <c r="AZ110" i="5" s="1"/>
  <c r="AW113" i="5"/>
  <c r="BB113" i="5"/>
  <c r="AW135" i="5"/>
  <c r="BB135" i="5"/>
  <c r="AW26" i="5"/>
  <c r="BB26" i="5"/>
  <c r="AW72" i="5"/>
  <c r="BB72" i="5"/>
  <c r="AW114" i="5"/>
  <c r="BB114" i="5"/>
  <c r="BD86" i="5"/>
  <c r="BC86" i="5"/>
  <c r="BE129" i="5"/>
  <c r="BF129" i="5" s="1"/>
  <c r="AX42" i="5"/>
  <c r="AY42" i="5"/>
  <c r="AY8" i="5"/>
  <c r="AX8" i="5"/>
  <c r="BE28" i="5"/>
  <c r="BF28" i="5" s="1"/>
  <c r="BD111" i="5"/>
  <c r="BC111" i="5"/>
  <c r="AW115" i="5"/>
  <c r="BB115" i="5"/>
  <c r="BA24" i="5"/>
  <c r="AZ24" i="5" s="1"/>
  <c r="AW37" i="5"/>
  <c r="BB37" i="5"/>
  <c r="BB70" i="5"/>
  <c r="AW70" i="5"/>
  <c r="AY136" i="5"/>
  <c r="AX136" i="5"/>
  <c r="AX25" i="5"/>
  <c r="BD24" i="5"/>
  <c r="BC24" i="5"/>
  <c r="AW30" i="5"/>
  <c r="BB30" i="5"/>
  <c r="BD136" i="5"/>
  <c r="BC136" i="5"/>
  <c r="BE27" i="5"/>
  <c r="BF27" i="5" s="1"/>
  <c r="AW107" i="5"/>
  <c r="BB107" i="5"/>
  <c r="BB19" i="5"/>
  <c r="AW19" i="5"/>
  <c r="BE90" i="5"/>
  <c r="BF90" i="5" s="1"/>
  <c r="AX10" i="5"/>
  <c r="AY10" i="5"/>
  <c r="BA20" i="5"/>
  <c r="AZ20" i="5" s="1"/>
  <c r="AY128" i="5"/>
  <c r="AX128" i="5"/>
  <c r="BE99" i="5"/>
  <c r="BF99" i="5" s="1"/>
  <c r="BC66" i="5"/>
  <c r="BD66" i="5"/>
  <c r="AW126" i="5"/>
  <c r="BB126" i="5"/>
  <c r="BB53" i="5"/>
  <c r="AW53" i="5"/>
  <c r="BE106" i="5"/>
  <c r="BF106" i="5" s="1"/>
  <c r="AW80" i="5"/>
  <c r="BB80" i="5"/>
  <c r="BB45" i="5"/>
  <c r="AW45" i="5"/>
  <c r="BD118" i="5"/>
  <c r="BC118" i="5"/>
  <c r="AY27" i="5"/>
  <c r="AX27" i="5"/>
  <c r="AW89" i="5"/>
  <c r="BB89" i="5"/>
  <c r="AY74" i="5"/>
  <c r="AX74" i="5"/>
  <c r="AW122" i="5"/>
  <c r="BB122" i="5"/>
  <c r="BB87" i="5"/>
  <c r="AW87" i="5"/>
  <c r="BE10" i="5"/>
  <c r="BF10" i="5" s="1"/>
  <c r="BD128" i="5"/>
  <c r="BC128" i="5"/>
  <c r="AW125" i="5"/>
  <c r="BB125" i="5"/>
  <c r="BB46" i="5"/>
  <c r="AW46" i="5"/>
  <c r="AW6" i="5"/>
  <c r="BB6" i="5"/>
  <c r="BD139" i="5"/>
  <c r="BC139" i="5"/>
  <c r="BC39" i="5"/>
  <c r="BD39" i="5"/>
  <c r="BD12" i="5"/>
  <c r="BC12" i="5"/>
  <c r="AW65" i="5"/>
  <c r="BB65" i="5"/>
  <c r="BA67" i="5"/>
  <c r="AZ67" i="5" s="1"/>
  <c r="AY118" i="5"/>
  <c r="AX118" i="5"/>
  <c r="BD138" i="5"/>
  <c r="BC138" i="5"/>
  <c r="AY32" i="5"/>
  <c r="AX32" i="5"/>
  <c r="BC74" i="5"/>
  <c r="BD74" i="5"/>
  <c r="AY84" i="5"/>
  <c r="AX84" i="5"/>
  <c r="AY54" i="5"/>
  <c r="AX54" i="5"/>
  <c r="BA12" i="5"/>
  <c r="AZ12" i="5" s="1"/>
  <c r="BE75" i="5"/>
  <c r="BF75" i="5" s="1"/>
  <c r="BB96" i="5"/>
  <c r="AW96" i="5"/>
  <c r="BB68" i="5"/>
  <c r="AW68" i="5"/>
  <c r="AY94" i="5"/>
  <c r="AX94" i="5"/>
  <c r="BD130" i="5"/>
  <c r="BC130" i="5"/>
  <c r="AW81" i="5"/>
  <c r="BB81" i="5"/>
  <c r="AY86" i="5"/>
  <c r="AX86" i="5"/>
  <c r="AW108" i="5"/>
  <c r="BB108" i="5"/>
  <c r="BB50" i="5"/>
  <c r="AW50" i="5"/>
  <c r="AW56" i="5"/>
  <c r="BB56" i="5"/>
  <c r="AW29" i="5"/>
  <c r="BB29" i="5"/>
  <c r="BA75" i="5"/>
  <c r="AZ75" i="5" s="1"/>
  <c r="AW97" i="5"/>
  <c r="BB97" i="5"/>
  <c r="BD51" i="5"/>
  <c r="BC51" i="5"/>
  <c r="BB61" i="5"/>
  <c r="AW61" i="5"/>
  <c r="BB11" i="5"/>
  <c r="AW11" i="5"/>
  <c r="BB76" i="5"/>
  <c r="AW76" i="5"/>
  <c r="BB55" i="5"/>
  <c r="AW55" i="5"/>
  <c r="AY51" i="5"/>
  <c r="AX51" i="5"/>
  <c r="AW57" i="5"/>
  <c r="BB57" i="5"/>
  <c r="BB52" i="5"/>
  <c r="AW52" i="5"/>
  <c r="BE62" i="5"/>
  <c r="BF62" i="5" s="1"/>
  <c r="BD78" i="5"/>
  <c r="BC78" i="5"/>
  <c r="AY129" i="5"/>
  <c r="AX129" i="5"/>
  <c r="AW105" i="5"/>
  <c r="BB105" i="5"/>
  <c r="BE101" i="5"/>
  <c r="BF101" i="5" s="1"/>
  <c r="AW44" i="5"/>
  <c r="BB44" i="5"/>
  <c r="AW124" i="5"/>
  <c r="BB124" i="5"/>
  <c r="BE131" i="5"/>
  <c r="BF131" i="5" s="1"/>
  <c r="AY39" i="5"/>
  <c r="AX39" i="5"/>
  <c r="AY43" i="5"/>
  <c r="AX43" i="5"/>
  <c r="BD94" i="5"/>
  <c r="BC94" i="5"/>
  <c r="BE43" i="5"/>
  <c r="BF43" i="5" s="1"/>
  <c r="AY138" i="5"/>
  <c r="AX138" i="5"/>
  <c r="BC32" i="5"/>
  <c r="BD32" i="5"/>
  <c r="BD84" i="5"/>
  <c r="BC84" i="5"/>
  <c r="BD54" i="5"/>
  <c r="BC54" i="5"/>
  <c r="AY103" i="5" l="1"/>
  <c r="BA103" i="5" s="1"/>
  <c r="AZ103" i="5" s="1"/>
  <c r="AX103" i="5"/>
  <c r="AX17" i="5"/>
  <c r="AY17" i="5"/>
  <c r="BA17" i="5" s="1"/>
  <c r="AZ17" i="5" s="1"/>
  <c r="BD17" i="5"/>
  <c r="BE17" i="5" s="1"/>
  <c r="BF17" i="5" s="1"/>
  <c r="BC17" i="5"/>
  <c r="BC16" i="5"/>
  <c r="BD16" i="5"/>
  <c r="BE16" i="5" s="1"/>
  <c r="BF16" i="5" s="1"/>
  <c r="AY31" i="5"/>
  <c r="BA31" i="5" s="1"/>
  <c r="AZ31" i="5" s="1"/>
  <c r="AX31" i="5"/>
  <c r="BC31" i="5"/>
  <c r="BD31" i="5"/>
  <c r="BE31" i="5" s="1"/>
  <c r="BF31" i="5" s="1"/>
  <c r="AX127" i="5"/>
  <c r="AY127" i="5"/>
  <c r="BA127" i="5" s="1"/>
  <c r="AZ127" i="5" s="1"/>
  <c r="BD127" i="5"/>
  <c r="BE127" i="5" s="1"/>
  <c r="BF127" i="5" s="1"/>
  <c r="BC127" i="5"/>
  <c r="AY16" i="5"/>
  <c r="BA16" i="5" s="1"/>
  <c r="AZ16" i="5" s="1"/>
  <c r="AX16" i="5"/>
  <c r="BD91" i="5"/>
  <c r="BE91" i="5" s="1"/>
  <c r="BF91" i="5" s="1"/>
  <c r="BC91" i="5"/>
  <c r="BD48" i="5"/>
  <c r="BE48" i="5" s="1"/>
  <c r="BF48" i="5" s="1"/>
  <c r="AY91" i="5"/>
  <c r="BA91" i="5" s="1"/>
  <c r="AZ91" i="5" s="1"/>
  <c r="AX91" i="5"/>
  <c r="AY58" i="5"/>
  <c r="BA58" i="5" s="1"/>
  <c r="AZ58" i="5" s="1"/>
  <c r="AX58" i="5"/>
  <c r="AY117" i="5"/>
  <c r="BA117" i="5" s="1"/>
  <c r="AZ117" i="5" s="1"/>
  <c r="AX117" i="5"/>
  <c r="AY33" i="5"/>
  <c r="BA33" i="5" s="1"/>
  <c r="AZ33" i="5" s="1"/>
  <c r="AX33" i="5"/>
  <c r="AY109" i="5"/>
  <c r="BA109" i="5" s="1"/>
  <c r="AZ109" i="5" s="1"/>
  <c r="AX109" i="5"/>
  <c r="BD33" i="5"/>
  <c r="BE33" i="5" s="1"/>
  <c r="BF33" i="5" s="1"/>
  <c r="BC33" i="5"/>
  <c r="BD109" i="5"/>
  <c r="BE109" i="5" s="1"/>
  <c r="BF109" i="5" s="1"/>
  <c r="BC109" i="5"/>
  <c r="AX82" i="5"/>
  <c r="AY49" i="5"/>
  <c r="AX49" i="5"/>
  <c r="BC49" i="5"/>
  <c r="BD49" i="5"/>
  <c r="BE49" i="5" s="1"/>
  <c r="BF49" i="5" s="1"/>
  <c r="BD41" i="5"/>
  <c r="BE41" i="5" s="1"/>
  <c r="BF41" i="5" s="1"/>
  <c r="BC41" i="5"/>
  <c r="BC117" i="5"/>
  <c r="BD117" i="5"/>
  <c r="BE117" i="5" s="1"/>
  <c r="BF117" i="5" s="1"/>
  <c r="AY41" i="5"/>
  <c r="BA41" i="5" s="1"/>
  <c r="AZ41" i="5" s="1"/>
  <c r="AX41" i="5"/>
  <c r="BA47" i="5"/>
  <c r="AZ47" i="5" s="1"/>
  <c r="BE54" i="5"/>
  <c r="BF54" i="5" s="1"/>
  <c r="AX105" i="5"/>
  <c r="AY105" i="5"/>
  <c r="BD61" i="5"/>
  <c r="BC61" i="5"/>
  <c r="AX125" i="5"/>
  <c r="AY125" i="5"/>
  <c r="BA128" i="5"/>
  <c r="AZ128" i="5" s="1"/>
  <c r="BA8" i="5"/>
  <c r="AZ8" i="5" s="1"/>
  <c r="AY113" i="5"/>
  <c r="AX113" i="5"/>
  <c r="BE92" i="5"/>
  <c r="BF92" i="5" s="1"/>
  <c r="BD63" i="5"/>
  <c r="BC63" i="5"/>
  <c r="BA119" i="5"/>
  <c r="AZ119" i="5" s="1"/>
  <c r="AX79" i="5"/>
  <c r="AY79" i="5"/>
  <c r="BA82" i="5"/>
  <c r="AZ82" i="5" s="1"/>
  <c r="BA93" i="5"/>
  <c r="AZ93" i="5" s="1"/>
  <c r="BD124" i="5"/>
  <c r="BC124" i="5"/>
  <c r="AX55" i="5"/>
  <c r="AY55" i="5"/>
  <c r="BC29" i="5"/>
  <c r="BD29" i="5"/>
  <c r="BD89" i="5"/>
  <c r="BC89" i="5"/>
  <c r="BD135" i="5"/>
  <c r="BC135" i="5"/>
  <c r="AY64" i="5"/>
  <c r="AX64" i="5"/>
  <c r="AY140" i="5"/>
  <c r="AX140" i="5"/>
  <c r="BE94" i="5"/>
  <c r="BF94" i="5" s="1"/>
  <c r="AY57" i="5"/>
  <c r="AX57" i="5"/>
  <c r="AY108" i="5"/>
  <c r="AX108" i="5"/>
  <c r="BA118" i="5"/>
  <c r="AZ118" i="5" s="1"/>
  <c r="BE139" i="5"/>
  <c r="BF139" i="5" s="1"/>
  <c r="BA136" i="5"/>
  <c r="AZ136" i="5" s="1"/>
  <c r="BD4" i="5"/>
  <c r="BC4" i="5"/>
  <c r="BA78" i="5"/>
  <c r="AZ78" i="5" s="1"/>
  <c r="BE100" i="5"/>
  <c r="BF100" i="5" s="1"/>
  <c r="AX38" i="5"/>
  <c r="AY38" i="5"/>
  <c r="AY121" i="5"/>
  <c r="AX121" i="5"/>
  <c r="BA111" i="5"/>
  <c r="AZ111" i="5" s="1"/>
  <c r="AX34" i="5"/>
  <c r="AY34" i="5"/>
  <c r="BD6" i="5"/>
  <c r="BC6" i="5"/>
  <c r="BE66" i="5"/>
  <c r="BF66" i="5" s="1"/>
  <c r="BA10" i="5"/>
  <c r="AZ10" i="5" s="1"/>
  <c r="BD30" i="5"/>
  <c r="BC30" i="5"/>
  <c r="BA42" i="5"/>
  <c r="AZ42" i="5" s="1"/>
  <c r="AY60" i="5"/>
  <c r="AX60" i="5"/>
  <c r="BE40" i="5"/>
  <c r="BF40" i="5" s="1"/>
  <c r="BD120" i="5"/>
  <c r="BC120" i="5"/>
  <c r="AX95" i="5"/>
  <c r="AY95" i="5"/>
  <c r="AY13" i="5"/>
  <c r="AX13" i="5"/>
  <c r="BA51" i="5"/>
  <c r="AZ51" i="5" s="1"/>
  <c r="AY56" i="5"/>
  <c r="AX56" i="5"/>
  <c r="BA27" i="5"/>
  <c r="AZ27" i="5"/>
  <c r="BD53" i="5"/>
  <c r="BC53" i="5"/>
  <c r="BD70" i="5"/>
  <c r="BC70" i="5"/>
  <c r="AY116" i="5"/>
  <c r="AX116" i="5"/>
  <c r="AX120" i="5"/>
  <c r="AY120" i="5"/>
  <c r="BD85" i="5"/>
  <c r="BC85" i="5"/>
  <c r="BA69" i="5"/>
  <c r="AZ69" i="5" s="1"/>
  <c r="BD5" i="5"/>
  <c r="BC5" i="5"/>
  <c r="AX7" i="5"/>
  <c r="AY7" i="5"/>
  <c r="BD95" i="5"/>
  <c r="BC95" i="5"/>
  <c r="BE8" i="5"/>
  <c r="BF8" i="5" s="1"/>
  <c r="BE119" i="5"/>
  <c r="BF119" i="5" s="1"/>
  <c r="BA130" i="5"/>
  <c r="AZ130" i="5" s="1"/>
  <c r="BC13" i="5"/>
  <c r="BD13" i="5"/>
  <c r="BE32" i="5"/>
  <c r="BF32" i="5" s="1"/>
  <c r="AY11" i="5"/>
  <c r="AX11" i="5"/>
  <c r="BD97" i="5"/>
  <c r="BC97" i="5"/>
  <c r="AX50" i="5"/>
  <c r="AY50" i="5"/>
  <c r="AY68" i="5"/>
  <c r="AX68" i="5"/>
  <c r="BD65" i="5"/>
  <c r="BC65" i="5"/>
  <c r="AY46" i="5"/>
  <c r="AX46" i="5"/>
  <c r="BC126" i="5"/>
  <c r="BD126" i="5"/>
  <c r="AY19" i="5"/>
  <c r="AX19" i="5"/>
  <c r="BC37" i="5"/>
  <c r="BD37" i="5"/>
  <c r="BC115" i="5"/>
  <c r="BD115" i="5"/>
  <c r="BD26" i="5"/>
  <c r="BC26" i="5"/>
  <c r="AY133" i="5"/>
  <c r="AX133" i="5"/>
  <c r="BD123" i="5"/>
  <c r="BC123" i="5"/>
  <c r="BD71" i="5"/>
  <c r="BC71" i="5"/>
  <c r="BD132" i="5"/>
  <c r="BC132" i="5"/>
  <c r="AX112" i="5"/>
  <c r="AY112" i="5"/>
  <c r="BD36" i="5"/>
  <c r="BC36" i="5"/>
  <c r="BC21" i="5"/>
  <c r="BD21" i="5"/>
  <c r="BD18" i="5"/>
  <c r="BC18" i="5"/>
  <c r="AY81" i="5"/>
  <c r="AX81" i="5"/>
  <c r="BE12" i="5"/>
  <c r="BF12" i="5" s="1"/>
  <c r="BA74" i="5"/>
  <c r="AZ74" i="5" s="1"/>
  <c r="BA25" i="5"/>
  <c r="AZ25" i="5" s="1"/>
  <c r="BE111" i="5"/>
  <c r="BF111" i="5" s="1"/>
  <c r="AX73" i="5"/>
  <c r="AY73" i="5"/>
  <c r="BA35" i="5"/>
  <c r="AZ35" i="5" s="1"/>
  <c r="BD137" i="5"/>
  <c r="BC137" i="5"/>
  <c r="BD57" i="5"/>
  <c r="BC57" i="5"/>
  <c r="BE74" i="5"/>
  <c r="BF74" i="5" s="1"/>
  <c r="BE39" i="5"/>
  <c r="BF39" i="5" s="1"/>
  <c r="BD122" i="5"/>
  <c r="BC122" i="5"/>
  <c r="AY4" i="5"/>
  <c r="AX4" i="5"/>
  <c r="AX44" i="5"/>
  <c r="AY44" i="5"/>
  <c r="BD55" i="5"/>
  <c r="BC55" i="5"/>
  <c r="BA94" i="5"/>
  <c r="AZ94" i="5" s="1"/>
  <c r="AY122" i="5"/>
  <c r="AX122" i="5"/>
  <c r="AY89" i="5"/>
  <c r="AX89" i="5"/>
  <c r="BE136" i="5"/>
  <c r="BF136" i="5" s="1"/>
  <c r="AY135" i="5"/>
  <c r="AX135" i="5"/>
  <c r="BD64" i="5"/>
  <c r="BC64" i="5"/>
  <c r="BE35" i="5"/>
  <c r="BF35" i="5" s="1"/>
  <c r="AY14" i="5"/>
  <c r="AX14" i="5"/>
  <c r="AX53" i="5"/>
  <c r="AY53" i="5"/>
  <c r="AY70" i="5"/>
  <c r="AX70" i="5"/>
  <c r="BD114" i="5"/>
  <c r="BC114" i="5"/>
  <c r="BC116" i="5"/>
  <c r="BD116" i="5"/>
  <c r="AY85" i="5"/>
  <c r="AX85" i="5"/>
  <c r="AY5" i="5"/>
  <c r="AX5" i="5"/>
  <c r="BC7" i="5"/>
  <c r="BD7" i="5"/>
  <c r="BA131" i="5"/>
  <c r="AZ131" i="5" s="1"/>
  <c r="BA43" i="5"/>
  <c r="AZ43" i="5" s="1"/>
  <c r="BE78" i="5"/>
  <c r="BF78" i="5" s="1"/>
  <c r="BC76" i="5"/>
  <c r="BD76" i="5"/>
  <c r="BD96" i="5"/>
  <c r="BC96" i="5"/>
  <c r="BA32" i="5"/>
  <c r="AZ32" i="5" s="1"/>
  <c r="AY6" i="5"/>
  <c r="AX6" i="5"/>
  <c r="BE118" i="5"/>
  <c r="BF118" i="5" s="1"/>
  <c r="AX80" i="5"/>
  <c r="AY80" i="5"/>
  <c r="AY30" i="5"/>
  <c r="AX30" i="5"/>
  <c r="BD60" i="5"/>
  <c r="BC60" i="5"/>
  <c r="BD11" i="5"/>
  <c r="BC11" i="5"/>
  <c r="AY97" i="5"/>
  <c r="AX97" i="5"/>
  <c r="BD19" i="5"/>
  <c r="BC19" i="5"/>
  <c r="BE24" i="5"/>
  <c r="BF24" i="5" s="1"/>
  <c r="BA66" i="5"/>
  <c r="AZ66" i="5" s="1"/>
  <c r="BD133" i="5"/>
  <c r="BC133" i="5"/>
  <c r="AX123" i="5"/>
  <c r="AY123" i="5"/>
  <c r="BE77" i="5"/>
  <c r="BF77" i="5" s="1"/>
  <c r="AX71" i="5"/>
  <c r="AY71" i="5"/>
  <c r="BA23" i="5"/>
  <c r="AZ23" i="5" s="1"/>
  <c r="AY132" i="5"/>
  <c r="AX132" i="5"/>
  <c r="BA102" i="5"/>
  <c r="AZ102" i="5" s="1"/>
  <c r="BD112" i="5"/>
  <c r="BC112" i="5"/>
  <c r="AX36" i="5"/>
  <c r="AY36" i="5"/>
  <c r="BA92" i="5"/>
  <c r="AZ92" i="5" s="1"/>
  <c r="BA62" i="5"/>
  <c r="AZ62" i="5" s="1"/>
  <c r="BA101" i="5"/>
  <c r="AZ101" i="5" s="1"/>
  <c r="AY21" i="5"/>
  <c r="AX21" i="5"/>
  <c r="AX18" i="5"/>
  <c r="AY18" i="5"/>
  <c r="BA138" i="5"/>
  <c r="AZ138" i="5" s="1"/>
  <c r="BD52" i="5"/>
  <c r="BC52" i="5"/>
  <c r="BA84" i="5"/>
  <c r="AZ84" i="5" s="1"/>
  <c r="BD87" i="5"/>
  <c r="BC87" i="5"/>
  <c r="BC45" i="5"/>
  <c r="BD45" i="5"/>
  <c r="AY107" i="5"/>
  <c r="AX107" i="5"/>
  <c r="BE86" i="5"/>
  <c r="BF86" i="5" s="1"/>
  <c r="AY72" i="5"/>
  <c r="AX72" i="5"/>
  <c r="AY22" i="5"/>
  <c r="AX22" i="5"/>
  <c r="BC134" i="5"/>
  <c r="BD134" i="5"/>
  <c r="BD88" i="5"/>
  <c r="BC88" i="5"/>
  <c r="BD104" i="5"/>
  <c r="BC104" i="5"/>
  <c r="BD44" i="5"/>
  <c r="BC44" i="5"/>
  <c r="BD108" i="5"/>
  <c r="BC108" i="5"/>
  <c r="AY29" i="5"/>
  <c r="AX29" i="5"/>
  <c r="BA77" i="5"/>
  <c r="AZ77" i="5" s="1"/>
  <c r="AY76" i="5"/>
  <c r="AX76" i="5"/>
  <c r="BC56" i="5"/>
  <c r="BD56" i="5"/>
  <c r="AY96" i="5"/>
  <c r="AX96" i="5"/>
  <c r="BD80" i="5"/>
  <c r="BC80" i="5"/>
  <c r="BA86" i="5"/>
  <c r="AZ86" i="5" s="1"/>
  <c r="AY114" i="5"/>
  <c r="AX114" i="5"/>
  <c r="BA39" i="5"/>
  <c r="AZ39" i="5" s="1"/>
  <c r="BD50" i="5"/>
  <c r="BC50" i="5"/>
  <c r="BD68" i="5"/>
  <c r="BC68" i="5"/>
  <c r="BA54" i="5"/>
  <c r="AZ54" i="5" s="1"/>
  <c r="BE138" i="5"/>
  <c r="BF138" i="5" s="1"/>
  <c r="AY65" i="5"/>
  <c r="AX65" i="5"/>
  <c r="BD46" i="5"/>
  <c r="BC46" i="5"/>
  <c r="BE128" i="5"/>
  <c r="BF128" i="5" s="1"/>
  <c r="AY126" i="5"/>
  <c r="AX126" i="5"/>
  <c r="AX37" i="5"/>
  <c r="AY37" i="5"/>
  <c r="AY115" i="5"/>
  <c r="AX115" i="5"/>
  <c r="AX26" i="5"/>
  <c r="AY26" i="5"/>
  <c r="BD105" i="5"/>
  <c r="BC105" i="5"/>
  <c r="AX52" i="5"/>
  <c r="AY52" i="5"/>
  <c r="AX61" i="5"/>
  <c r="AY61" i="5"/>
  <c r="BD81" i="5"/>
  <c r="BC81" i="5"/>
  <c r="BD125" i="5"/>
  <c r="BC125" i="5"/>
  <c r="AX87" i="5"/>
  <c r="AY87" i="5"/>
  <c r="AY45" i="5"/>
  <c r="AX45" i="5"/>
  <c r="BC107" i="5"/>
  <c r="BD107" i="5"/>
  <c r="BD72" i="5"/>
  <c r="BC72" i="5"/>
  <c r="BD113" i="5"/>
  <c r="BC113" i="5"/>
  <c r="BE23" i="5"/>
  <c r="BF23" i="5" s="1"/>
  <c r="BE25" i="5"/>
  <c r="BF25" i="5" s="1"/>
  <c r="BD73" i="5"/>
  <c r="BC73" i="5"/>
  <c r="BD22" i="5"/>
  <c r="BC22" i="5"/>
  <c r="AY134" i="5"/>
  <c r="AX134" i="5"/>
  <c r="AX63" i="5"/>
  <c r="AY63" i="5"/>
  <c r="BE82" i="5"/>
  <c r="BF82" i="5" s="1"/>
  <c r="BD79" i="5"/>
  <c r="BC79" i="5"/>
  <c r="AY88" i="5"/>
  <c r="AX88" i="5"/>
  <c r="AY137" i="5"/>
  <c r="AX137" i="5"/>
  <c r="AX104" i="5"/>
  <c r="AY104" i="5"/>
  <c r="BD38" i="5"/>
  <c r="BC38" i="5"/>
  <c r="BD121" i="5"/>
  <c r="BC121" i="5"/>
  <c r="BD34" i="5"/>
  <c r="BC34" i="5"/>
  <c r="BD14" i="5"/>
  <c r="BC14" i="5"/>
  <c r="BE84" i="5"/>
  <c r="BF84" i="5" s="1"/>
  <c r="AY124" i="5"/>
  <c r="AX124" i="5"/>
  <c r="BA129" i="5"/>
  <c r="AZ129" i="5" s="1"/>
  <c r="BE51" i="5"/>
  <c r="BF51" i="5" s="1"/>
  <c r="BE130" i="5"/>
  <c r="BF130" i="5" s="1"/>
  <c r="BE102" i="5"/>
  <c r="BF102" i="5" s="1"/>
  <c r="BD140" i="5"/>
  <c r="BC140" i="5"/>
  <c r="BA49" i="5" l="1"/>
  <c r="AZ49" i="5" s="1"/>
  <c r="BE45" i="5"/>
  <c r="BF45" i="5" s="1"/>
  <c r="BE76" i="5"/>
  <c r="BF76" i="5" s="1"/>
  <c r="BE108" i="5"/>
  <c r="BF108" i="5" s="1"/>
  <c r="BA132" i="5"/>
  <c r="AZ132" i="5" s="1"/>
  <c r="BE19" i="5"/>
  <c r="BF19" i="5" s="1"/>
  <c r="BA4" i="5"/>
  <c r="AZ4" i="5" s="1"/>
  <c r="BA56" i="5"/>
  <c r="AZ56" i="5" s="1"/>
  <c r="BA57" i="5"/>
  <c r="AZ57" i="5" s="1"/>
  <c r="BA63" i="5"/>
  <c r="AZ63" i="5" s="1"/>
  <c r="BE107" i="5"/>
  <c r="BF107" i="5" s="1"/>
  <c r="BA61" i="5"/>
  <c r="AZ61" i="5" s="1"/>
  <c r="BE134" i="5"/>
  <c r="BF134" i="5" s="1"/>
  <c r="BA18" i="5"/>
  <c r="AZ18" i="5" s="1"/>
  <c r="BA36" i="5"/>
  <c r="AZ36" i="5" s="1"/>
  <c r="BA123" i="5"/>
  <c r="AZ123" i="5" s="1"/>
  <c r="BA53" i="5"/>
  <c r="AZ53" i="5" s="1"/>
  <c r="BE37" i="5"/>
  <c r="BF37" i="5" s="1"/>
  <c r="BE126" i="5"/>
  <c r="BF126" i="5" s="1"/>
  <c r="BA50" i="5"/>
  <c r="AZ50" i="5" s="1"/>
  <c r="BA79" i="5"/>
  <c r="AZ79" i="5" s="1"/>
  <c r="BE85" i="5"/>
  <c r="BF85" i="5" s="1"/>
  <c r="BA96" i="5"/>
  <c r="AZ96" i="5" s="1"/>
  <c r="BA72" i="5"/>
  <c r="AZ72" i="5" s="1"/>
  <c r="BE87" i="5"/>
  <c r="BF87" i="5" s="1"/>
  <c r="BE52" i="5"/>
  <c r="BF52" i="5" s="1"/>
  <c r="BA97" i="5"/>
  <c r="AZ97" i="5" s="1"/>
  <c r="BA30" i="5"/>
  <c r="AZ30" i="5" s="1"/>
  <c r="BA85" i="5"/>
  <c r="AZ85" i="5" s="1"/>
  <c r="BA89" i="5"/>
  <c r="AZ89" i="5" s="1"/>
  <c r="BE55" i="5"/>
  <c r="BF55" i="5" s="1"/>
  <c r="BE57" i="5"/>
  <c r="BF57" i="5" s="1"/>
  <c r="BA81" i="5"/>
  <c r="AZ81" i="5" s="1"/>
  <c r="BE123" i="5"/>
  <c r="BF123" i="5" s="1"/>
  <c r="BA46" i="5"/>
  <c r="AZ46" i="5" s="1"/>
  <c r="BA68" i="5"/>
  <c r="AZ68" i="5" s="1"/>
  <c r="BE5" i="5"/>
  <c r="BF5" i="5" s="1"/>
  <c r="BE30" i="5"/>
  <c r="BF30" i="5"/>
  <c r="BE6" i="5"/>
  <c r="BF6" i="5" s="1"/>
  <c r="BA121" i="5"/>
  <c r="AZ121" i="5" s="1"/>
  <c r="BE4" i="5"/>
  <c r="BF4" i="5" s="1"/>
  <c r="BA140" i="5"/>
  <c r="AZ140" i="5" s="1"/>
  <c r="BE135" i="5"/>
  <c r="BF135" i="5" s="1"/>
  <c r="BE61" i="5"/>
  <c r="BF61" i="5" s="1"/>
  <c r="BA37" i="5"/>
  <c r="AZ37" i="5" s="1"/>
  <c r="BA34" i="5"/>
  <c r="AZ34" i="5" s="1"/>
  <c r="BA125" i="5"/>
  <c r="AZ125" i="5" s="1"/>
  <c r="BE121" i="5"/>
  <c r="BF121" i="5" s="1"/>
  <c r="BA22" i="5"/>
  <c r="AZ22" i="5" s="1"/>
  <c r="BE60" i="5"/>
  <c r="BF60" i="5" s="1"/>
  <c r="BE132" i="5"/>
  <c r="BF132" i="5" s="1"/>
  <c r="BE50" i="5"/>
  <c r="BF50" i="5" s="1"/>
  <c r="BA87" i="5"/>
  <c r="AZ87" i="5" s="1"/>
  <c r="BA52" i="5"/>
  <c r="AZ52" i="5" s="1"/>
  <c r="BA26" i="5"/>
  <c r="AZ26" i="5" s="1"/>
  <c r="BE56" i="5"/>
  <c r="BF56" i="5" s="1"/>
  <c r="BE116" i="5"/>
  <c r="BF116" i="5" s="1"/>
  <c r="BA95" i="5"/>
  <c r="AZ95" i="5" s="1"/>
  <c r="BA38" i="5"/>
  <c r="AZ38" i="5" s="1"/>
  <c r="BE29" i="5"/>
  <c r="BF29" i="5" s="1"/>
  <c r="BA105" i="5"/>
  <c r="AZ105" i="5" s="1"/>
  <c r="BE72" i="5"/>
  <c r="BF72" i="5" s="1"/>
  <c r="BA114" i="5"/>
  <c r="AZ114" i="5" s="1"/>
  <c r="BE96" i="5"/>
  <c r="BF96" i="5" s="1"/>
  <c r="BE64" i="5"/>
  <c r="BF64" i="5" s="1"/>
  <c r="BE38" i="5"/>
  <c r="BF38" i="5" s="1"/>
  <c r="BA88" i="5"/>
  <c r="AZ88" i="5" s="1"/>
  <c r="BE73" i="5"/>
  <c r="BF73" i="5" s="1"/>
  <c r="BE46" i="5"/>
  <c r="BF46" i="5" s="1"/>
  <c r="BE68" i="5"/>
  <c r="BF68" i="5" s="1"/>
  <c r="BE44" i="5"/>
  <c r="BF44" i="5" s="1"/>
  <c r="BE112" i="5"/>
  <c r="BF112" i="5" s="1"/>
  <c r="BE11" i="5"/>
  <c r="BF11" i="5" s="1"/>
  <c r="BA6" i="5"/>
  <c r="AZ6" i="5" s="1"/>
  <c r="BE114" i="5"/>
  <c r="BF114" i="5" s="1"/>
  <c r="BA135" i="5"/>
  <c r="AZ135" i="5" s="1"/>
  <c r="BA122" i="5"/>
  <c r="AZ122" i="5" s="1"/>
  <c r="BE122" i="5"/>
  <c r="BF122" i="5" s="1"/>
  <c r="BE18" i="5"/>
  <c r="BF18" i="5" s="1"/>
  <c r="BE36" i="5"/>
  <c r="BF36" i="5" s="1"/>
  <c r="BE71" i="5"/>
  <c r="BF71" i="5" s="1"/>
  <c r="BE26" i="5"/>
  <c r="BF26" i="5" s="1"/>
  <c r="BA19" i="5"/>
  <c r="AZ19" i="5" s="1"/>
  <c r="BE97" i="5"/>
  <c r="BF97" i="5" s="1"/>
  <c r="BE70" i="5"/>
  <c r="BF70" i="5" s="1"/>
  <c r="BA13" i="5"/>
  <c r="AZ13" i="5"/>
  <c r="BE120" i="5"/>
  <c r="BF120" i="5" s="1"/>
  <c r="BA108" i="5"/>
  <c r="AZ108" i="5" s="1"/>
  <c r="BA113" i="5"/>
  <c r="AZ113" i="5" s="1"/>
  <c r="BA45" i="5"/>
  <c r="AZ45" i="5" s="1"/>
  <c r="BA133" i="5"/>
  <c r="AZ133" i="5" s="1"/>
  <c r="BA60" i="5"/>
  <c r="AZ60" i="5" s="1"/>
  <c r="BE89" i="5"/>
  <c r="BF89" i="5" s="1"/>
  <c r="BE124" i="5"/>
  <c r="BF124" i="5" s="1"/>
  <c r="BE63" i="5"/>
  <c r="BF63" i="5" s="1"/>
  <c r="BE22" i="5"/>
  <c r="BF22" i="5" s="1"/>
  <c r="BA104" i="5"/>
  <c r="AZ104" i="5" s="1"/>
  <c r="BA80" i="5"/>
  <c r="AZ80" i="5" s="1"/>
  <c r="BE7" i="5"/>
  <c r="BF7" i="5" s="1"/>
  <c r="BA44" i="5"/>
  <c r="AZ44" i="5" s="1"/>
  <c r="BE21" i="5"/>
  <c r="BF21" i="5" s="1"/>
  <c r="BA112" i="5"/>
  <c r="AZ112" i="5" s="1"/>
  <c r="BE13" i="5"/>
  <c r="BF13" i="5" s="1"/>
  <c r="BA120" i="5"/>
  <c r="AZ120" i="5" s="1"/>
  <c r="BA55" i="5"/>
  <c r="AZ55" i="5" s="1"/>
  <c r="BA71" i="5"/>
  <c r="AZ71" i="5" s="1"/>
  <c r="BA73" i="5"/>
  <c r="AZ73" i="5" s="1"/>
  <c r="BE115" i="5"/>
  <c r="BF115" i="5" s="1"/>
  <c r="BA7" i="5"/>
  <c r="AZ7" i="5" s="1"/>
  <c r="BA29" i="5"/>
  <c r="AZ29" i="5" s="1"/>
  <c r="BE88" i="5"/>
  <c r="BF88" i="5" s="1"/>
  <c r="BE133" i="5"/>
  <c r="BF133" i="5" s="1"/>
  <c r="BA5" i="5"/>
  <c r="AZ5" i="5" s="1"/>
  <c r="BA11" i="5"/>
  <c r="AZ11" i="5" s="1"/>
  <c r="BA116" i="5"/>
  <c r="AZ116" i="5" s="1"/>
  <c r="BE14" i="5"/>
  <c r="BF14" i="5" s="1"/>
  <c r="BA137" i="5"/>
  <c r="AZ137" i="5" s="1"/>
  <c r="BE140" i="5"/>
  <c r="BF140" i="5" s="1"/>
  <c r="BA124" i="5"/>
  <c r="AZ124" i="5" s="1"/>
  <c r="BE34" i="5"/>
  <c r="BF34" i="5" s="1"/>
  <c r="BE79" i="5"/>
  <c r="BF79" i="5" s="1"/>
  <c r="BA134" i="5"/>
  <c r="AZ134" i="5" s="1"/>
  <c r="BE113" i="5"/>
  <c r="BF113" i="5" s="1"/>
  <c r="BE125" i="5"/>
  <c r="BF125" i="5" s="1"/>
  <c r="BE81" i="5"/>
  <c r="BF81" i="5" s="1"/>
  <c r="BE105" i="5"/>
  <c r="BF105" i="5" s="1"/>
  <c r="BA115" i="5"/>
  <c r="AZ115" i="5" s="1"/>
  <c r="BA126" i="5"/>
  <c r="AZ126" i="5" s="1"/>
  <c r="BA65" i="5"/>
  <c r="AZ65" i="5" s="1"/>
  <c r="BE80" i="5"/>
  <c r="BF80" i="5" s="1"/>
  <c r="BA76" i="5"/>
  <c r="AZ76" i="5" s="1"/>
  <c r="BE104" i="5"/>
  <c r="BF104" i="5" s="1"/>
  <c r="BA107" i="5"/>
  <c r="AZ107" i="5" s="1"/>
  <c r="BA21" i="5"/>
  <c r="AZ21" i="5" s="1"/>
  <c r="BA70" i="5"/>
  <c r="AZ70" i="5" s="1"/>
  <c r="BA14" i="5"/>
  <c r="AZ14" i="5" s="1"/>
  <c r="BE137" i="5"/>
  <c r="BF137" i="5" s="1"/>
  <c r="BE65" i="5"/>
  <c r="BF65" i="5" s="1"/>
  <c r="BE95" i="5"/>
  <c r="BF95" i="5" s="1"/>
  <c r="BE53" i="5"/>
  <c r="BF53" i="5" s="1"/>
  <c r="BA64" i="5"/>
  <c r="AZ64" i="5"/>
  <c r="G141" i="5" l="1"/>
  <c r="AH141" i="5"/>
  <c r="AI141" i="5"/>
  <c r="AK141" i="5" s="1"/>
  <c r="AH142" i="5"/>
  <c r="A153" i="5" s="1"/>
  <c r="AH143" i="5"/>
  <c r="A152" i="5"/>
  <c r="D163" i="5" s="1"/>
  <c r="G152" i="5"/>
  <c r="Q164" i="5" s="1"/>
  <c r="H152" i="5"/>
  <c r="I152" i="5"/>
  <c r="E152" i="5" s="1"/>
  <c r="J152" i="5"/>
  <c r="E153" i="5" s="1"/>
  <c r="L157" i="5" s="1"/>
  <c r="M157" i="5" s="1"/>
  <c r="K152" i="5"/>
  <c r="C169" i="5" s="1"/>
  <c r="L152" i="5"/>
  <c r="E154" i="5" s="1"/>
  <c r="L158" i="5" s="1"/>
  <c r="M158" i="5" s="1"/>
  <c r="M152" i="5"/>
  <c r="E156" i="5" s="1"/>
  <c r="L160" i="5" s="1"/>
  <c r="M160" i="5" s="1"/>
  <c r="T152" i="5"/>
  <c r="D164" i="5" s="1"/>
  <c r="U152" i="5"/>
  <c r="Q169" i="5"/>
  <c r="Q170" i="5"/>
  <c r="Q171" i="5"/>
  <c r="L156" i="5" l="1"/>
  <c r="M156" i="5" s="1"/>
  <c r="P152" i="5"/>
  <c r="G168" i="5" s="1"/>
  <c r="Z152" i="5"/>
  <c r="AT143" i="5"/>
  <c r="A167" i="5" s="1"/>
  <c r="AN141" i="5"/>
  <c r="AM141" i="5"/>
  <c r="AO141" i="5"/>
  <c r="Q173" i="5"/>
  <c r="Q172" i="5" s="1"/>
  <c r="C168" i="5"/>
  <c r="A163" i="5"/>
  <c r="AL141" i="5"/>
  <c r="C167" i="5"/>
  <c r="O152" i="5"/>
  <c r="AS143" i="5"/>
  <c r="D167" i="5" s="1"/>
  <c r="N152" i="5"/>
  <c r="Q152" i="5" l="1"/>
  <c r="C163" i="5"/>
  <c r="F167" i="5" s="1"/>
  <c r="AO143" i="5"/>
  <c r="D165" i="5" s="1"/>
  <c r="C170" i="5"/>
  <c r="E167" i="5"/>
  <c r="AQ141" i="5"/>
  <c r="AR141" i="5"/>
  <c r="AK143" i="5"/>
  <c r="D166" i="5" s="1"/>
  <c r="AP141" i="5"/>
  <c r="AU143" i="5"/>
  <c r="E163" i="5" l="1"/>
  <c r="F168" i="5"/>
  <c r="F169" i="5"/>
  <c r="AL143" i="5"/>
  <c r="A166" i="5" s="1"/>
  <c r="AV143" i="5"/>
  <c r="D171" i="5" s="1"/>
  <c r="AP143" i="5"/>
  <c r="A165" i="5" s="1"/>
  <c r="AQ143" i="5"/>
  <c r="AN143" i="5"/>
  <c r="C166" i="5" s="1"/>
  <c r="AR143" i="5"/>
  <c r="C165" i="5" s="1"/>
  <c r="AM143" i="5"/>
  <c r="A164" i="5" l="1"/>
  <c r="A171" i="5"/>
  <c r="C164" i="5"/>
  <c r="E165" i="5"/>
  <c r="F165" i="5"/>
  <c r="AW143" i="5"/>
  <c r="D173" i="5" s="1"/>
  <c r="E166" i="5"/>
  <c r="F166" i="5"/>
  <c r="BB143" i="5"/>
  <c r="D172" i="5" s="1"/>
  <c r="AX143" i="5" l="1"/>
  <c r="A173" i="5" s="1"/>
  <c r="AY143" i="5"/>
  <c r="E164" i="5"/>
  <c r="F164" i="5"/>
  <c r="G167" i="5"/>
  <c r="BC143" i="5"/>
  <c r="A172" i="5" s="1"/>
  <c r="BD143" i="5"/>
  <c r="BF143" i="5" l="1"/>
  <c r="BE143" i="5"/>
  <c r="AZ143" i="5"/>
  <c r="BA143" i="5"/>
  <c r="B1" i="5"/>
  <c r="C17" i="13"/>
  <c r="C16" i="13"/>
  <c r="C15" i="13"/>
  <c r="C14" i="13"/>
  <c r="J5" i="8"/>
  <c r="K5" i="8" s="1"/>
  <c r="L5" i="8" s="1"/>
  <c r="J6" i="8"/>
  <c r="K6" i="8" s="1"/>
  <c r="L6" i="8" s="1"/>
  <c r="J7" i="8"/>
  <c r="K7" i="8" s="1"/>
  <c r="L7" i="8" s="1"/>
  <c r="J8" i="8"/>
  <c r="K8" i="8" s="1"/>
  <c r="L8" i="8" s="1"/>
  <c r="J9" i="8"/>
  <c r="K9" i="8" s="1"/>
  <c r="L9" i="8" s="1"/>
  <c r="J10" i="8"/>
  <c r="K10" i="8" s="1"/>
  <c r="L10" i="8" s="1"/>
  <c r="J11" i="8"/>
  <c r="K11" i="8" s="1"/>
  <c r="L11" i="8" s="1"/>
  <c r="J12" i="8"/>
  <c r="K12" i="8" s="1"/>
  <c r="L12" i="8" s="1"/>
  <c r="J13" i="8"/>
  <c r="K13" i="8" s="1"/>
  <c r="L13" i="8" s="1"/>
  <c r="J14" i="8"/>
  <c r="K14" i="8" s="1"/>
  <c r="L14" i="8" s="1"/>
  <c r="J15" i="8"/>
  <c r="J16" i="8"/>
  <c r="K16" i="8" s="1"/>
  <c r="L16" i="8" s="1"/>
  <c r="J17" i="8"/>
  <c r="K17" i="8" s="1"/>
  <c r="L17" i="8" s="1"/>
  <c r="J18" i="8"/>
  <c r="K18" i="8" s="1"/>
  <c r="L18" i="8" s="1"/>
  <c r="J19" i="8"/>
  <c r="K19" i="8" s="1"/>
  <c r="L19" i="8" s="1"/>
  <c r="J20" i="8"/>
  <c r="K20" i="8" s="1"/>
  <c r="L20" i="8" s="1"/>
  <c r="J21" i="8"/>
  <c r="K21" i="8" s="1"/>
  <c r="L21" i="8" s="1"/>
  <c r="J22" i="8"/>
  <c r="K22" i="8" s="1"/>
  <c r="L22" i="8" s="1"/>
  <c r="J23" i="8"/>
  <c r="K23" i="8" s="1"/>
  <c r="L23" i="8" s="1"/>
  <c r="J24" i="8"/>
  <c r="K24" i="8" s="1"/>
  <c r="L24" i="8" s="1"/>
  <c r="I26" i="8"/>
  <c r="J141" i="5" s="1"/>
  <c r="H26" i="8"/>
  <c r="I141" i="5" s="1"/>
  <c r="A26" i="8"/>
  <c r="AS141" i="5" l="1"/>
  <c r="AT141" i="5" s="1"/>
  <c r="O141" i="5"/>
  <c r="C172" i="5"/>
  <c r="C173" i="5"/>
  <c r="F173" i="5" s="1"/>
  <c r="K15" i="8"/>
  <c r="K26" i="8" s="1"/>
  <c r="C19" i="13"/>
  <c r="J26" i="8"/>
  <c r="E155" i="5" s="1"/>
  <c r="AJ141" i="5" l="1"/>
  <c r="AU141" i="5"/>
  <c r="AV141" i="5" s="1"/>
  <c r="L159" i="5"/>
  <c r="I155" i="5"/>
  <c r="E157" i="5"/>
  <c r="Q165" i="5" s="1"/>
  <c r="E173" i="5"/>
  <c r="C171" i="5"/>
  <c r="F171" i="5" s="1"/>
  <c r="H163" i="5" s="1"/>
  <c r="F172" i="5"/>
  <c r="E172" i="5"/>
  <c r="L15" i="8"/>
  <c r="L26" i="8" s="1"/>
  <c r="M159" i="5" l="1"/>
  <c r="M161" i="5" s="1"/>
  <c r="L161" i="5"/>
  <c r="Q167" i="5"/>
  <c r="Q166" i="5"/>
  <c r="AW141" i="5"/>
  <c r="BB141" i="5"/>
  <c r="E171" i="5"/>
  <c r="G163" i="5"/>
  <c r="E176" i="5" s="1"/>
  <c r="F176" i="5"/>
  <c r="BC141" i="5" l="1"/>
  <c r="BD141" i="5"/>
  <c r="BE141" i="5" s="1"/>
  <c r="BF141" i="5" s="1"/>
  <c r="AY141" i="5"/>
  <c r="BA141" i="5" s="1"/>
  <c r="AZ141" i="5" s="1"/>
  <c r="AX141" i="5"/>
  <c r="F163" i="5"/>
</calcChain>
</file>

<file path=xl/sharedStrings.xml><?xml version="1.0" encoding="utf-8"?>
<sst xmlns="http://schemas.openxmlformats.org/spreadsheetml/2006/main" count="720" uniqueCount="523">
  <si>
    <t>COD</t>
  </si>
  <si>
    <t>CLIENTE</t>
  </si>
  <si>
    <t>TELEFONO</t>
  </si>
  <si>
    <t>LOCALIDAD</t>
  </si>
  <si>
    <t>SOLI</t>
  </si>
  <si>
    <t>CTA</t>
  </si>
  <si>
    <t>IMPORTE</t>
  </si>
  <si>
    <t>PAGO</t>
  </si>
  <si>
    <t>SALDO</t>
  </si>
  <si>
    <t>BAJA</t>
  </si>
  <si>
    <t>OBSERVACIONES</t>
  </si>
  <si>
    <t>paramet 1</t>
  </si>
  <si>
    <t>paramet 2</t>
  </si>
  <si>
    <t>BAJAS 7-X</t>
  </si>
  <si>
    <t>CLIENTES</t>
  </si>
  <si>
    <t>$</t>
  </si>
  <si>
    <t>BAJAS 1-6</t>
  </si>
  <si>
    <t>PAGADOS</t>
  </si>
  <si>
    <t>MOROSOS</t>
  </si>
  <si>
    <t>MOROSOS 7 -X</t>
  </si>
  <si>
    <t>MOROSOS 1 -6</t>
  </si>
  <si>
    <t>A COBRAR</t>
  </si>
  <si>
    <t>*******</t>
  </si>
  <si>
    <t>%</t>
  </si>
  <si>
    <t>CUOTAS</t>
  </si>
  <si>
    <t>X CLIENTE</t>
  </si>
  <si>
    <t>TOTAL</t>
  </si>
  <si>
    <t>BAJAS</t>
  </si>
  <si>
    <t>BAJA CTA 1-6</t>
  </si>
  <si>
    <t>BAJA CTA 7-X</t>
  </si>
  <si>
    <t>C/BAJAS</t>
  </si>
  <si>
    <t>MOROSOS CTA 1-6</t>
  </si>
  <si>
    <t>MOROSOS CTA 7-X</t>
  </si>
  <si>
    <t>PROBLEMAS</t>
  </si>
  <si>
    <t>CORDOBA</t>
  </si>
  <si>
    <t>NO PASO</t>
  </si>
  <si>
    <t>PAGARA</t>
  </si>
  <si>
    <t>CON VEND</t>
  </si>
  <si>
    <t>CON VENTAS</t>
  </si>
  <si>
    <t>CON PROP. EC</t>
  </si>
  <si>
    <t>EL COB</t>
  </si>
  <si>
    <t>OTROS</t>
  </si>
  <si>
    <t>MOTIVO</t>
  </si>
  <si>
    <t>CAMBIO DE PLAN</t>
  </si>
  <si>
    <t>X DEVOLUCION</t>
  </si>
  <si>
    <t>MOTIVOS</t>
  </si>
  <si>
    <t>X LITIGIO Y DEVOL.</t>
  </si>
  <si>
    <t>PAGO ANTES</t>
  </si>
  <si>
    <t>PAGOS</t>
  </si>
  <si>
    <t>X AJUSTE</t>
  </si>
  <si>
    <t>X AJUSTES CAJAS</t>
  </si>
  <si>
    <t>NORMAL</t>
  </si>
  <si>
    <t>ADELANTADO</t>
  </si>
  <si>
    <t>PAGOS X ADEL</t>
  </si>
  <si>
    <t>PAGO X ADEL</t>
  </si>
  <si>
    <t>X ADEL</t>
  </si>
  <si>
    <t>MOROSO</t>
  </si>
  <si>
    <t>CALCULO</t>
  </si>
  <si>
    <t>NO PONER DEVOLUCION EN CUOTAS MENOR 15</t>
  </si>
  <si>
    <t xml:space="preserve">COLOCAR  LAS BAJAS COMO SIEMPRE </t>
  </si>
  <si>
    <t>PERO EN EL MOTIVO SOLO EN LA CUOTA MAS BAJA</t>
  </si>
  <si>
    <t>SI ES DEVOL X LITIGIO SE PUEDE COLOCAR EN CUOTAS</t>
  </si>
  <si>
    <t>MENORES A 15</t>
  </si>
  <si>
    <t>C/PXADL</t>
  </si>
  <si>
    <t>PAGOS X AJUSTE</t>
  </si>
  <si>
    <t>PAGOS A IMPUTAR</t>
  </si>
  <si>
    <t>COMISION</t>
  </si>
  <si>
    <t>TOTALES</t>
  </si>
  <si>
    <t>TOTAL COB SIN CUP</t>
  </si>
  <si>
    <t>EL ARRASTE ES EL DINERO PENDIENTE O A FAVOR DEL CLIENTE</t>
  </si>
  <si>
    <t>ARRASTRE</t>
  </si>
  <si>
    <t>SALDO /P ESTAD</t>
  </si>
  <si>
    <t>DIF. FINANCIERA</t>
  </si>
  <si>
    <t>TOTAL CLIENTES</t>
  </si>
  <si>
    <t>A RENDIR</t>
  </si>
  <si>
    <t>VALOR CUOTA</t>
  </si>
  <si>
    <t>COBRANZA SIN CUPONES</t>
  </si>
  <si>
    <t>COBRADORES</t>
  </si>
  <si>
    <t>SUCURSALES</t>
  </si>
  <si>
    <t xml:space="preserve">COB </t>
  </si>
  <si>
    <t xml:space="preserve">SI EL </t>
  </si>
  <si>
    <t>CLIEN PAGO</t>
  </si>
  <si>
    <t>SI EL CLIENTE</t>
  </si>
  <si>
    <t>DEBE ALGO</t>
  </si>
  <si>
    <t>15 C 1-6</t>
  </si>
  <si>
    <t>25 C 7-X</t>
  </si>
  <si>
    <t>MORO O BAJA</t>
  </si>
  <si>
    <t>N° CLIEN</t>
  </si>
  <si>
    <t>OTRO MEDIO</t>
  </si>
  <si>
    <t>OFICINA SAN JUAN</t>
  </si>
  <si>
    <t>BANCO</t>
  </si>
  <si>
    <t>N°CUOTA</t>
  </si>
  <si>
    <t>AUTOHOGAR</t>
  </si>
  <si>
    <t>FALTA DE PAGA</t>
  </si>
  <si>
    <t>PLANILLA SALIDA</t>
  </si>
  <si>
    <t>SAL. REAL</t>
  </si>
  <si>
    <t>CON MORA</t>
  </si>
  <si>
    <t>SISTEMA</t>
  </si>
  <si>
    <t>ESTO SUCEDE PORQUE HAY CLIENTES QUE PAGAN X ADELANTADO</t>
  </si>
  <si>
    <t>COMISION %</t>
  </si>
  <si>
    <t>PROGR/ENTREGA</t>
  </si>
  <si>
    <t>N° COBRADOR</t>
  </si>
  <si>
    <t>TOTAL COBRANZA NORMAL ----&gt;</t>
  </si>
  <si>
    <t>TOTAL COBRANZA S/CUPONES -&gt;</t>
  </si>
  <si>
    <t>TOTAL COBRANZA DE TERCEROS-&gt;</t>
  </si>
  <si>
    <t>RAWSON</t>
  </si>
  <si>
    <t>SAN JUAN</t>
  </si>
  <si>
    <t xml:space="preserve">FECHAS </t>
  </si>
  <si>
    <t>OBLIGACION DE PAGO</t>
  </si>
  <si>
    <t>TOTAL SALIDO</t>
  </si>
  <si>
    <t>TOTAL COBRADO</t>
  </si>
  <si>
    <t>PORCENTAJE COBRANZA</t>
  </si>
  <si>
    <t>TERMOMETRO</t>
  </si>
  <si>
    <t>PAGO MES ANT</t>
  </si>
  <si>
    <t>Etiquetas de columna</t>
  </si>
  <si>
    <t>Etiquetas de fila</t>
  </si>
  <si>
    <t>(en blanco)</t>
  </si>
  <si>
    <t>Total general</t>
  </si>
  <si>
    <t>(Todas)</t>
  </si>
  <si>
    <t>SALDO P/</t>
  </si>
  <si>
    <t>TOTAL ABONADO AL COBRADOR--&gt;</t>
  </si>
  <si>
    <t xml:space="preserve">TOTAL COBRANZA </t>
  </si>
  <si>
    <t>COBRANZA</t>
  </si>
  <si>
    <t>SIN CUPONES</t>
  </si>
  <si>
    <t>X ADELANTADO</t>
  </si>
  <si>
    <t>TOTAL COBRANZA X M. ELECT-&gt;</t>
  </si>
  <si>
    <t>TOTAL COBRANZA X ADELANTADO-&gt;</t>
  </si>
  <si>
    <t>X M ELECTRONICOS</t>
  </si>
  <si>
    <t>Suma de CON MORA</t>
  </si>
  <si>
    <t>X OFICINA</t>
  </si>
  <si>
    <t>COMISION XOFICINA</t>
  </si>
  <si>
    <t>BCO O ELECT</t>
  </si>
  <si>
    <t>COB XX</t>
  </si>
  <si>
    <t>COMISION PAGO X ADEL %</t>
  </si>
  <si>
    <t>COMISION X BCO. POSNET O M.P %</t>
  </si>
  <si>
    <t>BAJAS DEL PERIODO</t>
  </si>
  <si>
    <t>*</t>
  </si>
  <si>
    <t>BAJAS DEL PERIODO (mora)</t>
  </si>
  <si>
    <t>**</t>
  </si>
  <si>
    <t>MOROSOS DEL PERIODO</t>
  </si>
  <si>
    <t>***</t>
  </si>
  <si>
    <t>TOTAL NO COBRADO DEL PERIDODO</t>
  </si>
  <si>
    <t>* Dinero que no ingresa mas a la empresa</t>
  </si>
  <si>
    <t>** Mora que se convirtio en baja</t>
  </si>
  <si>
    <t>POCITOS</t>
  </si>
  <si>
    <t>TOTAL BAJAS</t>
  </si>
  <si>
    <t>****</t>
  </si>
  <si>
    <t>*****</t>
  </si>
  <si>
    <t>*** Total de bajas</t>
  </si>
  <si>
    <t>**** Clientes que no abonaron  con o sin obligacion</t>
  </si>
  <si>
    <t>BANCO O M ELECTRONICOS</t>
  </si>
  <si>
    <t>ESTRELLA MICAELA DEL ROCIO</t>
  </si>
  <si>
    <t>RAMIREZ PAULA ALEJANDRA</t>
  </si>
  <si>
    <t>MOLINI BETINA LAURA</t>
  </si>
  <si>
    <t>CHIMBAS</t>
  </si>
  <si>
    <t>AGUILAR FIDEL CHOQUE</t>
  </si>
  <si>
    <t>OYOLA SANCHEZ SABRINA MAILEN</t>
  </si>
  <si>
    <t>9 DE JULIO</t>
  </si>
  <si>
    <t>CARRIZO ALEJANDRA NELLY</t>
  </si>
  <si>
    <t>HERRERA FRANCISCO ANTONIO</t>
  </si>
  <si>
    <t>CARPIO NORMA ANA</t>
  </si>
  <si>
    <t>LORENZETTI LANZILOTTA SANDRA P.</t>
  </si>
  <si>
    <t>VARGAS MARIA HORTENCIA</t>
  </si>
  <si>
    <t>BALMACEDA MAZA FRANCISCO EMILIO</t>
  </si>
  <si>
    <t>CAJAS HUGO RICARDO</t>
  </si>
  <si>
    <t>OCHOA BARBARA YAMILA</t>
  </si>
  <si>
    <t>ALANIZ CINTIA MACARENA</t>
  </si>
  <si>
    <t>HEREDIA JUAN CARLOS</t>
  </si>
  <si>
    <t>AGÜERO PATRICIO JAVIER</t>
  </si>
  <si>
    <t>BUSTOS NELLY MABEL</t>
  </si>
  <si>
    <t>SANTA LUCIA</t>
  </si>
  <si>
    <t>ZAMBRA MARIA SOLEDAD</t>
  </si>
  <si>
    <t>GALDEANO CARRIZO HERNAN</t>
  </si>
  <si>
    <t>PASTEN OLMOS ROSA MANUELA</t>
  </si>
  <si>
    <t>PUJADO LOBOS MARTIN DAVID</t>
  </si>
  <si>
    <t>MARINERO GERMAN ANTONIO</t>
  </si>
  <si>
    <t>MOLINA EMANUEL MARCOS JAIRO</t>
  </si>
  <si>
    <t>OCAMPO BLAS RICARDO</t>
  </si>
  <si>
    <t>MERCADO ANA BELEN</t>
  </si>
  <si>
    <t>KENNY NOELIA VANESA</t>
  </si>
  <si>
    <t>AGUERO CARLOS MORENO</t>
  </si>
  <si>
    <t>CAROSELLI YANINA CAROLINA</t>
  </si>
  <si>
    <t>PEREZ LUCAS SEBASTIAN</t>
  </si>
  <si>
    <t>SALCEDO JORGE LUIS</t>
  </si>
  <si>
    <t>NUÑEZ PAMELA GISELLE</t>
  </si>
  <si>
    <t>GUTIERREZ ATENCIO ELDA VANESA</t>
  </si>
  <si>
    <t>264-4580614</t>
  </si>
  <si>
    <t>ZONDA</t>
  </si>
  <si>
    <t>CEVALLE JORGE LEONARDO</t>
  </si>
  <si>
    <t>SILLERO GABRIELA SOLEDAD</t>
  </si>
  <si>
    <t>NAVARRO EDUARDO AGUSTIN</t>
  </si>
  <si>
    <t>RIVEROS DAYANA ESTEFANIA</t>
  </si>
  <si>
    <t>CASTRO OSCAR ALBERTO</t>
  </si>
  <si>
    <t>ARIA MIRTA GLADYS</t>
  </si>
  <si>
    <t>SANTAMARIA RIVEROS DAYANA ELIANA</t>
  </si>
  <si>
    <t>MALLEA ATENCIO PAULA CECILIA</t>
  </si>
  <si>
    <t>FERRA CASTRO GASTON MAXIMILIANO</t>
  </si>
  <si>
    <t>GATICA SEBASTIAN DARIO</t>
  </si>
  <si>
    <t>MERCADO MOLINA LEILA BELEN</t>
  </si>
  <si>
    <t>PARRA SIXTO ANTONIO</t>
  </si>
  <si>
    <t>GOMEZ CARINA JULIETA</t>
  </si>
  <si>
    <t>OLIVERA GISELA ROMINA</t>
  </si>
  <si>
    <t>JOFRE CAROLINA IVANA</t>
  </si>
  <si>
    <t>ILLANES EDUARDO ADRIAN</t>
  </si>
  <si>
    <t>JANAVEL SILVIA LILIANA</t>
  </si>
  <si>
    <t>CASTAN MARIA ARGENTINA</t>
  </si>
  <si>
    <t>ANDRADA JORGELINA AIDA</t>
  </si>
  <si>
    <t>MERCADO MOLINA  DAYANA ELIZABETH</t>
  </si>
  <si>
    <t>LIZARDE SERGIO DANIEL</t>
  </si>
  <si>
    <t>PAEZ EDUARDO ANTONIO</t>
  </si>
  <si>
    <t>JOFRE GRACIELA CRISTINA</t>
  </si>
  <si>
    <t>PEREYRA NUVIA CELESTE</t>
  </si>
  <si>
    <t>264-4829505</t>
  </si>
  <si>
    <t>ELIZONDO MARIO SANTIAGO</t>
  </si>
  <si>
    <t>264-5061888</t>
  </si>
  <si>
    <t>ALBARDON</t>
  </si>
  <si>
    <t>COBRADOR SAN JUAN</t>
  </si>
  <si>
    <t>CAUCETE</t>
  </si>
  <si>
    <t>RIVADAVIA</t>
  </si>
  <si>
    <t>TRIGO ESPEJO CARLOS JAVIER</t>
  </si>
  <si>
    <t>FERNANDEZ GORIA GABRIELA CELESTE</t>
  </si>
  <si>
    <t>264-5676031</t>
  </si>
  <si>
    <t>JACHAL</t>
  </si>
  <si>
    <t>GUEVARA ANTONIO NICOLAS</t>
  </si>
  <si>
    <t>264-4837119</t>
  </si>
  <si>
    <t>HUACO</t>
  </si>
  <si>
    <t>JOFRE ELIZABETH DEL VALLE</t>
  </si>
  <si>
    <t>264-4122541</t>
  </si>
  <si>
    <t>PASTEN EMILCE SABRINA</t>
  </si>
  <si>
    <t>264-4739119</t>
  </si>
  <si>
    <t>MANRIQUE BRIZUELA BARBARA ELIZABETH</t>
  </si>
  <si>
    <t>RIVEROS HUGO GUSTAVO</t>
  </si>
  <si>
    <t>264-4816549</t>
  </si>
  <si>
    <t>MELIAN LILIANA BEATRIZ</t>
  </si>
  <si>
    <t>264-4047597</t>
  </si>
  <si>
    <t>MEDIA AGUA</t>
  </si>
  <si>
    <t>PAEZ MARIO JAVIER</t>
  </si>
  <si>
    <t>264-4675674</t>
  </si>
  <si>
    <t>ROJAS RAQUEL EVANGELINA</t>
  </si>
  <si>
    <t>264-5213213</t>
  </si>
  <si>
    <t>OCHOA ERICA DEBORA</t>
  </si>
  <si>
    <t>264-5178841</t>
  </si>
  <si>
    <t>BUENO VALERIA VANESA</t>
  </si>
  <si>
    <t>264-5435239</t>
  </si>
  <si>
    <t>NUÑEZ CHIRINO VIVIANA DEL CARMEN</t>
  </si>
  <si>
    <t>264-6730916</t>
  </si>
  <si>
    <t>ALCANIS SUSANA ELIZABETH</t>
  </si>
  <si>
    <t>264-5778208</t>
  </si>
  <si>
    <t>PAZ MAURICIO DANIEL</t>
  </si>
  <si>
    <t>264-5519338</t>
  </si>
  <si>
    <t>VALDEZ DANISA ANGELES</t>
  </si>
  <si>
    <t>264-6292028</t>
  </si>
  <si>
    <t>MARQUESADO</t>
  </si>
  <si>
    <t>PEREIRA JULIO DAVID</t>
  </si>
  <si>
    <t>264-5808073</t>
  </si>
  <si>
    <t>ESPEJO PAOLA GISELA</t>
  </si>
  <si>
    <t>264-5692712</t>
  </si>
  <si>
    <t>MOLINA AGÜERO AYELEN VICTORIA</t>
  </si>
  <si>
    <t xml:space="preserve">MERCADO PAGO </t>
  </si>
  <si>
    <t xml:space="preserve">EFECTIVO </t>
  </si>
  <si>
    <t>aumenta a 55.000</t>
  </si>
  <si>
    <t>aumenta a 60.000</t>
  </si>
  <si>
    <t>GALICIA</t>
  </si>
  <si>
    <t xml:space="preserve">EFECTIVO / LE CAMBIARON LA FECHA DE COBRO . 10 AL 15 DE CADA MES </t>
  </si>
  <si>
    <t>aumenta a 65.000</t>
  </si>
  <si>
    <t>CALDERON ROSANA ANALIA</t>
  </si>
  <si>
    <t>264-5315461</t>
  </si>
  <si>
    <t>ARIAS YESICA TAMARA</t>
  </si>
  <si>
    <t>299-5486406</t>
  </si>
  <si>
    <t>NEUQUEN</t>
  </si>
  <si>
    <t>CRUZ INES CAROLINA</t>
  </si>
  <si>
    <t>264-5111481</t>
  </si>
  <si>
    <t>BARREAL</t>
  </si>
  <si>
    <t>TELLO DOMINGA MANUELA</t>
  </si>
  <si>
    <t>264-5260938</t>
  </si>
  <si>
    <t>LA PUNTILLA</t>
  </si>
  <si>
    <t>ARANCIBIA GALLARDO JORGE IVAN</t>
  </si>
  <si>
    <t>264-5713755</t>
  </si>
  <si>
    <t>CHAMORRO PEREA MARTIN ALFREDO</t>
  </si>
  <si>
    <t>264-4647030</t>
  </si>
  <si>
    <t>ALCARAZ RICARDO RAMON</t>
  </si>
  <si>
    <t>264-5794260</t>
  </si>
  <si>
    <t>EL RINCON</t>
  </si>
  <si>
    <t>ORTEGA ROSA DEL JESUS</t>
  </si>
  <si>
    <t>264-4101302</t>
  </si>
  <si>
    <t>REYNA VILLAFAÑE TAMARA ELINA</t>
  </si>
  <si>
    <t>264-5834008</t>
  </si>
  <si>
    <t>aumenta a 60000</t>
  </si>
  <si>
    <t>no aumenta</t>
  </si>
  <si>
    <t>aumenta a 30000</t>
  </si>
  <si>
    <t>aumetna a 60000</t>
  </si>
  <si>
    <t>pausa plan paga la carpeta carbajl norma 3 carpetas mas</t>
  </si>
  <si>
    <t>en febro aumenta esta con un prestamo</t>
  </si>
  <si>
    <t>posible baja no aumenta</t>
  </si>
  <si>
    <t>no aumenta mas no puede</t>
  </si>
  <si>
    <t xml:space="preserve">no aumenta </t>
  </si>
  <si>
    <t>no puede aumenta mas</t>
  </si>
  <si>
    <t xml:space="preserve">tiene discapacida no puede aumentar </t>
  </si>
  <si>
    <t>no puede pagar mas</t>
  </si>
  <si>
    <t>esta con problema de salud estuvo grave</t>
  </si>
  <si>
    <t>no puede pagar mas q 30.000</t>
  </si>
  <si>
    <t>no peude pagar mas q 30.000</t>
  </si>
  <si>
    <t>no quiere auemntar mas quiere la casa se le hablo mas de una vez queria poner abogado</t>
  </si>
  <si>
    <t>ya aumento</t>
  </si>
  <si>
    <t xml:space="preserve">paga en 2 veces porque no le alcanza no puede aumentar </t>
  </si>
  <si>
    <t>no puede aumentar</t>
  </si>
  <si>
    <t xml:space="preserve">no puede aumentar </t>
  </si>
  <si>
    <t>no puede aumentar todavia en unos meses mas</t>
  </si>
  <si>
    <t>aumenta a 80.000</t>
  </si>
  <si>
    <t>BALMACEDA ESTER MARIA</t>
  </si>
  <si>
    <t>GARAY MARCELO</t>
  </si>
  <si>
    <t>264-5269535</t>
  </si>
  <si>
    <t>GARAY MARCELO ROBERTO</t>
  </si>
  <si>
    <t>ALMAZAN JUAN ARIEL</t>
  </si>
  <si>
    <t>264-6245764</t>
  </si>
  <si>
    <t>BUSTOS ELIZABETH NOEMI</t>
  </si>
  <si>
    <t>264-5207638</t>
  </si>
  <si>
    <t>MUÑOZ ALICIA ADRIANA</t>
  </si>
  <si>
    <t>264-4700323</t>
  </si>
  <si>
    <t>CERDA FABIAN ALEJANDRO</t>
  </si>
  <si>
    <t>264-6621777</t>
  </si>
  <si>
    <t>PEREZ JOSE ISMAEL</t>
  </si>
  <si>
    <t>264-5122570</t>
  </si>
  <si>
    <t>PAREDES HUGO ARIEL</t>
  </si>
  <si>
    <t>264-7409479</t>
  </si>
  <si>
    <t>RODEO</t>
  </si>
  <si>
    <t>ORELLANO VERA YESICA BEATRIZ</t>
  </si>
  <si>
    <t>RUIZ FABIANA ANDREA</t>
  </si>
  <si>
    <t>264-4519628</t>
  </si>
  <si>
    <t>ESCUDERO ANGELA VICTORIA</t>
  </si>
  <si>
    <t>264-5534094</t>
  </si>
  <si>
    <t>ARABENA HECTOR ARIEL</t>
  </si>
  <si>
    <t>264-4742020</t>
  </si>
  <si>
    <t>ANDRES ESPINDOLA WALTER DARIO</t>
  </si>
  <si>
    <t>264-4158966</t>
  </si>
  <si>
    <t>YACANTE ALLENDE FRANCISCO JAVIER</t>
  </si>
  <si>
    <t>264-4557852</t>
  </si>
  <si>
    <t>HIDALGO MORENO MAURO</t>
  </si>
  <si>
    <t>264-4059779</t>
  </si>
  <si>
    <t>DIAZ ANTONELLA YAMILA</t>
  </si>
  <si>
    <t>264-4743505</t>
  </si>
  <si>
    <t>LARA ELVIO ARNALDO</t>
  </si>
  <si>
    <t>264-6613176</t>
  </si>
  <si>
    <t>VAZQUEZ LUCIA NILDA</t>
  </si>
  <si>
    <t>264-6194557</t>
  </si>
  <si>
    <t>HORQUERA BARRRIONUEVO CLAUDIA ELIZABETH</t>
  </si>
  <si>
    <t>264-4047122</t>
  </si>
  <si>
    <t>LEPEZ MEDINA MIRIAM AYELEN</t>
  </si>
  <si>
    <t>264-5143197</t>
  </si>
  <si>
    <t>CALDERON ELIANA ELIZABETH</t>
  </si>
  <si>
    <t>264-4147056</t>
  </si>
  <si>
    <t>SANCHEZ CESAR ALEJANDRO</t>
  </si>
  <si>
    <t>264-4731496</t>
  </si>
  <si>
    <t>GOMEZ EDITH JORGELINA</t>
  </si>
  <si>
    <t>264-5069722</t>
  </si>
  <si>
    <t>OCHOA MARIA LUISA</t>
  </si>
  <si>
    <t>264-4449786</t>
  </si>
  <si>
    <t>LA RIOJA CAPITAL</t>
  </si>
  <si>
    <t>ESPIN CRISTINA CECILIA</t>
  </si>
  <si>
    <t>BRITOS MARIA DE LOS ANGELES</t>
  </si>
  <si>
    <t>264-4363490</t>
  </si>
  <si>
    <t>VILLACORTA FABIANA ALEJANDRA</t>
  </si>
  <si>
    <t>264-6726589</t>
  </si>
  <si>
    <t>MILLA VERONICA ANTONIA</t>
  </si>
  <si>
    <t>264-4727755</t>
  </si>
  <si>
    <t>SORIA PALACIO GERMAN OMAR</t>
  </si>
  <si>
    <t>264-4758154</t>
  </si>
  <si>
    <t>ARROYO MARIANA DEOLINDA</t>
  </si>
  <si>
    <t>264-5725038</t>
  </si>
  <si>
    <t>ANGACO</t>
  </si>
  <si>
    <t>MALDONADO NELLY LEONOR</t>
  </si>
  <si>
    <t>264-6716597</t>
  </si>
  <si>
    <t>ALVAREZ MORAN CARMEN BEATRIZ</t>
  </si>
  <si>
    <t>264-5895577</t>
  </si>
  <si>
    <t>PEREZ ALEJANDRO MAXIMILIANO</t>
  </si>
  <si>
    <t>264-6706973</t>
  </si>
  <si>
    <t>ANGUALASTO</t>
  </si>
  <si>
    <t>ARAYA PABLO RAUL</t>
  </si>
  <si>
    <t>261-7751681</t>
  </si>
  <si>
    <t>VILLA TULUMAYA</t>
  </si>
  <si>
    <t>ESPINOZA SALAS ELVIA MATILDE</t>
  </si>
  <si>
    <t>264-6719959</t>
  </si>
  <si>
    <t>DELGADO FERNANDO EXEQUIEL</t>
  </si>
  <si>
    <t>264-6614350</t>
  </si>
  <si>
    <t>OLIVERA ELISA VALERIA</t>
  </si>
  <si>
    <t>264-4447849</t>
  </si>
  <si>
    <t>HUANCA QUISPE MIRIAM NANCY</t>
  </si>
  <si>
    <t>264-5645707</t>
  </si>
  <si>
    <t>ORMEÑO DEGO ANDRES</t>
  </si>
  <si>
    <t>264-4993610</t>
  </si>
  <si>
    <t>ESPEJO ALEXANDRA VANESA</t>
  </si>
  <si>
    <t>264-5163415</t>
  </si>
  <si>
    <t>MARTINEZ CRISTIAN IVAN</t>
  </si>
  <si>
    <t>264-5738515</t>
  </si>
  <si>
    <t>MARIN FARIAS MAURICIO ALEJANDRO</t>
  </si>
  <si>
    <t>264-5858110</t>
  </si>
  <si>
    <t>TAPIA GONZALEZ CATERINA</t>
  </si>
  <si>
    <t>264-5863829</t>
  </si>
  <si>
    <t>MADRID CARLOS MARCELO</t>
  </si>
  <si>
    <t>264-5697471</t>
  </si>
  <si>
    <t>HERRERA ROCIO BELEN</t>
  </si>
  <si>
    <t>264-5835013</t>
  </si>
  <si>
    <t>LUCERO CARMONA YAQUELINA ELIZABETH</t>
  </si>
  <si>
    <t>264-6106850</t>
  </si>
  <si>
    <t>SANCHEZ ADARVEZ FEDERICO JAVIER</t>
  </si>
  <si>
    <t>264-5413514</t>
  </si>
  <si>
    <t>FALCON ARTEZ YANINA VANESA</t>
  </si>
  <si>
    <t>264-4806498</t>
  </si>
  <si>
    <t>MACHUCA DIEGO MARTIN</t>
  </si>
  <si>
    <t>264-6735637</t>
  </si>
  <si>
    <t>DI CARLO DIAZ FLORENCIA BELEN</t>
  </si>
  <si>
    <t>LAIMES INGRID NICOLE SOLEDAD</t>
  </si>
  <si>
    <t>264-5573680</t>
  </si>
  <si>
    <t>CASTILLO MARTHA BEATRIZ</t>
  </si>
  <si>
    <t>264-4479687</t>
  </si>
  <si>
    <t>CARDOZO MIRANDA PAOLA VANESA</t>
  </si>
  <si>
    <t>264-6059918</t>
  </si>
  <si>
    <t>DIAZ ERNESTO FABIAN</t>
  </si>
  <si>
    <t>264-5892492</t>
  </si>
  <si>
    <t>DIAZ MIGUEL ANGEL</t>
  </si>
  <si>
    <t>264-5103121</t>
  </si>
  <si>
    <t>MACIAS DANIELA VALERIA</t>
  </si>
  <si>
    <t>264-4038388</t>
  </si>
  <si>
    <t>RECHES SANCHEZ ELBIO</t>
  </si>
  <si>
    <t>264-5023303</t>
  </si>
  <si>
    <t>ARAYA GRISELDA ROSA</t>
  </si>
  <si>
    <t>264-4707695</t>
  </si>
  <si>
    <t>MARTINEZ BENAVIDEZ ANDREA ROSANA</t>
  </si>
  <si>
    <t>264-5071309</t>
  </si>
  <si>
    <t>GENTILI CHIRINO SABRINA ANABELA</t>
  </si>
  <si>
    <t>264-5842222</t>
  </si>
  <si>
    <t>CHAVEZ CELIA DEOLINDA</t>
  </si>
  <si>
    <t>264-5066140</t>
  </si>
  <si>
    <t>REINOSO LUISA ALEJANDRA</t>
  </si>
  <si>
    <t>264-4196459</t>
  </si>
  <si>
    <t>RODRIGUEZ FLORA ETELVINA</t>
  </si>
  <si>
    <t>264-4729466</t>
  </si>
  <si>
    <t>POBLETE VIVIANA GRACIELA</t>
  </si>
  <si>
    <t>264-4630593</t>
  </si>
  <si>
    <t>FERNANDEZ CLAUDIA CAROLINA</t>
  </si>
  <si>
    <t>264-4455717</t>
  </si>
  <si>
    <t>OLMO CECILIA CRISTINA</t>
  </si>
  <si>
    <t>264-5105298</t>
  </si>
  <si>
    <t>FUENTE ROSA ELVIRA</t>
  </si>
  <si>
    <t>264-4216221</t>
  </si>
  <si>
    <t>PEREZ MARIELA BENITA</t>
  </si>
  <si>
    <t>264-5815004</t>
  </si>
  <si>
    <t>PEREZ PAULA ROSANA GABRIELA</t>
  </si>
  <si>
    <t>264-6021447</t>
  </si>
  <si>
    <t>GONZALEZ GUTIERREZ RODRIGO</t>
  </si>
  <si>
    <t>264-4818920</t>
  </si>
  <si>
    <t>SAIRE NATALIA LORENA</t>
  </si>
  <si>
    <t>264-5069280</t>
  </si>
  <si>
    <t>FARIAS JORGE LUIS</t>
  </si>
  <si>
    <t>264-4817232</t>
  </si>
  <si>
    <t>TELLO CESAR ARMANDO</t>
  </si>
  <si>
    <t>264-5437259</t>
  </si>
  <si>
    <t>264-5318968</t>
  </si>
  <si>
    <t>CHAVEZ MARINE YASMIN</t>
  </si>
  <si>
    <t>264-4745142</t>
  </si>
  <si>
    <t>MARIN PICO ANA VIVIANA</t>
  </si>
  <si>
    <t>264-5870867</t>
  </si>
  <si>
    <t>LUJAN MONICA ANGELICA</t>
  </si>
  <si>
    <t>264-6285279</t>
  </si>
  <si>
    <t>ESPINA ROXANA MARCELA</t>
  </si>
  <si>
    <t>264-5837714</t>
  </si>
  <si>
    <t>OCAMPO RODRIGUEZ MICAELA BELEN</t>
  </si>
  <si>
    <t>264-5517837</t>
  </si>
  <si>
    <t>GARAY MERCADO ANGEL FABIAN</t>
  </si>
  <si>
    <t>264-5863854</t>
  </si>
  <si>
    <t>CORTEZ JUANA BEATRIZ</t>
  </si>
  <si>
    <t>264-5319029</t>
  </si>
  <si>
    <t>LUNA EDUARDO ALEXIS</t>
  </si>
  <si>
    <t>264-4113470</t>
  </si>
  <si>
    <t>SOSA SELVA ROCIO</t>
  </si>
  <si>
    <t>264-6170578</t>
  </si>
  <si>
    <t>TEJADA LEANDRO MIGUEL</t>
  </si>
  <si>
    <t>264-5816260</t>
  </si>
  <si>
    <t>PAEZ ILIANA YAEL</t>
  </si>
  <si>
    <t>264-6299108</t>
  </si>
  <si>
    <t>CRIADO LAURA</t>
  </si>
  <si>
    <t>264-4434960</t>
  </si>
  <si>
    <t>BARCO YASMIN ZAHIRA</t>
  </si>
  <si>
    <t>264-5824228</t>
  </si>
  <si>
    <t>ROBLEDO DANIEL JAVIER</t>
  </si>
  <si>
    <t>264-5188944</t>
  </si>
  <si>
    <t>STRAMBACH RODRIGUEZ NATALIA RUTH</t>
  </si>
  <si>
    <t>264-5450875</t>
  </si>
  <si>
    <t>CALIVA PAMELA LORENA</t>
  </si>
  <si>
    <t>264-5899505</t>
  </si>
  <si>
    <t>NIEVAS CINTHYA DAYANA</t>
  </si>
  <si>
    <t>264-6216892</t>
  </si>
  <si>
    <t>NIEVAS ELIANA TERESITA</t>
  </si>
  <si>
    <t>264-6269775</t>
  </si>
  <si>
    <t>BARBOZA G. VICTOR HUGO</t>
  </si>
  <si>
    <t>VIDELA EDGARDO ORLANDO</t>
  </si>
  <si>
    <t>264-4560699</t>
  </si>
  <si>
    <t>CORTEZ ELIZONDO CELINA INES</t>
  </si>
  <si>
    <t>264-5887078</t>
  </si>
  <si>
    <t>BALMACEDA QUINTERO ALEJANDRA NICOLE</t>
  </si>
  <si>
    <t>264-4117004</t>
  </si>
  <si>
    <t>ANDRADA EDGAR ARIEL</t>
  </si>
  <si>
    <t>264-5608849</t>
  </si>
  <si>
    <t>BAZAN FERNANDO EMANUEL</t>
  </si>
  <si>
    <t>264-5681049</t>
  </si>
  <si>
    <t>GUAYAQUINCHAY FLAVIA GISELLE</t>
  </si>
  <si>
    <t>264-6210837</t>
  </si>
  <si>
    <t>JIMENEZ HERNAN</t>
  </si>
  <si>
    <t>264-5430399</t>
  </si>
  <si>
    <t xml:space="preserve"> 264 416-0830</t>
  </si>
  <si>
    <t>2645 46-2770</t>
  </si>
  <si>
    <t>MEDIOS ELECTRONICOS</t>
  </si>
  <si>
    <t>MARTINEZ ROMINA ELIANA</t>
  </si>
  <si>
    <t>264-5068875</t>
  </si>
  <si>
    <t>SANCHEZ LOBOS AGOSTINA DEL VALLE</t>
  </si>
  <si>
    <t>264-5809502</t>
  </si>
  <si>
    <t>QUINTEROS GERARDO JAVIER</t>
  </si>
  <si>
    <t>295-6617583</t>
  </si>
  <si>
    <t>SIMAN JUANA BEATRIZ</t>
  </si>
  <si>
    <t>264-5058882</t>
  </si>
  <si>
    <t>AGOSTO</t>
  </si>
  <si>
    <t>MERCADO PAGO</t>
  </si>
  <si>
    <t>ESCUELA ANA LORENA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</si>
</sst>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_ &quot;$&quot;\ * #,##0_ ;_ &quot;$&quot;\ * \-#,##0_ ;_ &quot;$&quot;\ * &quot;-&quot;_ ;_ @_ "/>
    <numFmt numFmtId="165" formatCode="_ &quot;$&quot;\ * #,##0.00_ ;_ &quot;$&quot;\ * \-#,##0.00_ ;_ &quot;$&quot;\ * &quot;-&quot;??_ ;_ @_ "/>
    <numFmt numFmtId="166" formatCode="_ * #,##0.00_ ;_ * \-#,##0.00_ ;_ * &quot;-&quot;??_ ;_ @_ "/>
    <numFmt numFmtId="167" formatCode="&quot;IR£&quot;#,##0;\-&quot;IR£&quot;#,##0"/>
    <numFmt numFmtId="168" formatCode="&quot;$&quot;\ #,##0"/>
    <numFmt numFmtId="169" formatCode="dd/mm/yyyy;@"/>
    <numFmt numFmtId="170" formatCode="0_ ;[Red]\-0\ "/>
    <numFmt numFmtId="171" formatCode="d/m/yy;@"/>
  </numFmts>
  <fonts count="26" x14ac:knownFonts="1">
    <font>
      <sz val="10"/>
      <name val="Arial"/>
    </font>
    <font>
      <sz val="10"/>
      <name val="Arial"/>
      <family val="2"/>
    </font>
    <font>
      <b/>
      <sz val="14"/>
      <color indexed="10"/>
      <name val="Arial"/>
      <family val="2"/>
    </font>
    <font>
      <b/>
      <sz val="10"/>
      <name val="Arial"/>
      <family val="2"/>
    </font>
    <font>
      <b/>
      <sz val="10"/>
      <color indexed="10"/>
      <name val="Arial"/>
      <family val="2"/>
    </font>
    <font>
      <sz val="10"/>
      <name val="Arial"/>
      <family val="2"/>
    </font>
    <font>
      <sz val="10"/>
      <color indexed="10"/>
      <name val="Arial"/>
      <family val="2"/>
    </font>
    <font>
      <b/>
      <sz val="9"/>
      <name val="Arial"/>
      <family val="2"/>
    </font>
    <font>
      <b/>
      <sz val="10"/>
      <color indexed="56"/>
      <name val="Arial"/>
      <family val="2"/>
    </font>
    <font>
      <sz val="8"/>
      <name val="Arial"/>
      <family val="2"/>
    </font>
    <font>
      <b/>
      <sz val="8"/>
      <color indexed="10"/>
      <name val="Arial"/>
      <family val="2"/>
    </font>
    <font>
      <b/>
      <sz val="8"/>
      <name val="Arial"/>
      <family val="2"/>
    </font>
    <font>
      <b/>
      <sz val="8"/>
      <name val="Arial"/>
      <family val="2"/>
    </font>
    <font>
      <b/>
      <sz val="7"/>
      <name val="Arial"/>
      <family val="2"/>
    </font>
    <font>
      <b/>
      <sz val="7"/>
      <color indexed="10"/>
      <name val="Arial"/>
      <family val="2"/>
    </font>
    <font>
      <b/>
      <sz val="18"/>
      <name val="Arial"/>
      <family val="2"/>
    </font>
    <font>
      <b/>
      <sz val="14"/>
      <name val="Arial"/>
      <family val="2"/>
    </font>
    <font>
      <b/>
      <sz val="16"/>
      <name val="Arial"/>
      <family val="2"/>
    </font>
    <font>
      <b/>
      <sz val="18"/>
      <color indexed="10"/>
      <name val="Arial"/>
      <family val="2"/>
    </font>
    <font>
      <sz val="10"/>
      <name val="Arial"/>
      <family val="2"/>
    </font>
    <font>
      <b/>
      <sz val="10"/>
      <color indexed="10"/>
      <name val="Arial"/>
      <family val="2"/>
    </font>
    <font>
      <b/>
      <sz val="8"/>
      <color indexed="10"/>
      <name val="Arial"/>
      <family val="2"/>
    </font>
    <font>
      <sz val="10"/>
      <color indexed="10"/>
      <name val="Arial"/>
      <family val="2"/>
    </font>
    <font>
      <b/>
      <sz val="12"/>
      <color indexed="10"/>
      <name val="Arial"/>
      <family val="2"/>
    </font>
    <font>
      <sz val="11"/>
      <color indexed="8"/>
      <name val="Arial"/>
      <family val="2"/>
    </font>
    <font>
      <sz val="8"/>
      <name val="Arial"/>
      <family val="2"/>
    </font>
  </fonts>
  <fills count="36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19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42"/>
        <bgColor indexed="8"/>
      </patternFill>
    </fill>
    <fill>
      <patternFill patternType="solid">
        <fgColor indexed="26"/>
        <bgColor indexed="8"/>
      </patternFill>
    </fill>
    <fill>
      <patternFill patternType="solid">
        <fgColor indexed="9"/>
        <bgColor indexed="8"/>
      </patternFill>
    </fill>
    <fill>
      <patternFill patternType="solid">
        <fgColor indexed="4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6" tint="0.59999389629810485"/>
        <bgColor rgb="FF000000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indexed="11"/>
        <bgColor indexed="8"/>
      </patternFill>
    </fill>
    <fill>
      <patternFill patternType="solid">
        <fgColor rgb="FF92D050"/>
        <bgColor indexed="8"/>
      </patternFill>
    </fill>
    <fill>
      <patternFill patternType="solid">
        <fgColor theme="5" tint="0.39997558519241921"/>
        <bgColor indexed="8"/>
      </patternFill>
    </fill>
    <fill>
      <patternFill patternType="solid">
        <fgColor theme="4" tint="0.79998168889431442"/>
        <bgColor indexed="8"/>
      </patternFill>
    </fill>
  </fills>
  <borders count="35">
    <border>
      <left/>
      <right/>
      <top/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 style="thick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/>
      <top style="thick">
        <color indexed="64"/>
      </top>
      <bottom/>
      <diagonal/>
    </border>
    <border>
      <left/>
      <right/>
      <top style="thick">
        <color indexed="64"/>
      </top>
      <bottom/>
      <diagonal/>
    </border>
    <border>
      <left/>
      <right/>
      <top/>
      <bottom style="thick">
        <color indexed="64"/>
      </bottom>
      <diagonal/>
    </border>
    <border>
      <left style="thick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/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 style="thick">
        <color indexed="64"/>
      </right>
      <top/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ck">
        <color indexed="64"/>
      </right>
      <top/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/>
      <right style="thick">
        <color indexed="64"/>
      </right>
      <top/>
      <bottom/>
      <diagonal/>
    </border>
    <border>
      <left style="thick">
        <color indexed="64"/>
      </left>
      <right/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10"/>
      </left>
      <right/>
      <top style="thick">
        <color indexed="10"/>
      </top>
      <bottom/>
      <diagonal/>
    </border>
    <border>
      <left/>
      <right/>
      <top style="thick">
        <color indexed="10"/>
      </top>
      <bottom/>
      <diagonal/>
    </border>
    <border>
      <left style="thick">
        <color indexed="64"/>
      </left>
      <right style="thick">
        <color indexed="10"/>
      </right>
      <top style="thick">
        <color indexed="10"/>
      </top>
      <bottom style="thick">
        <color indexed="64"/>
      </bottom>
      <diagonal/>
    </border>
    <border>
      <left style="thick">
        <color indexed="10"/>
      </left>
      <right/>
      <top/>
      <bottom/>
      <diagonal/>
    </border>
    <border>
      <left style="thick">
        <color indexed="64"/>
      </left>
      <right style="thick">
        <color indexed="10"/>
      </right>
      <top style="thick">
        <color indexed="64"/>
      </top>
      <bottom style="thick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ck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0">
    <xf numFmtId="0" fontId="0" fillId="0" borderId="0"/>
    <xf numFmtId="166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9" fillId="0" borderId="0" applyFont="0" applyFill="0" applyBorder="0" applyAlignment="0" applyProtection="0"/>
  </cellStyleXfs>
  <cellXfs count="231">
    <xf numFmtId="0" fontId="0" fillId="0" borderId="0" xfId="0"/>
    <xf numFmtId="0" fontId="0" fillId="0" borderId="0" xfId="0" applyAlignment="1">
      <alignment horizontal="right"/>
    </xf>
    <xf numFmtId="0" fontId="3" fillId="0" borderId="1" xfId="0" applyFont="1" applyBorder="1"/>
    <xf numFmtId="1" fontId="3" fillId="0" borderId="2" xfId="0" applyNumberFormat="1" applyFont="1" applyBorder="1" applyAlignment="1">
      <alignment horizontal="left"/>
    </xf>
    <xf numFmtId="0" fontId="3" fillId="0" borderId="2" xfId="0" applyFont="1" applyBorder="1"/>
    <xf numFmtId="0" fontId="3" fillId="0" borderId="1" xfId="0" applyFont="1" applyBorder="1" applyAlignment="1">
      <alignment horizontal="right"/>
    </xf>
    <xf numFmtId="0" fontId="3" fillId="2" borderId="0" xfId="0" applyFont="1" applyFill="1"/>
    <xf numFmtId="0" fontId="3" fillId="0" borderId="3" xfId="0" applyFont="1" applyBorder="1"/>
    <xf numFmtId="0" fontId="3" fillId="0" borderId="0" xfId="0" applyFont="1"/>
    <xf numFmtId="0" fontId="4" fillId="0" borderId="0" xfId="0" applyFont="1"/>
    <xf numFmtId="0" fontId="3" fillId="0" borderId="4" xfId="0" applyFont="1" applyBorder="1"/>
    <xf numFmtId="0" fontId="0" fillId="0" borderId="4" xfId="0" applyBorder="1"/>
    <xf numFmtId="0" fontId="4" fillId="0" borderId="4" xfId="0" applyFont="1" applyBorder="1"/>
    <xf numFmtId="0" fontId="0" fillId="3" borderId="4" xfId="0" applyFill="1" applyBorder="1" applyProtection="1">
      <protection locked="0"/>
    </xf>
    <xf numFmtId="3" fontId="5" fillId="0" borderId="4" xfId="3" applyNumberFormat="1" applyFont="1" applyFill="1" applyBorder="1" applyAlignment="1">
      <alignment vertical="center"/>
    </xf>
    <xf numFmtId="1" fontId="0" fillId="0" borderId="0" xfId="0" applyNumberFormat="1" applyAlignment="1">
      <alignment horizontal="left"/>
    </xf>
    <xf numFmtId="0" fontId="6" fillId="0" borderId="0" xfId="0" applyFont="1"/>
    <xf numFmtId="0" fontId="3" fillId="4" borderId="0" xfId="0" applyFont="1" applyFill="1"/>
    <xf numFmtId="0" fontId="7" fillId="0" borderId="0" xfId="0" applyFont="1"/>
    <xf numFmtId="0" fontId="7" fillId="0" borderId="0" xfId="0" applyFont="1" applyAlignment="1">
      <alignment horizontal="right"/>
    </xf>
    <xf numFmtId="0" fontId="3" fillId="5" borderId="0" xfId="0" applyFont="1" applyFill="1"/>
    <xf numFmtId="1" fontId="3" fillId="6" borderId="0" xfId="0" applyNumberFormat="1" applyFont="1" applyFill="1"/>
    <xf numFmtId="0" fontId="0" fillId="0" borderId="0" xfId="0" applyAlignment="1">
      <alignment horizontal="center"/>
    </xf>
    <xf numFmtId="0" fontId="0" fillId="0" borderId="5" xfId="0" applyBorder="1"/>
    <xf numFmtId="0" fontId="0" fillId="0" borderId="6" xfId="0" applyBorder="1"/>
    <xf numFmtId="0" fontId="3" fillId="0" borderId="6" xfId="0" applyFont="1" applyBorder="1" applyAlignment="1">
      <alignment horizontal="center"/>
    </xf>
    <xf numFmtId="1" fontId="3" fillId="0" borderId="7" xfId="0" applyNumberFormat="1" applyFont="1" applyBorder="1" applyAlignment="1">
      <alignment horizontal="center"/>
    </xf>
    <xf numFmtId="0" fontId="0" fillId="0" borderId="7" xfId="0" applyBorder="1"/>
    <xf numFmtId="0" fontId="4" fillId="2" borderId="8" xfId="0" applyFont="1" applyFill="1" applyBorder="1"/>
    <xf numFmtId="0" fontId="3" fillId="0" borderId="9" xfId="0" applyFont="1" applyBorder="1"/>
    <xf numFmtId="164" fontId="4" fillId="5" borderId="9" xfId="2" applyNumberFormat="1" applyFont="1" applyFill="1" applyBorder="1" applyAlignment="1">
      <alignment horizontal="left"/>
    </xf>
    <xf numFmtId="0" fontId="4" fillId="4" borderId="9" xfId="0" applyFont="1" applyFill="1" applyBorder="1"/>
    <xf numFmtId="168" fontId="3" fillId="0" borderId="9" xfId="0" applyNumberFormat="1" applyFont="1" applyBorder="1"/>
    <xf numFmtId="10" fontId="8" fillId="7" borderId="9" xfId="0" applyNumberFormat="1" applyFont="1" applyFill="1" applyBorder="1"/>
    <xf numFmtId="1" fontId="4" fillId="8" borderId="10" xfId="0" applyNumberFormat="1" applyFont="1" applyFill="1" applyBorder="1"/>
    <xf numFmtId="164" fontId="4" fillId="8" borderId="4" xfId="2" applyNumberFormat="1" applyFont="1" applyFill="1" applyBorder="1" applyAlignment="1">
      <alignment horizontal="left"/>
    </xf>
    <xf numFmtId="1" fontId="4" fillId="6" borderId="4" xfId="0" applyNumberFormat="1" applyFont="1" applyFill="1" applyBorder="1"/>
    <xf numFmtId="168" fontId="3" fillId="0" borderId="4" xfId="0" applyNumberFormat="1" applyFont="1" applyBorder="1"/>
    <xf numFmtId="10" fontId="8" fillId="7" borderId="4" xfId="0" applyNumberFormat="1" applyFont="1" applyFill="1" applyBorder="1"/>
    <xf numFmtId="1" fontId="4" fillId="2" borderId="10" xfId="0" applyNumberFormat="1" applyFont="1" applyFill="1" applyBorder="1"/>
    <xf numFmtId="164" fontId="4" fillId="0" borderId="4" xfId="2" applyNumberFormat="1" applyFont="1" applyBorder="1" applyAlignment="1">
      <alignment horizontal="left"/>
    </xf>
    <xf numFmtId="10" fontId="8" fillId="0" borderId="4" xfId="0" applyNumberFormat="1" applyFont="1" applyBorder="1"/>
    <xf numFmtId="164" fontId="4" fillId="9" borderId="4" xfId="2" applyNumberFormat="1" applyFont="1" applyFill="1" applyBorder="1"/>
    <xf numFmtId="0" fontId="4" fillId="8" borderId="4" xfId="0" applyFont="1" applyFill="1" applyBorder="1"/>
    <xf numFmtId="10" fontId="3" fillId="10" borderId="4" xfId="0" applyNumberFormat="1" applyFont="1" applyFill="1" applyBorder="1"/>
    <xf numFmtId="1" fontId="4" fillId="2" borderId="11" xfId="0" applyNumberFormat="1" applyFont="1" applyFill="1" applyBorder="1"/>
    <xf numFmtId="0" fontId="3" fillId="0" borderId="12" xfId="0" applyFont="1" applyBorder="1"/>
    <xf numFmtId="164" fontId="4" fillId="0" borderId="12" xfId="2" applyNumberFormat="1" applyFont="1" applyBorder="1" applyAlignment="1">
      <alignment horizontal="left"/>
    </xf>
    <xf numFmtId="0" fontId="4" fillId="0" borderId="12" xfId="0" applyFont="1" applyBorder="1"/>
    <xf numFmtId="168" fontId="3" fillId="0" borderId="12" xfId="0" applyNumberFormat="1" applyFont="1" applyBorder="1"/>
    <xf numFmtId="10" fontId="8" fillId="0" borderId="12" xfId="0" applyNumberFormat="1" applyFont="1" applyBorder="1"/>
    <xf numFmtId="0" fontId="0" fillId="0" borderId="12" xfId="0" applyBorder="1"/>
    <xf numFmtId="0" fontId="9" fillId="0" borderId="0" xfId="0" applyFont="1"/>
    <xf numFmtId="0" fontId="11" fillId="0" borderId="13" xfId="0" applyFont="1" applyBorder="1"/>
    <xf numFmtId="0" fontId="11" fillId="0" borderId="5" xfId="0" applyFont="1" applyBorder="1" applyAlignment="1">
      <alignment horizontal="center"/>
    </xf>
    <xf numFmtId="0" fontId="11" fillId="0" borderId="14" xfId="0" applyFont="1" applyBorder="1" applyAlignment="1">
      <alignment horizontal="center"/>
    </xf>
    <xf numFmtId="0" fontId="3" fillId="0" borderId="13" xfId="0" applyFont="1" applyBorder="1"/>
    <xf numFmtId="0" fontId="0" fillId="0" borderId="0" xfId="0" applyAlignment="1">
      <alignment vertical="justify"/>
    </xf>
    <xf numFmtId="0" fontId="11" fillId="0" borderId="1" xfId="0" applyFont="1" applyBorder="1"/>
    <xf numFmtId="0" fontId="11" fillId="0" borderId="15" xfId="0" applyFont="1" applyBorder="1"/>
    <xf numFmtId="0" fontId="3" fillId="0" borderId="15" xfId="0" applyFont="1" applyBorder="1"/>
    <xf numFmtId="0" fontId="3" fillId="0" borderId="1" xfId="0" applyFont="1" applyBorder="1" applyAlignment="1">
      <alignment vertical="justify"/>
    </xf>
    <xf numFmtId="3" fontId="0" fillId="7" borderId="4" xfId="0" applyNumberFormat="1" applyFill="1" applyBorder="1" applyProtection="1">
      <protection locked="0"/>
    </xf>
    <xf numFmtId="1" fontId="0" fillId="7" borderId="4" xfId="0" applyNumberFormat="1" applyFill="1" applyBorder="1" applyProtection="1">
      <protection locked="0"/>
    </xf>
    <xf numFmtId="0" fontId="10" fillId="7" borderId="4" xfId="0" applyFont="1" applyFill="1" applyBorder="1" applyAlignment="1" applyProtection="1">
      <alignment vertical="justify"/>
      <protection locked="0"/>
    </xf>
    <xf numFmtId="0" fontId="4" fillId="0" borderId="16" xfId="0" applyFont="1" applyBorder="1"/>
    <xf numFmtId="0" fontId="12" fillId="0" borderId="0" xfId="0" applyFont="1" applyAlignment="1">
      <alignment horizontal="center"/>
    </xf>
    <xf numFmtId="0" fontId="13" fillId="0" borderId="0" xfId="0" applyFont="1" applyAlignment="1">
      <alignment horizontal="center"/>
    </xf>
    <xf numFmtId="0" fontId="0" fillId="2" borderId="4" xfId="0" applyFill="1" applyBorder="1" applyProtection="1">
      <protection locked="0"/>
    </xf>
    <xf numFmtId="164" fontId="0" fillId="0" borderId="0" xfId="0" applyNumberFormat="1"/>
    <xf numFmtId="9" fontId="0" fillId="0" borderId="0" xfId="0" applyNumberFormat="1"/>
    <xf numFmtId="0" fontId="4" fillId="11" borderId="4" xfId="0" applyFont="1" applyFill="1" applyBorder="1"/>
    <xf numFmtId="0" fontId="3" fillId="0" borderId="17" xfId="0" applyFont="1" applyBorder="1"/>
    <xf numFmtId="0" fontId="4" fillId="11" borderId="18" xfId="0" applyFont="1" applyFill="1" applyBorder="1"/>
    <xf numFmtId="164" fontId="4" fillId="2" borderId="19" xfId="2" applyNumberFormat="1" applyFont="1" applyFill="1" applyBorder="1"/>
    <xf numFmtId="164" fontId="4" fillId="8" borderId="9" xfId="2" applyNumberFormat="1" applyFont="1" applyFill="1" applyBorder="1"/>
    <xf numFmtId="164" fontId="4" fillId="12" borderId="1" xfId="2" applyNumberFormat="1" applyFont="1" applyFill="1" applyBorder="1"/>
    <xf numFmtId="0" fontId="4" fillId="0" borderId="14" xfId="0" applyFont="1" applyBorder="1"/>
    <xf numFmtId="0" fontId="4" fillId="0" borderId="20" xfId="0" applyFont="1" applyBorder="1"/>
    <xf numFmtId="0" fontId="4" fillId="11" borderId="16" xfId="0" applyFont="1" applyFill="1" applyBorder="1"/>
    <xf numFmtId="0" fontId="4" fillId="0" borderId="21" xfId="0" applyFont="1" applyBorder="1"/>
    <xf numFmtId="0" fontId="4" fillId="3" borderId="4" xfId="0" applyFont="1" applyFill="1" applyBorder="1" applyProtection="1">
      <protection locked="0"/>
    </xf>
    <xf numFmtId="1" fontId="4" fillId="6" borderId="0" xfId="0" applyNumberFormat="1" applyFont="1" applyFill="1"/>
    <xf numFmtId="0" fontId="0" fillId="2" borderId="6" xfId="0" applyFill="1" applyBorder="1"/>
    <xf numFmtId="0" fontId="3" fillId="2" borderId="6" xfId="0" applyFont="1" applyFill="1" applyBorder="1"/>
    <xf numFmtId="0" fontId="3" fillId="2" borderId="5" xfId="0" applyFont="1" applyFill="1" applyBorder="1"/>
    <xf numFmtId="0" fontId="3" fillId="2" borderId="14" xfId="0" applyFont="1" applyFill="1" applyBorder="1"/>
    <xf numFmtId="0" fontId="3" fillId="2" borderId="3" xfId="0" applyFont="1" applyFill="1" applyBorder="1"/>
    <xf numFmtId="0" fontId="0" fillId="2" borderId="0" xfId="0" applyFill="1"/>
    <xf numFmtId="0" fontId="3" fillId="2" borderId="22" xfId="0" applyFont="1" applyFill="1" applyBorder="1"/>
    <xf numFmtId="0" fontId="12" fillId="2" borderId="16" xfId="0" applyFont="1" applyFill="1" applyBorder="1"/>
    <xf numFmtId="0" fontId="0" fillId="2" borderId="22" xfId="0" applyFill="1" applyBorder="1"/>
    <xf numFmtId="0" fontId="3" fillId="2" borderId="23" xfId="0" applyFont="1" applyFill="1" applyBorder="1"/>
    <xf numFmtId="0" fontId="0" fillId="2" borderId="7" xfId="0" applyFill="1" applyBorder="1"/>
    <xf numFmtId="0" fontId="3" fillId="2" borderId="7" xfId="0" applyFont="1" applyFill="1" applyBorder="1"/>
    <xf numFmtId="0" fontId="3" fillId="2" borderId="20" xfId="0" applyFont="1" applyFill="1" applyBorder="1"/>
    <xf numFmtId="0" fontId="3" fillId="2" borderId="4" xfId="0" applyFont="1" applyFill="1" applyBorder="1"/>
    <xf numFmtId="0" fontId="3" fillId="3" borderId="4" xfId="0" applyFont="1" applyFill="1" applyBorder="1"/>
    <xf numFmtId="10" fontId="3" fillId="2" borderId="3" xfId="0" applyNumberFormat="1" applyFont="1" applyFill="1" applyBorder="1"/>
    <xf numFmtId="0" fontId="3" fillId="3" borderId="19" xfId="0" applyFont="1" applyFill="1" applyBorder="1"/>
    <xf numFmtId="0" fontId="6" fillId="0" borderId="24" xfId="0" applyFont="1" applyBorder="1"/>
    <xf numFmtId="10" fontId="4" fillId="8" borderId="4" xfId="0" applyNumberFormat="1" applyFont="1" applyFill="1" applyBorder="1"/>
    <xf numFmtId="3" fontId="3" fillId="13" borderId="0" xfId="0" applyNumberFormat="1" applyFont="1" applyFill="1"/>
    <xf numFmtId="0" fontId="0" fillId="8" borderId="4" xfId="0" applyFill="1" applyBorder="1" applyProtection="1">
      <protection locked="0"/>
    </xf>
    <xf numFmtId="0" fontId="10" fillId="3" borderId="4" xfId="0" applyFont="1" applyFill="1" applyBorder="1" applyProtection="1">
      <protection locked="0"/>
    </xf>
    <xf numFmtId="1" fontId="0" fillId="0" borderId="4" xfId="0" applyNumberFormat="1" applyBorder="1" applyAlignment="1">
      <alignment horizontal="left"/>
    </xf>
    <xf numFmtId="0" fontId="4" fillId="0" borderId="4" xfId="0" applyFont="1" applyBorder="1" applyAlignment="1">
      <alignment horizontal="center"/>
    </xf>
    <xf numFmtId="0" fontId="4" fillId="9" borderId="4" xfId="0" applyFont="1" applyFill="1" applyBorder="1"/>
    <xf numFmtId="0" fontId="0" fillId="3" borderId="4" xfId="0" applyFill="1" applyBorder="1"/>
    <xf numFmtId="0" fontId="0" fillId="2" borderId="4" xfId="0" applyFill="1" applyBorder="1"/>
    <xf numFmtId="0" fontId="4" fillId="0" borderId="0" xfId="0" applyFont="1" applyAlignment="1">
      <alignment horizontal="center"/>
    </xf>
    <xf numFmtId="0" fontId="3" fillId="0" borderId="1" xfId="0" applyFont="1" applyBorder="1" applyAlignment="1">
      <alignment horizontal="center"/>
    </xf>
    <xf numFmtId="169" fontId="3" fillId="14" borderId="0" xfId="0" applyNumberFormat="1" applyFont="1" applyFill="1" applyAlignment="1" applyProtection="1">
      <alignment horizontal="center"/>
      <protection locked="0"/>
    </xf>
    <xf numFmtId="0" fontId="3" fillId="0" borderId="4" xfId="0" applyFont="1" applyBorder="1" applyProtection="1">
      <protection locked="0"/>
    </xf>
    <xf numFmtId="0" fontId="0" fillId="0" borderId="4" xfId="0" applyBorder="1" applyProtection="1">
      <protection locked="0"/>
    </xf>
    <xf numFmtId="0" fontId="3" fillId="14" borderId="1" xfId="0" applyFont="1" applyFill="1" applyBorder="1"/>
    <xf numFmtId="170" fontId="3" fillId="9" borderId="4" xfId="0" applyNumberFormat="1" applyFont="1" applyFill="1" applyBorder="1"/>
    <xf numFmtId="0" fontId="4" fillId="0" borderId="4" xfId="0" applyFont="1" applyBorder="1" applyProtection="1">
      <protection locked="0"/>
    </xf>
    <xf numFmtId="0" fontId="11" fillId="0" borderId="0" xfId="0" applyFont="1" applyAlignment="1">
      <alignment horizontal="center"/>
    </xf>
    <xf numFmtId="0" fontId="20" fillId="8" borderId="4" xfId="0" applyFont="1" applyFill="1" applyBorder="1" applyProtection="1">
      <protection locked="0"/>
    </xf>
    <xf numFmtId="164" fontId="4" fillId="0" borderId="0" xfId="2" applyNumberFormat="1" applyFont="1" applyBorder="1" applyAlignment="1">
      <alignment horizontal="left"/>
    </xf>
    <xf numFmtId="3" fontId="3" fillId="15" borderId="0" xfId="0" applyNumberFormat="1" applyFont="1" applyFill="1"/>
    <xf numFmtId="0" fontId="21" fillId="0" borderId="0" xfId="0" applyFont="1"/>
    <xf numFmtId="0" fontId="5" fillId="0" borderId="0" xfId="0" applyFont="1"/>
    <xf numFmtId="1" fontId="3" fillId="16" borderId="0" xfId="0" applyNumberFormat="1" applyFont="1" applyFill="1"/>
    <xf numFmtId="1" fontId="2" fillId="9" borderId="0" xfId="0" applyNumberFormat="1" applyFont="1" applyFill="1" applyAlignment="1">
      <alignment horizontal="left"/>
    </xf>
    <xf numFmtId="0" fontId="15" fillId="17" borderId="0" xfId="0" applyFont="1" applyFill="1"/>
    <xf numFmtId="0" fontId="5" fillId="17" borderId="0" xfId="0" applyFont="1" applyFill="1"/>
    <xf numFmtId="0" fontId="3" fillId="18" borderId="0" xfId="0" applyFont="1" applyFill="1"/>
    <xf numFmtId="14" fontId="2" fillId="9" borderId="0" xfId="0" applyNumberFormat="1" applyFont="1" applyFill="1" applyAlignment="1">
      <alignment horizontal="left"/>
    </xf>
    <xf numFmtId="0" fontId="15" fillId="18" borderId="0" xfId="0" applyFont="1" applyFill="1" applyProtection="1">
      <protection locked="0"/>
    </xf>
    <xf numFmtId="0" fontId="3" fillId="0" borderId="23" xfId="0" applyFont="1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1" fillId="0" borderId="4" xfId="0" applyFont="1" applyBorder="1" applyProtection="1">
      <protection locked="0"/>
    </xf>
    <xf numFmtId="1" fontId="3" fillId="0" borderId="2" xfId="0" applyNumberFormat="1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3" fillId="13" borderId="1" xfId="0" applyFont="1" applyFill="1" applyBorder="1"/>
    <xf numFmtId="0" fontId="11" fillId="13" borderId="1" xfId="0" applyFont="1" applyFill="1" applyBorder="1"/>
    <xf numFmtId="0" fontId="2" fillId="0" borderId="0" xfId="0" applyFont="1"/>
    <xf numFmtId="0" fontId="0" fillId="17" borderId="4" xfId="0" applyFill="1" applyBorder="1"/>
    <xf numFmtId="0" fontId="3" fillId="17" borderId="4" xfId="0" applyFont="1" applyFill="1" applyBorder="1"/>
    <xf numFmtId="0" fontId="1" fillId="0" borderId="0" xfId="0" applyFont="1"/>
    <xf numFmtId="168" fontId="4" fillId="0" borderId="0" xfId="0" applyNumberFormat="1" applyFont="1"/>
    <xf numFmtId="1" fontId="1" fillId="0" borderId="4" xfId="0" applyNumberFormat="1" applyFont="1" applyBorder="1" applyAlignment="1" applyProtection="1">
      <alignment horizontal="left"/>
      <protection locked="0"/>
    </xf>
    <xf numFmtId="0" fontId="1" fillId="8" borderId="4" xfId="0" applyFont="1" applyFill="1" applyBorder="1" applyProtection="1">
      <protection locked="0"/>
    </xf>
    <xf numFmtId="0" fontId="3" fillId="18" borderId="4" xfId="0" applyFont="1" applyFill="1" applyBorder="1"/>
    <xf numFmtId="0" fontId="3" fillId="19" borderId="4" xfId="0" applyFont="1" applyFill="1" applyBorder="1"/>
    <xf numFmtId="0" fontId="4" fillId="11" borderId="0" xfId="0" applyFont="1" applyFill="1"/>
    <xf numFmtId="0" fontId="14" fillId="11" borderId="0" xfId="0" applyFont="1" applyFill="1"/>
    <xf numFmtId="10" fontId="8" fillId="7" borderId="1" xfId="0" applyNumberFormat="1" applyFont="1" applyFill="1" applyBorder="1"/>
    <xf numFmtId="3" fontId="0" fillId="0" borderId="0" xfId="0" applyNumberFormat="1"/>
    <xf numFmtId="164" fontId="4" fillId="0" borderId="0" xfId="0" applyNumberFormat="1" applyFont="1"/>
    <xf numFmtId="0" fontId="20" fillId="9" borderId="25" xfId="0" applyFont="1" applyFill="1" applyBorder="1"/>
    <xf numFmtId="0" fontId="20" fillId="9" borderId="26" xfId="0" applyFont="1" applyFill="1" applyBorder="1"/>
    <xf numFmtId="0" fontId="11" fillId="2" borderId="16" xfId="0" applyFont="1" applyFill="1" applyBorder="1"/>
    <xf numFmtId="1" fontId="17" fillId="21" borderId="4" xfId="9" applyNumberFormat="1" applyFont="1" applyFill="1" applyBorder="1" applyProtection="1"/>
    <xf numFmtId="0" fontId="3" fillId="8" borderId="4" xfId="0" applyFont="1" applyFill="1" applyBorder="1" applyProtection="1">
      <protection locked="0"/>
    </xf>
    <xf numFmtId="1" fontId="11" fillId="5" borderId="4" xfId="0" applyNumberFormat="1" applyFont="1" applyFill="1" applyBorder="1" applyProtection="1">
      <protection locked="0"/>
    </xf>
    <xf numFmtId="0" fontId="13" fillId="0" borderId="0" xfId="0" applyFont="1" applyAlignment="1">
      <alignment horizontal="right"/>
    </xf>
    <xf numFmtId="0" fontId="3" fillId="0" borderId="27" xfId="0" applyFont="1" applyBorder="1"/>
    <xf numFmtId="0" fontId="3" fillId="0" borderId="28" xfId="0" applyFont="1" applyBorder="1"/>
    <xf numFmtId="168" fontId="20" fillId="17" borderId="29" xfId="0" applyNumberFormat="1" applyFont="1" applyFill="1" applyBorder="1" applyAlignment="1">
      <alignment horizontal="center"/>
    </xf>
    <xf numFmtId="0" fontId="3" fillId="0" borderId="30" xfId="0" applyFont="1" applyBorder="1"/>
    <xf numFmtId="168" fontId="20" fillId="6" borderId="31" xfId="0" applyNumberFormat="1" applyFont="1" applyFill="1" applyBorder="1" applyAlignment="1">
      <alignment horizontal="center"/>
    </xf>
    <xf numFmtId="1" fontId="3" fillId="22" borderId="30" xfId="0" applyNumberFormat="1" applyFont="1" applyFill="1" applyBorder="1" applyAlignment="1">
      <alignment horizontal="left"/>
    </xf>
    <xf numFmtId="0" fontId="0" fillId="22" borderId="0" xfId="0" applyFill="1"/>
    <xf numFmtId="1" fontId="3" fillId="0" borderId="30" xfId="0" applyNumberFormat="1" applyFont="1" applyBorder="1" applyAlignment="1">
      <alignment horizontal="left"/>
    </xf>
    <xf numFmtId="0" fontId="22" fillId="8" borderId="0" xfId="0" applyFont="1" applyFill="1"/>
    <xf numFmtId="168" fontId="20" fillId="19" borderId="31" xfId="0" applyNumberFormat="1" applyFont="1" applyFill="1" applyBorder="1" applyAlignment="1">
      <alignment horizontal="center"/>
    </xf>
    <xf numFmtId="168" fontId="20" fillId="16" borderId="31" xfId="0" applyNumberFormat="1" applyFont="1" applyFill="1" applyBorder="1" applyAlignment="1">
      <alignment horizontal="center"/>
    </xf>
    <xf numFmtId="171" fontId="0" fillId="3" borderId="4" xfId="0" applyNumberFormat="1" applyFill="1" applyBorder="1" applyProtection="1">
      <protection locked="0"/>
    </xf>
    <xf numFmtId="0" fontId="3" fillId="13" borderId="0" xfId="0" applyFont="1" applyFill="1"/>
    <xf numFmtId="168" fontId="3" fillId="13" borderId="0" xfId="0" applyNumberFormat="1" applyFont="1" applyFill="1"/>
    <xf numFmtId="10" fontId="8" fillId="13" borderId="1" xfId="0" applyNumberFormat="1" applyFont="1" applyFill="1" applyBorder="1"/>
    <xf numFmtId="0" fontId="3" fillId="13" borderId="1" xfId="0" applyFont="1" applyFill="1" applyBorder="1" applyAlignment="1">
      <alignment horizontal="center"/>
    </xf>
    <xf numFmtId="0" fontId="0" fillId="0" borderId="0" xfId="0" applyAlignment="1">
      <alignment horizontal="left"/>
    </xf>
    <xf numFmtId="0" fontId="0" fillId="0" borderId="0" xfId="0" pivotButton="1"/>
    <xf numFmtId="168" fontId="20" fillId="11" borderId="31" xfId="0" applyNumberFormat="1" applyFont="1" applyFill="1" applyBorder="1" applyAlignment="1">
      <alignment horizontal="center"/>
    </xf>
    <xf numFmtId="168" fontId="3" fillId="6" borderId="33" xfId="0" applyNumberFormat="1" applyFont="1" applyFill="1" applyBorder="1"/>
    <xf numFmtId="0" fontId="3" fillId="0" borderId="6" xfId="0" applyFont="1" applyBorder="1"/>
    <xf numFmtId="168" fontId="0" fillId="0" borderId="0" xfId="0" applyNumberFormat="1"/>
    <xf numFmtId="0" fontId="20" fillId="0" borderId="23" xfId="0" applyFont="1" applyBorder="1"/>
    <xf numFmtId="0" fontId="20" fillId="0" borderId="7" xfId="0" applyFont="1" applyBorder="1"/>
    <xf numFmtId="168" fontId="20" fillId="0" borderId="7" xfId="0" applyNumberFormat="1" applyFont="1" applyBorder="1"/>
    <xf numFmtId="0" fontId="21" fillId="0" borderId="1" xfId="0" applyFont="1" applyBorder="1"/>
    <xf numFmtId="0" fontId="3" fillId="0" borderId="14" xfId="0" applyFont="1" applyBorder="1"/>
    <xf numFmtId="168" fontId="0" fillId="0" borderId="22" xfId="0" applyNumberFormat="1" applyBorder="1"/>
    <xf numFmtId="168" fontId="20" fillId="0" borderId="20" xfId="0" applyNumberFormat="1" applyFont="1" applyBorder="1"/>
    <xf numFmtId="0" fontId="23" fillId="16" borderId="0" xfId="0" applyFont="1" applyFill="1" applyAlignment="1">
      <alignment horizontal="right"/>
    </xf>
    <xf numFmtId="0" fontId="20" fillId="16" borderId="0" xfId="0" applyFont="1" applyFill="1" applyAlignment="1">
      <alignment horizontal="right"/>
    </xf>
    <xf numFmtId="0" fontId="3" fillId="9" borderId="0" xfId="0" applyFont="1" applyFill="1"/>
    <xf numFmtId="0" fontId="0" fillId="0" borderId="32" xfId="0" applyBorder="1" applyProtection="1">
      <protection locked="0"/>
    </xf>
    <xf numFmtId="0" fontId="0" fillId="24" borderId="32" xfId="0" applyFill="1" applyBorder="1" applyProtection="1">
      <protection locked="0"/>
    </xf>
    <xf numFmtId="1" fontId="0" fillId="0" borderId="32" xfId="0" applyNumberFormat="1" applyBorder="1" applyAlignment="1" applyProtection="1">
      <alignment horizontal="left"/>
      <protection locked="0"/>
    </xf>
    <xf numFmtId="0" fontId="4" fillId="0" borderId="32" xfId="0" applyFont="1" applyBorder="1" applyProtection="1">
      <protection locked="0"/>
    </xf>
    <xf numFmtId="0" fontId="0" fillId="25" borderId="32" xfId="0" applyFill="1" applyBorder="1" applyProtection="1">
      <protection locked="0"/>
    </xf>
    <xf numFmtId="0" fontId="4" fillId="25" borderId="32" xfId="0" applyFont="1" applyFill="1" applyBorder="1" applyProtection="1">
      <protection locked="0"/>
    </xf>
    <xf numFmtId="0" fontId="4" fillId="8" borderId="4" xfId="0" applyFont="1" applyFill="1" applyBorder="1" applyProtection="1">
      <protection locked="0"/>
    </xf>
    <xf numFmtId="16" fontId="10" fillId="24" borderId="32" xfId="0" applyNumberFormat="1" applyFont="1" applyFill="1" applyBorder="1" applyProtection="1">
      <protection locked="0"/>
    </xf>
    <xf numFmtId="0" fontId="10" fillId="24" borderId="32" xfId="0" applyFont="1" applyFill="1" applyBorder="1" applyProtection="1">
      <protection locked="0"/>
    </xf>
    <xf numFmtId="0" fontId="0" fillId="20" borderId="0" xfId="0" applyFill="1"/>
    <xf numFmtId="0" fontId="0" fillId="20" borderId="4" xfId="0" applyFill="1" applyBorder="1"/>
    <xf numFmtId="3" fontId="1" fillId="0" borderId="4" xfId="4" applyNumberFormat="1" applyFont="1" applyFill="1" applyBorder="1" applyAlignment="1">
      <alignment vertical="center"/>
    </xf>
    <xf numFmtId="0" fontId="0" fillId="23" borderId="32" xfId="0" applyFill="1" applyBorder="1" applyProtection="1">
      <protection locked="0"/>
    </xf>
    <xf numFmtId="0" fontId="4" fillId="24" borderId="32" xfId="0" applyFont="1" applyFill="1" applyBorder="1" applyProtection="1">
      <protection locked="0"/>
    </xf>
    <xf numFmtId="0" fontId="3" fillId="27" borderId="0" xfId="0" applyFont="1" applyFill="1"/>
    <xf numFmtId="0" fontId="3" fillId="28" borderId="0" xfId="0" applyFont="1" applyFill="1"/>
    <xf numFmtId="0" fontId="3" fillId="29" borderId="0" xfId="0" applyFont="1" applyFill="1"/>
    <xf numFmtId="168" fontId="3" fillId="29" borderId="0" xfId="0" applyNumberFormat="1" applyFont="1" applyFill="1"/>
    <xf numFmtId="0" fontId="0" fillId="30" borderId="34" xfId="0" applyFill="1" applyBorder="1" applyProtection="1">
      <protection locked="0"/>
    </xf>
    <xf numFmtId="0" fontId="3" fillId="31" borderId="4" xfId="0" applyFont="1" applyFill="1" applyBorder="1"/>
    <xf numFmtId="0" fontId="0" fillId="32" borderId="32" xfId="0" applyFill="1" applyBorder="1" applyProtection="1">
      <protection locked="0"/>
    </xf>
    <xf numFmtId="0" fontId="1" fillId="3" borderId="4" xfId="0" applyFont="1" applyFill="1" applyBorder="1"/>
    <xf numFmtId="171" fontId="24" fillId="33" borderId="32" xfId="0" applyNumberFormat="1" applyFont="1" applyFill="1" applyBorder="1" applyProtection="1">
      <protection locked="0"/>
    </xf>
    <xf numFmtId="0" fontId="1" fillId="24" borderId="32" xfId="0" applyFont="1" applyFill="1" applyBorder="1" applyProtection="1">
      <protection locked="0"/>
    </xf>
    <xf numFmtId="14" fontId="0" fillId="0" borderId="0" xfId="0" applyNumberFormat="1"/>
    <xf numFmtId="171" fontId="24" fillId="35" borderId="32" xfId="0" applyNumberFormat="1" applyFont="1" applyFill="1" applyBorder="1" applyProtection="1">
      <protection locked="0"/>
    </xf>
    <xf numFmtId="0" fontId="1" fillId="0" borderId="32" xfId="0" applyFont="1" applyBorder="1" applyProtection="1">
      <protection locked="0"/>
    </xf>
    <xf numFmtId="171" fontId="24" fillId="34" borderId="32" xfId="0" applyNumberFormat="1" applyFont="1" applyFill="1" applyBorder="1" applyAlignment="1" applyProtection="1">
      <alignment horizontal="center"/>
      <protection locked="0"/>
    </xf>
    <xf numFmtId="171" fontId="0" fillId="3" borderId="4" xfId="0" applyNumberFormat="1" applyFill="1" applyBorder="1" applyAlignment="1" applyProtection="1">
      <alignment horizontal="center"/>
      <protection locked="0"/>
    </xf>
    <xf numFmtId="0" fontId="21" fillId="0" borderId="0" xfId="0" applyFont="1" applyAlignment="1">
      <alignment horizontal="center"/>
    </xf>
    <xf numFmtId="3" fontId="3" fillId="15" borderId="0" xfId="0" applyNumberFormat="1" applyFont="1" applyFill="1" applyAlignment="1">
      <alignment horizontal="center"/>
    </xf>
    <xf numFmtId="0" fontId="3" fillId="28" borderId="0" xfId="0" applyFont="1" applyFill="1" applyAlignment="1">
      <alignment horizontal="center"/>
    </xf>
    <xf numFmtId="0" fontId="3" fillId="26" borderId="0" xfId="0" applyFont="1" applyFill="1" applyAlignment="1">
      <alignment horizontal="center"/>
    </xf>
    <xf numFmtId="0" fontId="3" fillId="6" borderId="7" xfId="0" applyFont="1" applyFill="1" applyBorder="1" applyAlignment="1">
      <alignment horizontal="center"/>
    </xf>
    <xf numFmtId="0" fontId="4" fillId="16" borderId="23" xfId="0" applyFont="1" applyFill="1" applyBorder="1" applyAlignment="1">
      <alignment horizontal="center"/>
    </xf>
    <xf numFmtId="0" fontId="4" fillId="16" borderId="7" xfId="0" applyFont="1" applyFill="1" applyBorder="1" applyAlignment="1">
      <alignment horizontal="center"/>
    </xf>
    <xf numFmtId="0" fontId="18" fillId="0" borderId="0" xfId="0" applyFont="1" applyAlignment="1">
      <alignment horizontal="center"/>
    </xf>
    <xf numFmtId="0" fontId="17" fillId="6" borderId="0" xfId="0" applyFont="1" applyFill="1" applyAlignment="1">
      <alignment horizontal="center"/>
    </xf>
    <xf numFmtId="0" fontId="16" fillId="22" borderId="7" xfId="0" applyFont="1" applyFill="1" applyBorder="1" applyAlignment="1">
      <alignment horizontal="center"/>
    </xf>
  </cellXfs>
  <cellStyles count="10">
    <cellStyle name="Millares 2" xfId="1" xr:uid="{00000000-0005-0000-0000-000000000000}"/>
    <cellStyle name="Moneda" xfId="2" builtinId="4"/>
    <cellStyle name="Moneda 2" xfId="3" xr:uid="{00000000-0005-0000-0000-000002000000}"/>
    <cellStyle name="Moneda 2 2" xfId="4" xr:uid="{00000000-0005-0000-0000-000003000000}"/>
    <cellStyle name="Normal" xfId="0" builtinId="0"/>
    <cellStyle name="Normal 3" xfId="5" xr:uid="{00000000-0005-0000-0000-000005000000}"/>
    <cellStyle name="Normal 4" xfId="6" xr:uid="{00000000-0005-0000-0000-000006000000}"/>
    <cellStyle name="Normal 5" xfId="7" xr:uid="{00000000-0005-0000-0000-000007000000}"/>
    <cellStyle name="Porcentaje" xfId="9" builtinId="5"/>
    <cellStyle name="Porcentaje 2" xfId="8" xr:uid="{00000000-0005-0000-0000-000009000000}"/>
  </cellStyles>
  <dxfs count="9">
    <dxf>
      <font>
        <b/>
        <i val="0"/>
        <condense val="0"/>
        <extend val="0"/>
      </font>
      <fill>
        <patternFill>
          <bgColor indexed="42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</font>
      <fill>
        <patternFill>
          <bgColor indexed="42"/>
        </patternFill>
      </fill>
    </dxf>
    <dxf>
      <font>
        <b/>
        <i val="0"/>
        <condense val="0"/>
        <extend val="0"/>
      </font>
      <fill>
        <patternFill>
          <bgColor indexed="42"/>
        </patternFill>
      </fill>
    </dxf>
    <dxf>
      <font>
        <b/>
        <i val="0"/>
        <condense val="0"/>
        <extend val="0"/>
      </font>
      <fill>
        <patternFill>
          <bgColor indexed="42"/>
        </patternFill>
      </fill>
    </dxf>
    <dxf>
      <font>
        <b/>
        <i val="0"/>
        <condense val="0"/>
        <extend val="0"/>
      </font>
      <fill>
        <patternFill>
          <bgColor indexed="42"/>
        </patternFill>
      </fill>
    </dxf>
    <dxf>
      <font>
        <b/>
        <i val="0"/>
        <condense val="0"/>
        <extend val="0"/>
      </font>
      <fill>
        <patternFill>
          <bgColor indexed="42"/>
        </patternFill>
      </fill>
    </dxf>
    <dxf>
      <font>
        <b/>
        <i val="0"/>
        <condense val="0"/>
        <extend val="0"/>
      </font>
      <fill>
        <patternFill>
          <bgColor indexed="42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uardo\waldo%20cob%20comp\Documents%20and%20Settings\Xp%2019-11-13\Configuraci&#243;n%20local\Archivos%20temporales%20de%20Internet\Content.IE5\DHLYJWNZ\PLANILLA%20MODELO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UTO"/>
      <sheetName val="CASA"/>
      <sheetName val="RENDICION"/>
      <sheetName val="Sugerencia Rendiciones "/>
      <sheetName val="COBRANZA SIN CUPON + VTA"/>
      <sheetName val="REGISTRO DE CHEQUES"/>
      <sheetName val="RANKING"/>
    </sheetNames>
    <sheetDataSet>
      <sheetData sheetId="0"/>
      <sheetData sheetId="1"/>
      <sheetData sheetId="2"/>
      <sheetData sheetId="3">
        <row r="2">
          <cell r="BP2" t="str">
            <v>Gustavo</v>
          </cell>
        </row>
        <row r="3">
          <cell r="D3" t="str">
            <v>AUTOMOVILES</v>
          </cell>
          <cell r="BP3" t="str">
            <v>Luis</v>
          </cell>
        </row>
        <row r="4">
          <cell r="D4" t="str">
            <v>VIVIENDAS</v>
          </cell>
          <cell r="BP4" t="str">
            <v>David</v>
          </cell>
        </row>
        <row r="5">
          <cell r="D5" t="str">
            <v>RANKING</v>
          </cell>
          <cell r="BP5" t="str">
            <v>Miguel</v>
          </cell>
        </row>
        <row r="6">
          <cell r="D6" t="str">
            <v>PAGARES</v>
          </cell>
          <cell r="BP6" t="str">
            <v>Sucursal</v>
          </cell>
        </row>
        <row r="7">
          <cell r="D7" t="str">
            <v>Cheques Rechazados</v>
          </cell>
          <cell r="BP7" t="str">
            <v>Depósito</v>
          </cell>
        </row>
        <row r="8">
          <cell r="D8" t="str">
            <v>RECUPEROS</v>
          </cell>
          <cell r="BP8" t="str">
            <v>Devolución</v>
          </cell>
        </row>
        <row r="9">
          <cell r="D9" t="str">
            <v>CASA FACIL</v>
          </cell>
          <cell r="BP9" t="str">
            <v>Gerente</v>
          </cell>
        </row>
        <row r="10">
          <cell r="D10" t="str">
            <v>AUTO FACIL</v>
          </cell>
          <cell r="BP10" t="str">
            <v>Otro</v>
          </cell>
        </row>
        <row r="11">
          <cell r="D11" t="str">
            <v>OTROS</v>
          </cell>
        </row>
      </sheetData>
      <sheetData sheetId="4"/>
      <sheetData sheetId="5"/>
      <sheetData sheetId="6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duardo" refreshedDate="44228.204620023149" createdVersion="4" refreshedVersion="6" minRefreshableVersion="3" recordCount="55" xr:uid="{00000000-000A-0000-FFFF-FFFF00000000}">
  <cacheSource type="worksheet">
    <worksheetSource ref="A3:W140" sheet="AUTOHOGAR"/>
  </cacheSource>
  <cacheFields count="23">
    <cacheField name="COD" numFmtId="0">
      <sharedItems containsSemiMixedTypes="0" containsString="0" containsNumber="1" containsInteger="1" minValue="1908" maxValue="1987"/>
    </cacheField>
    <cacheField name="CLIENTE" numFmtId="0">
      <sharedItems count="360">
        <s v="ESTRELLA MICAELA DEL ROCIO"/>
        <s v="RAMIREZ PAULA ALEJANDRA"/>
        <s v="MOLINI BETINA LAURA"/>
        <s v="AGUILAR FIDEL CHOQUE"/>
        <s v="OYOLA SANCHEZ SABRINA MAILEN"/>
        <s v="CARRIZO ALEJANDRA NELLY"/>
        <s v="HERRERA FRANCISCO ANTONIO"/>
        <s v="CARPIO NORMA ANA"/>
        <s v="LORENZETTI LANZILOTTA SANDRA P."/>
        <s v="VARGAS MARIA HORTENCIA"/>
        <s v="BALMACEDA MAZA FRANCISCO EMILIO"/>
        <s v="CAJAS HUGO RICARDO"/>
        <s v="OCHOA BARBARA YAMILA"/>
        <s v="ALANIZ CINTIA MACARENA"/>
        <s v="HEREDIA JUAN CARLOS"/>
        <s v="AGÜERO PATRICIO JAVIER"/>
        <s v="BUSTOS NELLY MABEL"/>
        <s v="ZAMBRA MARIA SOLEDAD"/>
        <s v="GALDEANO CARRIZO HERNAN"/>
        <s v="PASTEN OLMOS ROSA MANUELA"/>
        <s v="AGUERO CARLOS MORENO"/>
        <s v="PUJADO LOBOS MARTIN DAVID"/>
        <s v="MARINERO GERMAN ANTONIO"/>
        <s v="MOLINA EMANUEL MARCOS JAIRO"/>
        <s v="OCAMPO BLAS RICARDO"/>
        <s v="MERCADO ANA BELEN"/>
        <s v="KENNY NOELIA VANESA"/>
        <s v="CAROSELLI YANINA CAROLINA"/>
        <s v="PEREZ LUCAS SEBASTIAN"/>
        <s v="SALCEDO JORGE LUIS"/>
        <s v="NUÑEZ PAMELA GISELLE"/>
        <s v="GUTIERREZ ATENCIO ELDA VANESA"/>
        <s v="CEVALLE JORGE LEONARDO"/>
        <s v="SILLERO GABRIELA SOLEDAD"/>
        <s v="NAVARRO EDUARDO AGUSTIN"/>
        <s v="RIVEROS DAYANA ESTEFANIA"/>
        <s v="CASTRO OSCAR ALBERTO"/>
        <s v="ARIA MIRTA GLADYS"/>
        <s v="SANTAMARIA RIVEROS DAYANA ELIANA"/>
        <s v="MALLEA ATENCIO PAULA CECILIA"/>
        <s v="FERRA CASTRO GASTON MAXIMILIANO"/>
        <s v="GATICA SEBASTIAN DARIO"/>
        <s v="MERCADO MOLINA LEILA BELEN"/>
        <s v="PARRA SIXTO ANTONIO"/>
        <s v="GOMEZ CARINA JULIETA"/>
        <s v="OLIVERA GISELA ROMINA"/>
        <s v="JOFRE CAROLINA IVANA"/>
        <s v="ILLANES EDUARDO ADRIAN"/>
        <s v="JANAVEL SILVIA LILIANA"/>
        <s v="CASTAN MARIA ARGENTINA"/>
        <s v="ANDRADA JORGELINA AIDA"/>
        <s v="MERCADO MOLINA  DAYANA ELIZABETH"/>
        <s v="LIZARDE SERGIO DANIEL"/>
        <s v="PAEZ EDUARDO ANTONIO"/>
        <s v="JOFRE GRACIELA CRISTINA"/>
        <s v="ARBO MARIANA DEL ROSARIO" u="1"/>
        <s v="VALDEZ ALEJANDRA LORENA" u="1"/>
        <s v="CHIRINO HECTOR JAVIER" u="1"/>
        <s v="SALINAS ANA GRACIELA" u="1"/>
        <s v="ALCARAZ RICARDO RAMON" u="1"/>
        <s v="PEREZ FARRAN YESICA ARACELI" u="1"/>
        <s v="GIL SALINAS NICOLAS CARLOS" u="1"/>
        <s v="COLOMBO MAIRA NOEMI" u="1"/>
        <s v="VILLEGAS WILLIAM OSVALDO" u="1"/>
        <s v="MUÑOZ ANALIA BEATRIZ" u="1"/>
        <s v="SAMBOR JONATAN EZEQUIEL" u="1"/>
        <s v="GALLARDO MARIANO ISMAEL" u="1"/>
        <s v="IBARROLA RIVERO NESTOR DAVID" u="1"/>
        <s v="GONZALEZ PEDRO ARIEL" u="1"/>
        <s v="MOLINA EUGENIO" u="1"/>
        <s v="CORTEZ PABLO NOLBERTO" u="1"/>
        <s v="ROJAS HERMAN ROQUE" u="1"/>
        <s v="CABALLERO MATIAS LEONARDO" u="1"/>
        <s v="CORDERO ZULMA NOEMI" u="1"/>
        <s v="TAPIA EDUARDO OSCAR" u="1"/>
        <s v="MORALES ROCIO AYELEN" u="1"/>
        <s v="GOMEZ YANELA BEATRIZ" u="1"/>
        <s v="TELLO TAILA YOLANDA" u="1"/>
        <s v="MOLINA RAQUEL LEONELA" u="1"/>
        <s v="TORRES LUIS ALBERTO" u="1"/>
        <s v="CARRIZO JOHANA ELIZABETH" u="1"/>
        <s v="FIGUEROA CARRIZO MERCEDES SILVIA" u="1"/>
        <s v="VARELA XENIA" u="1"/>
        <s v="PASTEN MARTA CARINA" u="1"/>
        <s v="SARRACINA MERCEDESA" u="1"/>
        <s v="GARRIDO FUENZALIDA PAMELA M." u="1"/>
        <s v="ROMERO SAMPER MARIA AMELIA" u="1"/>
        <s v="VILDOZO VERA EDUARDO SEBASTIAN" u="1"/>
        <s v="LLABRES GIMENEZ GABRIEL E." u="1"/>
        <s v="GIL RODOLFO ALEJANDRO" u="1"/>
        <s v="CASTRO ELBA MARIA" u="1"/>
        <s v="CANO CRISTINA CECILIA" u="1"/>
        <s v="DIAZ MIGUEL ANGEL" u="1"/>
        <s v="VIDELA CARLOS EMANUEL" u="1"/>
        <s v="FRIAS IBAZETA MARIA ALEJANDRA" u="1"/>
        <s v="CACERES MAXIMILIANO NICOLAS" u="1"/>
        <s v="FUENTES TATIANA ALEJANDRA" u="1"/>
        <s v="OVALLE MARIA FERNANDA" u="1"/>
        <s v="PAEZ SUIZER SILVINA INES" u="1"/>
        <s v="FLORES SANTANA OSCAR JAVIER" u="1"/>
        <s v="ARIAS TORRES VANESSA" u="1"/>
        <s v="VILLEGAS YESICA ISABEL" u="1"/>
        <s v="MALDONADO RAQUEL ISABEL" u="1"/>
        <s v="RETA JOSE ARIEL" u="1"/>
        <s v="AVILA MARIA EUGENIA" u="1"/>
        <s v="PAEZ GODOY MERCEDES ELIZABETH" u="1"/>
        <s v="RIOS JOSE SEGUNDO" u="1"/>
        <s v="ECHEVARRIA MARIA MARGARITA" u="1"/>
        <s v="ALANIZ ANALIA IVANA " u="1"/>
        <s v="FIGUEROA CASTRO VERONICA SAMIRA" u="1"/>
        <s v="JACOME CASTILLO RUBEN ESTEBAN" u="1"/>
        <s v="FARIAS MARIO GERARDO" u="1"/>
        <s v="LOBOS PAOLA VANESA" u="1"/>
        <s v="AGÜERO PASTRAN ROCIO MICAELA" u="1"/>
        <s v="CARRION IVANA BEATRIZ" u="1"/>
        <s v="CORDOBA DANIEL ELIGIO" u="1"/>
        <s v="CARRION MARIA CECILIA" u="1"/>
        <s v="AHUMADA GABRIEL HORACIO" u="1"/>
        <s v="SAAVEDRA FRANCO DANIEL" u="1"/>
        <s v="CHANDIA IRMA DEL CARMEN" u="1"/>
        <s v="ACOSTA RICARDO JAVIER" u="1"/>
        <s v="ESPEJO GRACIELA VANESA" u="1"/>
        <s v="FRANCISCA GONZALEZ" u="1"/>
        <s v="VIDELA JORGE HUMBERTO" u="1"/>
        <s v="MASS CARLOS NAHUEL" u="1"/>
        <s v="ESCUDERO JOSE LUIS" u="1"/>
        <s v="ALVAREZ DAYANA ELIZABETH" u="1"/>
        <s v="SIDASMED NOELIA " u="1"/>
        <s v="IBACACHE JONATAN JESUS" u="1"/>
        <s v="MOLINA OLIVERA MARIO ALBERTO" u="1"/>
        <s v="ARAGON NOELIA MARISA" u="1"/>
        <s v="CHENA VALERIA ESTEFANIS" u="1"/>
        <s v="JOFRE ELIZABETH DEL VALLE" u="1"/>
        <s v="FIERRO ROMINA TATIANA" u="1"/>
        <s v="NAVARRO JORGE ALBERTO" u="1"/>
        <s v="VILLAFAÑE FLORENCIA GISEL" u="1"/>
        <s v="HEREDIA MRCELO FABIAN" u="1"/>
        <s v="SANCHEZ YULIANA AYELEN AIXA" u="1"/>
        <s v="GALVAN DIEGO ALEXIS" u="1"/>
        <s v="MAIDANA SABRINA DEL MILAGRO" u="1"/>
        <s v="QUIROGA LUIS EDUARDO" u="1"/>
        <s v="LUCERO ROBERTO ARIEL" u="1"/>
        <s v="LAFUENTE JUAN ANDRES" u="1"/>
        <s v="CISTERNA MIGUEL ANGEL" u="1"/>
        <s v="ORTEGA MERCEDES ALICIA" u="1"/>
        <s v="CABRERA EDUARDO GABRIEL" u="1"/>
        <s v="SANCHEZ JUAN CARLOS" u="1"/>
        <s v="CUELLO JOSE EDUARDO" u="1"/>
        <s v="SOLAR NOELIA RAQUEL" u="1"/>
        <s v="CARBAJAL MARA EUGENIA" u="1"/>
        <s v="MALLEA SUSANA DEL VALLE" u="1"/>
        <s v="FLORES LUCAS MATIAS" u="1"/>
        <s v="SORIA MOLINI WALTER HUMBERTO" u="1"/>
        <s v="SANTANDER JUAN CARLOS" u="1"/>
        <s v="GONZALEZ CLAUDIA CECILIA" u="1"/>
        <s v="ABALLAY WALTER ARMANDO" u="1"/>
        <s v="FIGUEROA SANTOS BERNABE" u="1"/>
        <s v="PAEZ EMANUEL ALBERTO" u="1"/>
        <s v="LOPEZ MARIANO DANIEL" u="1"/>
        <s v="COLLADO CARMEN" u="1"/>
        <s v="MORALES FRANCO RUBEN" u="1"/>
        <s v="CARRASCO MACIAS MATIAS E." u="1"/>
        <s v="COPA MARTINEZ RODOLFO" u="1"/>
        <s v="DIAZ ENRIQUE LEONARDO" u="1"/>
        <s v="CALIVA CHAVEZ DOMINGO PEDRO" u="1"/>
        <s v="PEREZ LUCIA BEATRIZ" u="1"/>
        <s v="SOSA ANDREA LUCIA" u="1"/>
        <s v="ZALAZAR CARINA MARCELA" u="1"/>
        <s v="GUAQUINCHAY OCHOA LILIANA C." u="1"/>
        <s v="PAEZ LAURA" u="1"/>
        <s v="PARIONA LOPEZ JUVENAL JORGE" u="1"/>
        <s v="SUAREZ NELIDA ELIANA" u="1"/>
        <s v="GOMEZ BRIAN EZEQUIEL" u="1"/>
        <s v="VILLARUEL CRISTIAN ANDRES" u="1"/>
        <s v="HEREDIA AGUILAR MARIELA LUCIA" u="1"/>
        <s v="PERALTA ROSANA MARIELA" u="1"/>
        <s v="DIAZ MABEL CEFERINA" u="1"/>
        <s v="FLORES DOMINGO VICTOR" u="1"/>
        <s v="DIAZ RUBEN ANIBAL" u="1"/>
        <s v="SALINAS CARLOS ALBERTO" u="1"/>
        <s v="MIRANDA CASTRO JONATAN F." u="1"/>
        <s v="RETA REINA VICTOR IGNACIO" u="1"/>
        <s v="ALLENDE RAUL ANTONIO" u="1"/>
        <s v="MORALES ALBERTO DANIEL" u="1"/>
        <s v="TEJADA SERGIO RAUL" u="1"/>
        <s v="GIL JUAN CARLOS" u="1"/>
        <s v="CATALDO RICARDO DANIEL" u="1"/>
        <s v="GONZALEZ DANTE ALFREDO" u="1"/>
        <s v="MEGLIOLI MATIAS GERMAN" u="1"/>
        <s v="CHAVEZ  VANINA ALEJANDRA" u="1"/>
        <s v="GIMBERNAT MARCELA ALICIA" u="1"/>
        <s v="PADILLA JUAN ENRIQUE" u="1"/>
        <s v="MONTAÑA CORTEZ ENZO JESUS" u="1"/>
        <s v="TOMEO BEATRIZ IRENE" u="1"/>
        <s v="CACERES PATRICIA ANTONIA" u="1"/>
        <s v="AGUILAR LUCIA DEL CARMEN" u="1"/>
        <s v="CASTILLA CRISTIAN LEONARDO" u="1"/>
        <s v="BORGHETTI GARCIA DEBORA FLORENCIA" u="1"/>
        <s v="VIDELA SONIA VANESA" u="1"/>
        <s v="MENDEZ SILVANA DEL R." u="1"/>
        <s v="ARAGON HECTOR ANDRES" u="1"/>
        <s v="CABALLERO CECILIA RAMONA" u="1"/>
        <s v="ALVAREZ SUSANA GRACIELA" u="1"/>
        <s v="PAREDES TEJADA NATALIA" u="1"/>
        <s v="ANDRADA KARINA SOLEDAD" u="1"/>
        <s v="MARTINEZ CARLOS ALBERTO" u="1"/>
        <s v="FONTIVEROS CARRIZO GABRIELA V." u="1"/>
        <s v="ECHANDIA DARIO GASTON" u="1"/>
        <s v="FERNANDEZ JORGE JOAQUIN" u="1"/>
        <s v="CASTRO SANTANA DANISA RAMONA" u="1"/>
        <s v="LUCERO EMILSE LORENA" u="1"/>
        <s v="CHACON MAXIMILIANO ALFREDO" u="1"/>
        <s v="CARRIZO ALICIA ROSANA" u="1"/>
        <s v="D'AGOSTINO JOSE OSVALDO" u="1"/>
        <s v="GALDEANO SEBASTIAN ALBERTO" u="1"/>
        <s v="MUÑOZ MARTA LILIANA" u="1"/>
        <s v="MALLEA REYNA MARY" u="1"/>
        <s v="DIAZ SALLY ROMINA" u="1"/>
        <s v="QUIROGA ROMINA AYELEN" u="1"/>
        <s v="SALINAS DIEGO EMANUEL" u="1"/>
        <s v="SAMPER PEREZ LAURA VANESA" u="1"/>
        <s v="RIVEROS LAURA EDITH" u="1"/>
        <s v="SANCHEZ GARCIA MAURICIO ARIEL" u="1"/>
        <s v="FUNES JUANA EDITH" u="1"/>
        <s v="QUIROGA TAMARA SILVANA" u="1"/>
        <s v="CORTEZ ERIC JOSUE" u="1"/>
        <s v="FERREYRA RUBIA RODRIGO OMAR" u="1"/>
        <s v="PEDRON DIEGO ARMANDO" u="1"/>
        <s v="MONDACA MIGUEL ALFREDO" u="1"/>
        <s v="BALMACEDA ESTER MARIA" u="1"/>
        <s v="MONTAÑA MICAELA PATRICIA" u="1"/>
        <s v="MARTINEZ SUSANA ESTELA" u="1"/>
        <s v="DONOSO JESICA MICAELA" u="1"/>
        <s v="ARGUELLO ENCINA LUIS ADRIAN" u="1"/>
        <s v="SANTANA SARA RAMONA" u="1"/>
        <s v="ROSALES FERNANDO JOSE" u="1"/>
        <s v="ANTE GOMEZ DELIA" u="1"/>
        <s v="MENESES ARCE BELKYS" u="1"/>
        <s v="MALLEA MIGUEL ANTONIO" u="1"/>
        <s v="OLTRA VEGA FRANCO EMANUEL" u="1"/>
        <s v="CORTEZ MARIA ESTHER" u="1"/>
        <s v="ROJAS MARCELA MELISA" u="1"/>
        <s v="GELVEZ RODRIGUEZ RAMONA DEL V." u="1"/>
        <s v="BARAHONA MARIELA INES" u="1"/>
        <s v="AGÜERO EZEQUIEL JACINTO" u="1"/>
        <s v="LUNA OLGA" u="1"/>
        <s v="ABARCA MATIAS MANUEL" u="1"/>
        <s v="MORALES JUAN CARLOS" u="1"/>
        <s v="WEBER ROSA ISABEL" u="1"/>
        <s v="CAMARGO DANIEL EXEQUIEL" u="1"/>
        <s v="MALLA ESTRELLA DOLORES" u="1"/>
        <s v="SANCHEZ RECHES ELBIO GABRIEL" u="1"/>
        <s v="ZALAZAR CARRIZO ROLANDO" u="1"/>
        <s v="FARFAN ISAAC ISAIAS" u="1"/>
        <s v="VIDELA SILVANA MARISA" u="1"/>
        <s v="VIVARES GARRO MICAELA AYELEN" u="1"/>
        <s v="ONTIVEROS FERNANDO NICOLAS" u="1"/>
        <s v="CRUZ RIMBERTO " u="1"/>
        <s v="SALINA GARAY FRANCO FABIAN" u="1"/>
        <s v="ROSSELLOT CLARA ROSALBA" u="1"/>
        <s v="GOMEZ SILVIACRISTINA" u="1"/>
        <s v="SOSA SILVANA DEL VALLE" u="1"/>
        <s v="GUEVARA ANTONIO NICOLAS" u="1"/>
        <s v="SANTANA MARCELO DEL ROSARIO" u="1"/>
        <s v="OCHOA GUSTAVO ARIEL" u="1"/>
        <s v="LUNA ADELA VERONICA" u="1"/>
        <s v="ROJAS ALICIA JOSEFINA" u="1"/>
        <s v="DOMINGUEZ GLADYS SUSANA" u="1"/>
        <s v="GONZALEZ IGNACIO ROLANDO" u="1"/>
        <s v="CASTRO FELIX ANTONIO" u="1"/>
        <s v="BALMACEDA MARIA ESTHER" u="1"/>
        <s v="SALINAS RAMON LUIS" u="1"/>
        <s v="LEZCANO ANDRES JUAN" u="1"/>
        <s v="MORALES GRACIELA AZUCENA" u="1"/>
        <s v="MANRIQUE MARIA DEL CARMEN" u="1"/>
        <s v="MUÑOZ BRIZUELA WALTER ANDRES" u="1"/>
        <s v="FALCON GRISELDO ROSALINO" u="1"/>
        <s v="GOMEZ ROSANA NATALI" u="1"/>
        <s v="DIAZ SILVIA ROSALIA" u="1"/>
        <s v="CARRIZO VERONICA ANALIA" u="1"/>
        <s v="FUENTES ROSA ELVIRA" u="1"/>
        <s v="TAPIA ILLANES VALERIA MARILIN" u="1"/>
        <s v="AGÜERO CASTRO GABRIELA JUDITH" u="1"/>
        <s v="URICHE VICTOR RAMON" u="1"/>
        <s v="BALMACEDA MARIANELA A." u="1"/>
        <s v="FERREYRA ROMINA DEL VALLE" u="1"/>
        <s v="BORDON ADELA VIRGINIA" u="1"/>
        <s v="VARELA ANGEL DAVID" u="1"/>
        <s v="PRESTIANO MARTIN DARIO" u="1"/>
        <s v="ANGEL MARIA ADRIANA" u="1"/>
        <s v="PAREDES MARCIO ALEXIS" u="1"/>
        <s v="GIMENEZ PABLO RAMIRO" u="1"/>
        <s v="FUENTES ERIKA MICHELLE" u="1"/>
        <s v="LUNA NIDIA IVANA" u="1"/>
        <s v="BALMACEDA MARIO RUBEN" u="1"/>
        <s v="RIVEROS NARVAEZ FRANCO NICOLAS" u="1"/>
        <s v="MARCHAN MERCADO MAURO FERNANDO" u="1"/>
        <s v="MALLEA AURORA NIDIA" u="1"/>
        <s v="VILLAFAÑES BOLADO CLAUDIA T." u="1"/>
        <s v="MORENO ENZO ALFREDO" u="1"/>
        <s v="MOLINA ALFREDO ARIEL" u="1"/>
        <s v="YOMA YAMILA SAMANTA" u="1"/>
        <s v="MALLEA JOSE ALBERTO" u="1"/>
        <s v="ESCOBAR MYRIAM VANESA" u="1"/>
        <s v="SANTANA JUAN CARLOS" u="1"/>
        <s v="PALACIO GUSTAVO ADOLFO" u="1"/>
        <s v="MORALES ZULMA NANCY" u="1"/>
        <s v="ALBARRACIN MIGUEL ALBERTO" u="1"/>
        <s v="ZABALA LUIS ALFREDO" u="1"/>
        <s v="FREDES DAYANA YANINA" u="1"/>
        <s v="DURAN MARIA JULIANA" u="1"/>
        <s v="ARAYA ALEJANDRO DANIEL" u="1"/>
        <s v="PINTO ROBERTO JOSE" u="1"/>
        <s v="SERER NORMA GRACIELA" u="1"/>
        <s v="ECHENIQUE PAULO VICTOR" u="1"/>
        <s v="GONZALEZ DANIELA SOLEDAD" u="1"/>
        <s v="AGÜERO LAURA GISEL" u="1"/>
        <s v="MARTINEZ OLGA ELSA" u="1"/>
        <s v="QUIROGA ZARATE ALEJANDRA AYELEN" u="1"/>
        <s v="JOFRE JAVIER ANTONIO" u="1"/>
        <s v="ARAYA GRICELDA ROSA" u="1"/>
        <s v="ARANCIBIA LUIS MARTIN" u="1"/>
        <s v="MONTESANO DIEGO GABRIEL" u="1"/>
        <s v="CORREA GERVAN" u="1"/>
        <s v="MUÑOZ MARIA DEL CARMEN" u="1"/>
        <s v="ZUNINO MARGARITA DEL CARMEN" u="1"/>
        <s v="QUIROGA MAURICIO EZEQUIEL" u="1"/>
        <s v="VEGA HERRERA ALEJANDRO" u="1"/>
        <s v="RODRIGUEZ ANALIA NOELIA" u="1"/>
        <s v="VIDELA RICARDO DANIEL" u="1"/>
        <s v="MERELES CARLOS ROBERTO" u="1"/>
        <s v="FARIAS ELIANA VANESA" u="1"/>
        <s v="GODOY GUADALUPE BELEN" u="1"/>
        <s v="PAEZ JORGE ANDRES" u="1"/>
        <s v="GOMEZ DIEGO" u="1"/>
        <s v="JORQUERA LIBIO JUSTO" u="1"/>
        <s v="GUTIERREZ CECILIA LORENA" u="1"/>
        <s v="CACERES ELIZABETH SOLEDAD" u="1"/>
        <s v="OYOLA ANDREA VERONICA" u="1"/>
        <s v="AGÜERO GUSTAVO LEONARDO" u="1"/>
        <s v="FERNADEZ ROSA MIRIAM" u="1"/>
        <s v="DELGADO ARRIETA CRISTIAN S." u="1"/>
        <s v="MARTIN JUDITH ENCARNACION" u="1"/>
        <s v="GOMEZ MARIA OLGA" u="1"/>
        <s v="PEREZ VILLAFAÑE MELISA JOHANA" u="1"/>
        <s v="VILLALBA JUAN GABRIEL" u="1"/>
        <s v="VALDEZ ENRIQUETA NANCY" u="1"/>
        <s v="CORTEZ VALERIA INES" u="1"/>
        <s v="AYALA NELIDA MERCEDES" u="1"/>
        <s v="AMBERK CARLOS SEBASTIAN" u="1"/>
        <s v="GONZALEZ ROSA ERMINDA" u="1"/>
        <s v="ZAPATA MARIN AMERICA DEL C." u="1"/>
        <s v="CASTRO ALBERTO N." u="1"/>
        <s v="GUAQUINCHAY EULALIA" u="1"/>
        <s v="RODRIGUEZ CONTRERAS FERNANDO A." u="1"/>
        <s v="BUSTOS MONICA ALEJANDRA" u="1"/>
        <s v="OLIVARES LUIS ALBERTO" u="1"/>
        <s v="BRITO JANETE" u="1"/>
        <s v="ARIZA JORGE DANIEL" u="1"/>
        <s v="LUCERO ALEGRIA CATERINA MICAELA" u="1"/>
      </sharedItems>
    </cacheField>
    <cacheField name="TELEFONO" numFmtId="1">
      <sharedItems/>
    </cacheField>
    <cacheField name="LOCALIDAD" numFmtId="0">
      <sharedItems/>
    </cacheField>
    <cacheField name="SOLI" numFmtId="0">
      <sharedItems containsSemiMixedTypes="0" containsString="0" containsNumber="1" containsInteger="1" minValue="1278" maxValue="10180"/>
    </cacheField>
    <cacheField name="CTA" numFmtId="0">
      <sharedItems containsSemiMixedTypes="0" containsString="0" containsNumber="1" containsInteger="1" minValue="1" maxValue="2"/>
    </cacheField>
    <cacheField name="CUOTAS" numFmtId="0">
      <sharedItems containsSemiMixedTypes="0" containsString="0" containsNumber="1" containsInteger="1" minValue="3000" maxValue="20000"/>
    </cacheField>
    <cacheField name="ARRASTRE" numFmtId="170">
      <sharedItems containsSemiMixedTypes="0" containsString="0" containsNumber="1" containsInteger="1" minValue="-60000" maxValue="0"/>
    </cacheField>
    <cacheField name="PAGO" numFmtId="0">
      <sharedItems containsNonDate="0" containsString="0" containsBlank="1"/>
    </cacheField>
    <cacheField name="PAGO X ADEL" numFmtId="0">
      <sharedItems containsNonDate="0" containsString="0" containsBlank="1"/>
    </cacheField>
    <cacheField name="PAGO ANTES" numFmtId="0">
      <sharedItems containsNonDate="0" containsString="0" containsBlank="1"/>
    </cacheField>
    <cacheField name="X OFICINA" numFmtId="0">
      <sharedItems containsNonDate="0" containsString="0" containsBlank="1"/>
    </cacheField>
    <cacheField name="BCO O ELECT" numFmtId="0">
      <sharedItems containsNonDate="0" containsString="0" containsBlank="1"/>
    </cacheField>
    <cacheField name="CON MORA" numFmtId="3">
      <sharedItems containsSemiMixedTypes="0" containsString="0" containsNumber="1" containsInteger="1" minValue="3000" maxValue="20000"/>
    </cacheField>
    <cacheField name="SISTEMA" numFmtId="3">
      <sharedItems containsSemiMixedTypes="0" containsString="0" containsNumber="1" containsInteger="1" minValue="-48000" maxValue="20000"/>
    </cacheField>
    <cacheField name="PLANILLA SALIDA" numFmtId="3">
      <sharedItems containsSemiMixedTypes="0" containsString="0" containsNumber="1" containsInteger="1" minValue="0" maxValue="20000"/>
    </cacheField>
    <cacheField name="PAGO2" numFmtId="171">
      <sharedItems containsNonDate="0" containsString="0" containsBlank="1"/>
    </cacheField>
    <cacheField name="PAGARA" numFmtId="171">
      <sharedItems containsNonDate="0" containsDate="1" containsString="0" containsBlank="1" minDate="2019-11-12T00:00:00" maxDate="2019-12-31T00:00:00" count="18">
        <m/>
        <d v="2019-12-09T00:00:00" u="1"/>
        <d v="2019-12-28T00:00:00" u="1"/>
        <d v="2019-12-07T00:00:00" u="1"/>
        <d v="2019-12-19T00:00:00" u="1"/>
        <d v="2019-12-12T00:00:00" u="1"/>
        <d v="2019-12-05T00:00:00" u="1"/>
        <d v="2019-11-12T00:00:00" u="1"/>
        <d v="2019-12-10T00:00:00" u="1"/>
        <d v="2019-12-03T00:00:00" u="1"/>
        <d v="2019-12-15T00:00:00" u="1"/>
        <d v="2019-12-27T00:00:00" u="1"/>
        <d v="2019-12-20T00:00:00" u="1"/>
        <d v="2019-12-13T00:00:00" u="1"/>
        <d v="2019-12-06T00:00:00" u="1"/>
        <d v="2019-12-11T00:00:00" u="1"/>
        <d v="2019-12-30T00:00:00" u="1"/>
        <d v="2019-12-04T00:00:00" u="1"/>
      </sharedItems>
    </cacheField>
    <cacheField name="BAJA" numFmtId="0">
      <sharedItems containsNonDate="0" containsString="0" containsBlank="1"/>
    </cacheField>
    <cacheField name="MOTIVO" numFmtId="0">
      <sharedItems containsNonDate="0" containsString="0" containsBlank="1"/>
    </cacheField>
    <cacheField name="OBSERVACIONES" numFmtId="0">
      <sharedItems containsNonDate="0" containsString="0" containsBlank="1"/>
    </cacheField>
    <cacheField name="PAGO MES ANT" numFmtId="171">
      <sharedItems containsNonDate="0" containsString="0" containsBlank="1"/>
    </cacheField>
    <cacheField name="TERMOMETRO" numFmtId="0">
      <sharedItems containsNonDate="0" containsString="0"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55">
  <r>
    <n v="1908"/>
    <x v="0"/>
    <s v="264-5028093"/>
    <s v="RAWSON"/>
    <n v="1278"/>
    <n v="2"/>
    <n v="11000"/>
    <n v="0"/>
    <m/>
    <m/>
    <m/>
    <m/>
    <m/>
    <n v="11000"/>
    <n v="11000"/>
    <n v="11000"/>
    <m/>
    <x v="0"/>
    <m/>
    <m/>
    <m/>
    <m/>
    <m/>
  </r>
  <r>
    <n v="1914"/>
    <x v="1"/>
    <s v="264-5302006"/>
    <s v="SAN JUAN"/>
    <n v="9890"/>
    <n v="2"/>
    <n v="15000"/>
    <n v="0"/>
    <m/>
    <m/>
    <m/>
    <m/>
    <m/>
    <n v="15000"/>
    <n v="15000"/>
    <n v="15000"/>
    <m/>
    <x v="0"/>
    <m/>
    <m/>
    <m/>
    <m/>
    <m/>
  </r>
  <r>
    <n v="1915"/>
    <x v="2"/>
    <s v="264-4658418"/>
    <s v="CHIMBAS"/>
    <n v="9976"/>
    <n v="2"/>
    <n v="10000"/>
    <n v="-10000"/>
    <m/>
    <m/>
    <m/>
    <m/>
    <m/>
    <n v="10000"/>
    <n v="0"/>
    <n v="0"/>
    <m/>
    <x v="0"/>
    <m/>
    <m/>
    <m/>
    <m/>
    <m/>
  </r>
  <r>
    <n v="1916"/>
    <x v="3"/>
    <s v="264-4631583"/>
    <s v="NIQUIVIL"/>
    <n v="9979"/>
    <n v="2"/>
    <n v="20000"/>
    <n v="0"/>
    <m/>
    <m/>
    <m/>
    <m/>
    <m/>
    <n v="20000"/>
    <n v="20000"/>
    <n v="20000"/>
    <m/>
    <x v="0"/>
    <m/>
    <m/>
    <m/>
    <m/>
    <m/>
  </r>
  <r>
    <n v="1917"/>
    <x v="4"/>
    <s v="264-4898374"/>
    <s v="9 DE JULIO"/>
    <n v="9986"/>
    <n v="2"/>
    <n v="4000"/>
    <n v="0"/>
    <m/>
    <m/>
    <m/>
    <m/>
    <m/>
    <n v="4000"/>
    <n v="4000"/>
    <n v="4000"/>
    <m/>
    <x v="0"/>
    <m/>
    <m/>
    <m/>
    <m/>
    <m/>
  </r>
  <r>
    <n v="1918"/>
    <x v="5"/>
    <s v="264-5020528"/>
    <s v="RAWSON"/>
    <n v="10015"/>
    <n v="2"/>
    <n v="9000"/>
    <n v="0"/>
    <m/>
    <m/>
    <m/>
    <m/>
    <m/>
    <n v="9000"/>
    <n v="9000"/>
    <n v="9000"/>
    <m/>
    <x v="0"/>
    <m/>
    <m/>
    <m/>
    <m/>
    <m/>
  </r>
  <r>
    <n v="1919"/>
    <x v="6"/>
    <s v="264-5467278"/>
    <s v="SAN JUAN"/>
    <n v="10016"/>
    <n v="2"/>
    <n v="12000"/>
    <n v="-60000"/>
    <m/>
    <m/>
    <m/>
    <m/>
    <m/>
    <n v="12000"/>
    <n v="-48000"/>
    <n v="0"/>
    <m/>
    <x v="0"/>
    <m/>
    <m/>
    <m/>
    <m/>
    <m/>
  </r>
  <r>
    <n v="1920"/>
    <x v="7"/>
    <s v="264-4462545"/>
    <s v="CHIMBAS"/>
    <n v="10020"/>
    <n v="2"/>
    <n v="7000"/>
    <n v="0"/>
    <m/>
    <m/>
    <m/>
    <m/>
    <m/>
    <n v="7000"/>
    <n v="7000"/>
    <n v="7000"/>
    <m/>
    <x v="0"/>
    <m/>
    <m/>
    <m/>
    <m/>
    <m/>
  </r>
  <r>
    <n v="1921"/>
    <x v="8"/>
    <s v="264-5416256"/>
    <s v="MARQUESADO"/>
    <n v="10021"/>
    <n v="2"/>
    <n v="10000"/>
    <n v="0"/>
    <m/>
    <m/>
    <m/>
    <m/>
    <m/>
    <n v="10000"/>
    <n v="10000"/>
    <n v="10000"/>
    <m/>
    <x v="0"/>
    <m/>
    <m/>
    <m/>
    <m/>
    <m/>
  </r>
  <r>
    <n v="1922"/>
    <x v="9"/>
    <s v="264-4479197"/>
    <s v="LA PUNTILLA"/>
    <n v="10022"/>
    <n v="2"/>
    <n v="6000"/>
    <n v="0"/>
    <m/>
    <m/>
    <m/>
    <m/>
    <m/>
    <n v="6000"/>
    <n v="6000"/>
    <n v="6000"/>
    <m/>
    <x v="0"/>
    <m/>
    <m/>
    <m/>
    <m/>
    <m/>
  </r>
  <r>
    <n v="1923"/>
    <x v="10"/>
    <s v="264-4000465"/>
    <s v="SAN JUAN"/>
    <n v="10023"/>
    <n v="2"/>
    <n v="7000"/>
    <n v="0"/>
    <m/>
    <m/>
    <m/>
    <m/>
    <m/>
    <n v="7000"/>
    <n v="7000"/>
    <n v="7000"/>
    <m/>
    <x v="0"/>
    <m/>
    <m/>
    <m/>
    <m/>
    <m/>
  </r>
  <r>
    <n v="1924"/>
    <x v="11"/>
    <s v="264-4642811"/>
    <s v="RAWSON"/>
    <n v="10024"/>
    <n v="2"/>
    <n v="10000"/>
    <n v="0"/>
    <m/>
    <m/>
    <m/>
    <m/>
    <m/>
    <n v="10000"/>
    <n v="10000"/>
    <n v="10000"/>
    <m/>
    <x v="0"/>
    <m/>
    <m/>
    <m/>
    <m/>
    <m/>
  </r>
  <r>
    <n v="1925"/>
    <x v="12"/>
    <s v="264-5089383"/>
    <s v="POCITOS"/>
    <n v="10025"/>
    <n v="2"/>
    <n v="6000"/>
    <n v="0"/>
    <m/>
    <m/>
    <m/>
    <m/>
    <m/>
    <n v="6000"/>
    <n v="6000"/>
    <n v="6000"/>
    <m/>
    <x v="0"/>
    <m/>
    <m/>
    <m/>
    <m/>
    <m/>
  </r>
  <r>
    <n v="1926"/>
    <x v="13"/>
    <s v="264-6711892"/>
    <s v="NIQUIVIL"/>
    <n v="10027"/>
    <n v="2"/>
    <n v="5000"/>
    <n v="0"/>
    <m/>
    <m/>
    <m/>
    <m/>
    <m/>
    <n v="5000"/>
    <n v="5000"/>
    <n v="5000"/>
    <m/>
    <x v="0"/>
    <m/>
    <m/>
    <m/>
    <m/>
    <m/>
  </r>
  <r>
    <n v="1927"/>
    <x v="14"/>
    <s v="264-5609407"/>
    <s v="RAWSON"/>
    <n v="10028"/>
    <n v="2"/>
    <n v="10000"/>
    <n v="0"/>
    <m/>
    <m/>
    <m/>
    <m/>
    <m/>
    <n v="10000"/>
    <n v="10000"/>
    <n v="10000"/>
    <m/>
    <x v="0"/>
    <m/>
    <m/>
    <m/>
    <m/>
    <m/>
  </r>
  <r>
    <n v="1928"/>
    <x v="15"/>
    <s v="264-4276463"/>
    <s v="SAN JUAN"/>
    <n v="10030"/>
    <n v="2"/>
    <n v="5000"/>
    <n v="0"/>
    <m/>
    <m/>
    <m/>
    <m/>
    <m/>
    <n v="5000"/>
    <n v="5000"/>
    <n v="5000"/>
    <m/>
    <x v="0"/>
    <m/>
    <m/>
    <m/>
    <m/>
    <m/>
  </r>
  <r>
    <n v="1929"/>
    <x v="16"/>
    <s v="264-4811286"/>
    <s v="SANTA LUCIA"/>
    <n v="10031"/>
    <n v="2"/>
    <n v="6800"/>
    <n v="0"/>
    <m/>
    <m/>
    <m/>
    <m/>
    <m/>
    <n v="6800"/>
    <n v="6800"/>
    <n v="6800"/>
    <m/>
    <x v="0"/>
    <m/>
    <m/>
    <m/>
    <m/>
    <m/>
  </r>
  <r>
    <n v="1930"/>
    <x v="17"/>
    <s v="264-5150302"/>
    <s v="CHIMBAS"/>
    <n v="10032"/>
    <n v="2"/>
    <n v="10000"/>
    <n v="0"/>
    <m/>
    <m/>
    <m/>
    <m/>
    <m/>
    <n v="10000"/>
    <n v="10000"/>
    <n v="10000"/>
    <m/>
    <x v="0"/>
    <m/>
    <m/>
    <m/>
    <m/>
    <m/>
  </r>
  <r>
    <n v="1933"/>
    <x v="18"/>
    <s v="264-4756473"/>
    <s v="POCITOS"/>
    <n v="10035"/>
    <n v="2"/>
    <n v="8000"/>
    <n v="0"/>
    <m/>
    <m/>
    <m/>
    <m/>
    <m/>
    <n v="8000"/>
    <n v="8000"/>
    <n v="8000"/>
    <m/>
    <x v="0"/>
    <m/>
    <m/>
    <m/>
    <m/>
    <m/>
  </r>
  <r>
    <n v="1935"/>
    <x v="19"/>
    <s v="264-5157608"/>
    <s v="SAN JUAN"/>
    <n v="10038"/>
    <n v="2"/>
    <n v="4500"/>
    <n v="0"/>
    <m/>
    <m/>
    <m/>
    <m/>
    <m/>
    <n v="4500"/>
    <n v="4500"/>
    <n v="4500"/>
    <m/>
    <x v="0"/>
    <m/>
    <m/>
    <m/>
    <m/>
    <m/>
  </r>
  <r>
    <n v="1938"/>
    <x v="20"/>
    <s v="264-5884783"/>
    <s v="RAWSON"/>
    <n v="10041"/>
    <n v="2"/>
    <n v="9000"/>
    <n v="0"/>
    <m/>
    <m/>
    <m/>
    <m/>
    <m/>
    <n v="9000"/>
    <n v="9000"/>
    <n v="9000"/>
    <m/>
    <x v="0"/>
    <m/>
    <m/>
    <m/>
    <m/>
    <m/>
  </r>
  <r>
    <n v="1939"/>
    <x v="21"/>
    <s v="264-5622460"/>
    <s v="RAWSON"/>
    <n v="10042"/>
    <n v="2"/>
    <n v="3000"/>
    <n v="0"/>
    <m/>
    <m/>
    <m/>
    <m/>
    <m/>
    <n v="3000"/>
    <n v="3000"/>
    <n v="3000"/>
    <m/>
    <x v="0"/>
    <m/>
    <m/>
    <m/>
    <m/>
    <m/>
  </r>
  <r>
    <n v="1942"/>
    <x v="22"/>
    <s v="264-5064103"/>
    <s v="RAWSON"/>
    <n v="10048"/>
    <n v="2"/>
    <n v="10000"/>
    <n v="0"/>
    <m/>
    <m/>
    <m/>
    <m/>
    <m/>
    <n v="10000"/>
    <n v="10000"/>
    <n v="10000"/>
    <m/>
    <x v="0"/>
    <m/>
    <m/>
    <m/>
    <m/>
    <m/>
  </r>
  <r>
    <n v="1943"/>
    <x v="23"/>
    <s v="264-4397917"/>
    <s v="SAN JUAN"/>
    <n v="10049"/>
    <n v="2"/>
    <n v="8000"/>
    <n v="0"/>
    <m/>
    <m/>
    <m/>
    <m/>
    <m/>
    <n v="8000"/>
    <n v="8000"/>
    <n v="8000"/>
    <m/>
    <x v="0"/>
    <m/>
    <m/>
    <m/>
    <m/>
    <m/>
  </r>
  <r>
    <n v="1944"/>
    <x v="24"/>
    <s v="264-4479450"/>
    <s v="SAN JUAN"/>
    <n v="10050"/>
    <n v="2"/>
    <n v="7000"/>
    <n v="0"/>
    <m/>
    <m/>
    <m/>
    <m/>
    <m/>
    <n v="7000"/>
    <n v="7000"/>
    <n v="7000"/>
    <m/>
    <x v="0"/>
    <m/>
    <m/>
    <m/>
    <m/>
    <m/>
  </r>
  <r>
    <n v="1945"/>
    <x v="25"/>
    <s v="264-6129021"/>
    <s v="RAWSON"/>
    <n v="10051"/>
    <n v="2"/>
    <n v="7000"/>
    <n v="0"/>
    <m/>
    <m/>
    <m/>
    <m/>
    <m/>
    <n v="7000"/>
    <n v="7000"/>
    <n v="7000"/>
    <m/>
    <x v="0"/>
    <m/>
    <m/>
    <m/>
    <m/>
    <m/>
  </r>
  <r>
    <n v="1946"/>
    <x v="26"/>
    <s v="264-4580675"/>
    <s v="SAN JUAN"/>
    <n v="10059"/>
    <n v="2"/>
    <n v="10000"/>
    <n v="0"/>
    <m/>
    <m/>
    <m/>
    <m/>
    <m/>
    <n v="10000"/>
    <n v="10000"/>
    <n v="10000"/>
    <m/>
    <x v="0"/>
    <m/>
    <m/>
    <m/>
    <m/>
    <m/>
  </r>
  <r>
    <n v="1950"/>
    <x v="27"/>
    <s v="264-5851411"/>
    <s v="CHIMBAS"/>
    <n v="9978"/>
    <n v="1"/>
    <n v="6000"/>
    <n v="0"/>
    <m/>
    <m/>
    <m/>
    <m/>
    <m/>
    <n v="6000"/>
    <n v="6000"/>
    <n v="6000"/>
    <m/>
    <x v="0"/>
    <m/>
    <m/>
    <m/>
    <m/>
    <m/>
  </r>
  <r>
    <n v="1951"/>
    <x v="28"/>
    <s v="264-6270087"/>
    <s v="RAWSON"/>
    <n v="10018"/>
    <n v="1"/>
    <n v="4000"/>
    <n v="0"/>
    <m/>
    <m/>
    <m/>
    <m/>
    <m/>
    <n v="4000"/>
    <n v="4000"/>
    <n v="4000"/>
    <m/>
    <x v="0"/>
    <m/>
    <m/>
    <m/>
    <m/>
    <m/>
  </r>
  <r>
    <n v="1952"/>
    <x v="29"/>
    <s v="264-6053240"/>
    <s v="CHIMBAS"/>
    <n v="10019"/>
    <n v="1"/>
    <n v="8500"/>
    <n v="0"/>
    <m/>
    <m/>
    <m/>
    <m/>
    <m/>
    <n v="8500"/>
    <n v="8500"/>
    <n v="8500"/>
    <m/>
    <x v="0"/>
    <m/>
    <m/>
    <m/>
    <m/>
    <m/>
  </r>
  <r>
    <n v="1953"/>
    <x v="30"/>
    <s v="264-4987973"/>
    <s v="RAWSON"/>
    <n v="10044"/>
    <n v="1"/>
    <n v="8000"/>
    <n v="0"/>
    <m/>
    <m/>
    <m/>
    <m/>
    <m/>
    <n v="8000"/>
    <n v="8000"/>
    <n v="8000"/>
    <m/>
    <x v="0"/>
    <m/>
    <m/>
    <m/>
    <m/>
    <m/>
  </r>
  <r>
    <n v="1954"/>
    <x v="31"/>
    <s v="264-4580614"/>
    <s v="ZONDA"/>
    <n v="10045"/>
    <n v="1"/>
    <n v="10000"/>
    <n v="0"/>
    <m/>
    <m/>
    <m/>
    <m/>
    <m/>
    <n v="10000"/>
    <n v="10000"/>
    <n v="10000"/>
    <m/>
    <x v="0"/>
    <m/>
    <m/>
    <m/>
    <m/>
    <m/>
  </r>
  <r>
    <n v="1955"/>
    <x v="32"/>
    <s v="264-5714337"/>
    <s v="RAWSON"/>
    <n v="10056"/>
    <n v="1"/>
    <n v="12000"/>
    <n v="0"/>
    <m/>
    <m/>
    <m/>
    <m/>
    <m/>
    <n v="12000"/>
    <n v="12000"/>
    <n v="12000"/>
    <m/>
    <x v="0"/>
    <m/>
    <m/>
    <m/>
    <m/>
    <m/>
  </r>
  <r>
    <n v="1957"/>
    <x v="33"/>
    <s v="264-5646296"/>
    <s v="SAN JUAN"/>
    <n v="10058"/>
    <n v="1"/>
    <n v="5000"/>
    <n v="0"/>
    <m/>
    <m/>
    <m/>
    <m/>
    <m/>
    <n v="5000"/>
    <n v="5000"/>
    <n v="5000"/>
    <m/>
    <x v="0"/>
    <m/>
    <m/>
    <m/>
    <m/>
    <m/>
  </r>
  <r>
    <n v="1959"/>
    <x v="34"/>
    <s v="264-4104223"/>
    <s v="RAWSON"/>
    <n v="10063"/>
    <n v="1"/>
    <n v="15000"/>
    <n v="0"/>
    <m/>
    <m/>
    <m/>
    <m/>
    <m/>
    <n v="15000"/>
    <n v="15000"/>
    <n v="15000"/>
    <m/>
    <x v="0"/>
    <m/>
    <m/>
    <m/>
    <m/>
    <m/>
  </r>
  <r>
    <n v="1960"/>
    <x v="35"/>
    <s v="264-4606504"/>
    <s v="SAN JUAN"/>
    <n v="10065"/>
    <n v="1"/>
    <n v="10000"/>
    <n v="0"/>
    <m/>
    <m/>
    <m/>
    <m/>
    <m/>
    <n v="10000"/>
    <n v="10000"/>
    <n v="10000"/>
    <m/>
    <x v="0"/>
    <m/>
    <m/>
    <m/>
    <m/>
    <m/>
  </r>
  <r>
    <n v="1961"/>
    <x v="36"/>
    <s v="264-5154583"/>
    <s v="RAWSON"/>
    <n v="10066"/>
    <n v="1"/>
    <n v="9700"/>
    <n v="0"/>
    <m/>
    <m/>
    <m/>
    <m/>
    <m/>
    <n v="9700"/>
    <n v="9700"/>
    <n v="9700"/>
    <m/>
    <x v="0"/>
    <m/>
    <m/>
    <m/>
    <m/>
    <m/>
  </r>
  <r>
    <n v="1963"/>
    <x v="37"/>
    <s v="264-5601445"/>
    <s v="POCITOS"/>
    <n v="10068"/>
    <n v="1"/>
    <n v="5000"/>
    <n v="0"/>
    <m/>
    <m/>
    <m/>
    <m/>
    <m/>
    <n v="5000"/>
    <n v="5000"/>
    <n v="5000"/>
    <m/>
    <x v="0"/>
    <m/>
    <m/>
    <m/>
    <m/>
    <m/>
  </r>
  <r>
    <n v="1964"/>
    <x v="38"/>
    <s v="264-4631030"/>
    <s v="RAWSON"/>
    <n v="10069"/>
    <n v="1"/>
    <n v="10000"/>
    <n v="0"/>
    <m/>
    <m/>
    <m/>
    <m/>
    <m/>
    <n v="10000"/>
    <n v="10000"/>
    <n v="10000"/>
    <m/>
    <x v="0"/>
    <m/>
    <m/>
    <m/>
    <m/>
    <m/>
  </r>
  <r>
    <n v="1965"/>
    <x v="39"/>
    <s v="264-5247155"/>
    <s v="CHIMBAS"/>
    <n v="10070"/>
    <n v="1"/>
    <n v="7000"/>
    <n v="0"/>
    <m/>
    <m/>
    <m/>
    <m/>
    <m/>
    <n v="7000"/>
    <n v="7000"/>
    <n v="7000"/>
    <m/>
    <x v="0"/>
    <m/>
    <m/>
    <m/>
    <m/>
    <m/>
  </r>
  <r>
    <n v="1966"/>
    <x v="40"/>
    <s v="264-4119435"/>
    <s v="CHIMBAS"/>
    <n v="10071"/>
    <n v="1"/>
    <n v="8000"/>
    <n v="0"/>
    <m/>
    <m/>
    <m/>
    <m/>
    <m/>
    <n v="8000"/>
    <n v="8000"/>
    <n v="8000"/>
    <m/>
    <x v="0"/>
    <m/>
    <m/>
    <m/>
    <m/>
    <m/>
  </r>
  <r>
    <n v="1967"/>
    <x v="41"/>
    <s v="264-6625733"/>
    <s v="RAWSON"/>
    <n v="10072"/>
    <n v="1"/>
    <n v="12000"/>
    <n v="0"/>
    <m/>
    <m/>
    <m/>
    <m/>
    <m/>
    <n v="12000"/>
    <n v="12000"/>
    <n v="12000"/>
    <m/>
    <x v="0"/>
    <m/>
    <m/>
    <m/>
    <m/>
    <m/>
  </r>
  <r>
    <n v="1968"/>
    <x v="42"/>
    <s v="264-4565487"/>
    <s v="SANTA LUCIA"/>
    <n v="10073"/>
    <n v="1"/>
    <n v="5000"/>
    <n v="0"/>
    <m/>
    <m/>
    <m/>
    <m/>
    <m/>
    <n v="5000"/>
    <n v="5000"/>
    <n v="5000"/>
    <m/>
    <x v="0"/>
    <m/>
    <m/>
    <m/>
    <m/>
    <m/>
  </r>
  <r>
    <n v="1969"/>
    <x v="43"/>
    <s v="264-5748006"/>
    <s v="POCITOS"/>
    <n v="10074"/>
    <n v="1"/>
    <n v="5000"/>
    <n v="0"/>
    <m/>
    <m/>
    <m/>
    <m/>
    <m/>
    <n v="5000"/>
    <n v="5000"/>
    <n v="5000"/>
    <m/>
    <x v="0"/>
    <m/>
    <m/>
    <m/>
    <m/>
    <m/>
  </r>
  <r>
    <n v="1970"/>
    <x v="44"/>
    <s v="264-444234"/>
    <s v="SANTA LUCIA"/>
    <n v="10075"/>
    <n v="1"/>
    <n v="10000"/>
    <n v="0"/>
    <m/>
    <m/>
    <m/>
    <m/>
    <m/>
    <n v="10000"/>
    <n v="10000"/>
    <n v="10000"/>
    <m/>
    <x v="0"/>
    <m/>
    <m/>
    <m/>
    <m/>
    <m/>
  </r>
  <r>
    <n v="1972"/>
    <x v="45"/>
    <s v="264-5517590"/>
    <s v="SAN JUAN"/>
    <n v="10077"/>
    <n v="1"/>
    <n v="12000"/>
    <n v="0"/>
    <m/>
    <m/>
    <m/>
    <m/>
    <m/>
    <n v="12000"/>
    <n v="12000"/>
    <n v="12000"/>
    <m/>
    <x v="0"/>
    <m/>
    <m/>
    <m/>
    <m/>
    <m/>
  </r>
  <r>
    <n v="1974"/>
    <x v="46"/>
    <s v="264-5721504"/>
    <s v="POCITOS"/>
    <n v="10079"/>
    <n v="1"/>
    <n v="6000"/>
    <n v="0"/>
    <m/>
    <m/>
    <m/>
    <m/>
    <m/>
    <n v="6000"/>
    <n v="6000"/>
    <n v="6000"/>
    <m/>
    <x v="0"/>
    <m/>
    <m/>
    <m/>
    <m/>
    <m/>
  </r>
  <r>
    <n v="1977"/>
    <x v="47"/>
    <s v="264-4589393"/>
    <s v="RAWSON"/>
    <n v="10082"/>
    <n v="1"/>
    <n v="15000"/>
    <n v="0"/>
    <m/>
    <m/>
    <m/>
    <m/>
    <m/>
    <n v="15000"/>
    <n v="15000"/>
    <n v="15000"/>
    <m/>
    <x v="0"/>
    <m/>
    <m/>
    <m/>
    <m/>
    <m/>
  </r>
  <r>
    <n v="1978"/>
    <x v="48"/>
    <s v="264-5187475"/>
    <s v="SAN JUAN"/>
    <n v="10083"/>
    <n v="1"/>
    <n v="8500"/>
    <n v="0"/>
    <m/>
    <m/>
    <m/>
    <m/>
    <m/>
    <n v="8500"/>
    <n v="8500"/>
    <n v="8500"/>
    <m/>
    <x v="0"/>
    <m/>
    <m/>
    <m/>
    <m/>
    <m/>
  </r>
  <r>
    <n v="1979"/>
    <x v="49"/>
    <s v="264-6609328"/>
    <s v="SANTA LUCIA"/>
    <n v="10088"/>
    <n v="1"/>
    <n v="10000"/>
    <n v="0"/>
    <m/>
    <m/>
    <m/>
    <m/>
    <m/>
    <n v="10000"/>
    <n v="10000"/>
    <n v="10000"/>
    <m/>
    <x v="0"/>
    <m/>
    <m/>
    <m/>
    <m/>
    <m/>
  </r>
  <r>
    <n v="1980"/>
    <x v="50"/>
    <s v="264-5134199"/>
    <s v="SAN JUAN"/>
    <n v="10089"/>
    <n v="1"/>
    <n v="12000"/>
    <n v="0"/>
    <m/>
    <m/>
    <m/>
    <m/>
    <m/>
    <n v="12000"/>
    <n v="12000"/>
    <n v="12000"/>
    <m/>
    <x v="0"/>
    <m/>
    <m/>
    <m/>
    <m/>
    <m/>
  </r>
  <r>
    <n v="1983"/>
    <x v="51"/>
    <s v="264-5431502"/>
    <s v="RAWSON"/>
    <n v="10092"/>
    <n v="1"/>
    <n v="5000"/>
    <n v="0"/>
    <m/>
    <m/>
    <m/>
    <m/>
    <m/>
    <n v="5000"/>
    <n v="5000"/>
    <n v="5000"/>
    <m/>
    <x v="0"/>
    <m/>
    <m/>
    <m/>
    <m/>
    <m/>
  </r>
  <r>
    <n v="1985"/>
    <x v="52"/>
    <s v="264-4564515"/>
    <s v="SAN JUAN"/>
    <n v="10176"/>
    <n v="1"/>
    <n v="7000"/>
    <n v="0"/>
    <m/>
    <m/>
    <m/>
    <m/>
    <m/>
    <n v="7000"/>
    <n v="7000"/>
    <n v="7000"/>
    <m/>
    <x v="0"/>
    <m/>
    <m/>
    <m/>
    <m/>
    <m/>
  </r>
  <r>
    <n v="1986"/>
    <x v="53"/>
    <s v="264-5859961"/>
    <s v="SAN JUAN"/>
    <n v="10179"/>
    <n v="1"/>
    <n v="10000"/>
    <n v="0"/>
    <m/>
    <m/>
    <m/>
    <m/>
    <m/>
    <n v="10000"/>
    <n v="10000"/>
    <n v="10000"/>
    <m/>
    <x v="0"/>
    <m/>
    <m/>
    <m/>
    <m/>
    <m/>
  </r>
  <r>
    <n v="1987"/>
    <x v="54"/>
    <s v="264-5780335"/>
    <s v="MARQUESADO"/>
    <n v="10180"/>
    <n v="1"/>
    <n v="10000"/>
    <n v="0"/>
    <m/>
    <m/>
    <m/>
    <m/>
    <m/>
    <n v="10000"/>
    <n v="10000"/>
    <n v="10000"/>
    <m/>
    <x v="0"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200-000000000000}" name="Tabla dinámica1" cacheId="0" applyNumberFormats="0" applyBorderFormats="0" applyFontFormats="0" applyPatternFormats="0" applyAlignmentFormats="0" applyWidthHeightFormats="1" dataCaption="Valores" updatedVersion="6" minRefreshableVersion="3" useAutoFormatting="1" itemPrintTitles="1" createdVersion="4" indent="0" outline="1" outlineData="1" multipleFieldFilters="0">
  <location ref="A3:B5" firstHeaderRow="1" firstDataRow="1" firstDataCol="1" rowPageCount="1" colPageCount="1"/>
  <pivotFields count="23">
    <pivotField showAll="0"/>
    <pivotField axis="axisPage" showAll="0">
      <items count="361">
        <item m="1" x="155"/>
        <item m="1" x="246"/>
        <item m="1" x="120"/>
        <item m="1" x="282"/>
        <item m="1" x="244"/>
        <item m="1" x="339"/>
        <item m="1" x="316"/>
        <item m="1" x="113"/>
        <item m="1" x="195"/>
        <item m="1" x="117"/>
        <item m="1" x="108"/>
        <item m="1" x="307"/>
        <item m="1" x="59"/>
        <item m="1" x="182"/>
        <item m="1" x="126"/>
        <item m="1" x="202"/>
        <item m="1" x="349"/>
        <item m="1" x="204"/>
        <item m="1" x="289"/>
        <item m="1" x="236"/>
        <item m="1" x="200"/>
        <item m="1" x="130"/>
        <item m="1" x="321"/>
        <item m="1" x="311"/>
        <item m="1" x="320"/>
        <item m="1" x="55"/>
        <item m="1" x="233"/>
        <item m="1" x="100"/>
        <item m="1" x="358"/>
        <item m="1" x="104"/>
        <item m="1" x="348"/>
        <item m="1" x="229"/>
        <item m="1" x="270"/>
        <item m="1" x="284"/>
        <item m="1" x="294"/>
        <item m="1" x="243"/>
        <item m="1" x="286"/>
        <item m="1" x="197"/>
        <item m="1" x="357"/>
        <item m="1" x="355"/>
        <item m="1" x="201"/>
        <item m="1" x="72"/>
        <item m="1" x="145"/>
        <item m="1" x="337"/>
        <item m="1" x="95"/>
        <item m="1" x="194"/>
        <item m="1" x="164"/>
        <item m="1" x="249"/>
        <item m="1" x="91"/>
        <item m="1" x="149"/>
        <item m="1" x="161"/>
        <item m="1" x="114"/>
        <item m="1" x="116"/>
        <item m="1" x="212"/>
        <item m="1" x="80"/>
        <item m="1" x="279"/>
        <item m="1" x="196"/>
        <item m="1" x="352"/>
        <item m="1" x="90"/>
        <item m="1" x="269"/>
        <item m="1" x="209"/>
        <item m="1" x="186"/>
        <item m="1" x="211"/>
        <item m="1" x="119"/>
        <item m="1" x="189"/>
        <item m="1" x="131"/>
        <item m="1" x="57"/>
        <item m="1" x="143"/>
        <item m="1" x="159"/>
        <item m="1" x="62"/>
        <item m="1" x="162"/>
        <item m="1" x="73"/>
        <item m="1" x="115"/>
        <item m="1" x="323"/>
        <item m="1" x="225"/>
        <item m="1" x="240"/>
        <item m="1" x="70"/>
        <item m="1" x="347"/>
        <item m="1" x="257"/>
        <item m="1" x="147"/>
        <item m="1" x="213"/>
        <item m="1" x="341"/>
        <item m="1" x="163"/>
        <item m="1" x="176"/>
        <item m="1" x="92"/>
        <item m="1" x="178"/>
        <item m="1" x="217"/>
        <item m="1" x="278"/>
        <item m="1" x="267"/>
        <item m="1" x="232"/>
        <item m="1" x="310"/>
        <item m="1" x="207"/>
        <item m="1" x="314"/>
        <item m="1" x="107"/>
        <item m="1" x="303"/>
        <item m="1" x="125"/>
        <item m="1" x="121"/>
        <item m="1" x="276"/>
        <item m="1" x="253"/>
        <item m="1" x="331"/>
        <item m="1" x="111"/>
        <item m="1" x="340"/>
        <item m="1" x="208"/>
        <item m="1" x="285"/>
        <item m="1" x="226"/>
        <item m="1" x="133"/>
        <item m="1" x="81"/>
        <item m="1" x="109"/>
        <item m="1" x="156"/>
        <item m="1" x="177"/>
        <item m="1" x="151"/>
        <item m="1" x="99"/>
        <item m="1" x="206"/>
        <item m="1" x="122"/>
        <item m="1" x="309"/>
        <item m="1" x="94"/>
        <item m="1" x="292"/>
        <item m="1" x="280"/>
        <item m="1" x="96"/>
        <item m="1" x="223"/>
        <item m="1" x="214"/>
        <item m="1" x="66"/>
        <item m="1" x="138"/>
        <item m="1" x="85"/>
        <item m="1" x="242"/>
        <item m="1" x="185"/>
        <item m="1" x="89"/>
        <item m="1" x="61"/>
        <item m="1" x="190"/>
        <item m="1" x="291"/>
        <item m="1" x="332"/>
        <item m="1" x="172"/>
        <item m="1" x="334"/>
        <item m="1" x="343"/>
        <item m="1" x="277"/>
        <item m="1" x="260"/>
        <item m="1" x="76"/>
        <item m="1" x="154"/>
        <item m="1" x="315"/>
        <item m="1" x="187"/>
        <item m="1" x="268"/>
        <item m="1" x="68"/>
        <item m="1" x="350"/>
        <item m="1" x="353"/>
        <item m="1" x="168"/>
        <item m="1" x="262"/>
        <item m="1" x="336"/>
        <item m="1" x="174"/>
        <item m="1" x="136"/>
        <item m="1" x="128"/>
        <item m="1" x="67"/>
        <item m="1" x="110"/>
        <item m="1" x="132"/>
        <item m="1" x="319"/>
        <item m="1" x="335"/>
        <item m="1" x="142"/>
        <item m="1" x="272"/>
        <item m="1" x="88"/>
        <item m="1" x="112"/>
        <item m="1" x="158"/>
        <item m="1" x="359"/>
        <item m="1" x="210"/>
        <item m="1" x="141"/>
        <item m="1" x="265"/>
        <item m="1" x="293"/>
        <item m="1" x="245"/>
        <item m="1" x="139"/>
        <item m="1" x="102"/>
        <item m="1" x="250"/>
        <item m="1" x="297"/>
        <item m="1" x="302"/>
        <item m="1" x="238"/>
        <item m="1" x="216"/>
        <item m="1" x="150"/>
        <item m="1" x="274"/>
        <item m="1" x="296"/>
        <item m="1" x="342"/>
        <item m="1" x="205"/>
        <item m="1" x="317"/>
        <item m="1" x="231"/>
        <item m="1" x="124"/>
        <item m="1" x="188"/>
        <item m="1" x="199"/>
        <item m="1" x="237"/>
        <item m="1" x="330"/>
        <item m="1" x="180"/>
        <item m="1" x="300"/>
        <item m="1" x="69"/>
        <item m="1" x="129"/>
        <item m="1" x="78"/>
        <item m="1" x="228"/>
        <item m="1" x="192"/>
        <item m="1" x="230"/>
        <item m="1" x="322"/>
        <item m="1" x="183"/>
        <item m="1" x="160"/>
        <item m="1" x="273"/>
        <item m="1" x="247"/>
        <item m="1" x="75"/>
        <item m="1" x="306"/>
        <item m="1" x="299"/>
        <item m="1" x="64"/>
        <item m="1" x="275"/>
        <item m="1" x="324"/>
        <item m="1" x="215"/>
        <item m="1" x="134"/>
        <item m="1" x="264"/>
        <item m="1" x="356"/>
        <item m="1" x="239"/>
        <item m="1" x="256"/>
        <item m="1" x="144"/>
        <item m="1" x="97"/>
        <item m="1" x="338"/>
        <item m="1" x="191"/>
        <item m="1" x="157"/>
        <item m="1" x="105"/>
        <item m="1" x="333"/>
        <item m="1" x="169"/>
        <item m="1" x="98"/>
        <item m="1" x="305"/>
        <item m="1" x="290"/>
        <item m="1" x="203"/>
        <item m="1" x="170"/>
        <item m="1" x="83"/>
        <item m="1" x="227"/>
        <item m="1" x="175"/>
        <item m="1" x="60"/>
        <item m="1" x="165"/>
        <item m="1" x="344"/>
        <item m="1" x="312"/>
        <item m="1" x="288"/>
        <item m="1" x="140"/>
        <item m="1" x="326"/>
        <item m="1" x="218"/>
        <item m="1" x="224"/>
        <item m="1" x="318"/>
        <item m="1" x="103"/>
        <item m="1" x="181"/>
        <item m="1" x="106"/>
        <item m="1" x="221"/>
        <item m="1" x="295"/>
        <item m="1" x="328"/>
        <item m="1" x="354"/>
        <item m="1" x="266"/>
        <item m="1" x="71"/>
        <item m="1" x="241"/>
        <item m="1" x="86"/>
        <item m="1" x="235"/>
        <item m="1" x="259"/>
        <item m="1" x="118"/>
        <item m="1" x="258"/>
        <item m="1" x="58"/>
        <item m="1" x="179"/>
        <item m="1" x="219"/>
        <item m="1" x="271"/>
        <item m="1" x="65"/>
        <item m="1" x="220"/>
        <item m="1" x="222"/>
        <item m="1" x="146"/>
        <item m="1" x="251"/>
        <item m="1" x="137"/>
        <item m="1" x="304"/>
        <item m="1" x="263"/>
        <item m="1" x="234"/>
        <item m="1" x="153"/>
        <item m="1" x="84"/>
        <item m="1" x="313"/>
        <item m="1" x="127"/>
        <item m="1" x="148"/>
        <item m="1" x="152"/>
        <item m="1" x="166"/>
        <item m="1" x="261"/>
        <item m="1" x="171"/>
        <item m="1" x="74"/>
        <item m="1" x="281"/>
        <item m="1" x="184"/>
        <item m="1" x="77"/>
        <item m="1" x="193"/>
        <item m="1" x="79"/>
        <item m="1" x="283"/>
        <item m="1" x="56"/>
        <item m="1" x="346"/>
        <item m="1" x="287"/>
        <item m="1" x="82"/>
        <item m="1" x="327"/>
        <item m="1" x="93"/>
        <item m="1" x="123"/>
        <item m="1" x="329"/>
        <item m="1" x="254"/>
        <item m="1" x="198"/>
        <item m="1" x="87"/>
        <item m="1" x="135"/>
        <item m="1" x="298"/>
        <item m="1" x="345"/>
        <item m="1" x="173"/>
        <item m="1" x="63"/>
        <item m="1" x="101"/>
        <item m="1" x="255"/>
        <item m="1" x="248"/>
        <item m="1" x="301"/>
        <item m="1" x="308"/>
        <item m="1" x="167"/>
        <item m="1" x="252"/>
        <item m="1" x="351"/>
        <item m="1" x="325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t="default"/>
      </items>
    </pivotField>
    <pivotField showAll="0"/>
    <pivotField showAll="0"/>
    <pivotField showAll="0"/>
    <pivotField showAll="0"/>
    <pivotField showAll="0"/>
    <pivotField numFmtId="170" showAll="0"/>
    <pivotField showAll="0"/>
    <pivotField showAll="0"/>
    <pivotField showAll="0"/>
    <pivotField showAll="0"/>
    <pivotField showAll="0"/>
    <pivotField dataField="1" numFmtId="3" showAll="0"/>
    <pivotField numFmtId="3" showAll="0"/>
    <pivotField numFmtId="3" showAll="0"/>
    <pivotField showAll="0"/>
    <pivotField axis="axisRow" showAll="0">
      <items count="19">
        <item m="1" x="9"/>
        <item m="1" x="17"/>
        <item m="1" x="6"/>
        <item m="1" x="14"/>
        <item m="1" x="3"/>
        <item m="1" x="1"/>
        <item m="1" x="8"/>
        <item m="1" x="15"/>
        <item m="1" x="5"/>
        <item m="1" x="13"/>
        <item m="1" x="10"/>
        <item m="1" x="12"/>
        <item m="1" x="11"/>
        <item m="1" x="2"/>
        <item m="1" x="16"/>
        <item x="0"/>
        <item m="1" x="4"/>
        <item m="1" x="7"/>
        <item t="default"/>
      </items>
    </pivotField>
    <pivotField showAll="0"/>
    <pivotField showAll="0"/>
    <pivotField showAll="0"/>
    <pivotField showAll="0"/>
    <pivotField showAll="0"/>
  </pivotFields>
  <rowFields count="1">
    <field x="17"/>
  </rowFields>
  <rowItems count="2">
    <i>
      <x v="15"/>
    </i>
    <i t="grand">
      <x/>
    </i>
  </rowItems>
  <colItems count="1">
    <i/>
  </colItems>
  <pageFields count="1">
    <pageField fld="1" hier="0"/>
  </pageFields>
  <dataFields count="1">
    <dataField name="Suma de CON MORA" fld="13" baseField="0" baseItem="0"/>
  </dataField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300-000001000000}" name="Tabla dinámica1" cacheId="0" applyNumberFormats="0" applyBorderFormats="0" applyFontFormats="0" applyPatternFormats="0" applyAlignmentFormats="0" applyWidthHeightFormats="1" dataCaption="Valores" updatedVersion="6" minRefreshableVersion="3" useAutoFormatting="1" itemPrintTitles="1" createdVersion="4" indent="0" outline="1" outlineData="1" multipleFieldFilters="0">
  <location ref="A3:C60" firstHeaderRow="1" firstDataRow="2" firstDataCol="1"/>
  <pivotFields count="23">
    <pivotField showAll="0"/>
    <pivotField axis="axisRow" showAll="0">
      <items count="361">
        <item m="1" x="155"/>
        <item m="1" x="246"/>
        <item m="1" x="120"/>
        <item m="1" x="282"/>
        <item m="1" x="244"/>
        <item m="1" x="339"/>
        <item m="1" x="316"/>
        <item m="1" x="113"/>
        <item m="1" x="195"/>
        <item m="1" x="117"/>
        <item m="1" x="108"/>
        <item m="1" x="307"/>
        <item m="1" x="59"/>
        <item m="1" x="182"/>
        <item m="1" x="126"/>
        <item m="1" x="202"/>
        <item m="1" x="349"/>
        <item m="1" x="204"/>
        <item m="1" x="289"/>
        <item m="1" x="236"/>
        <item m="1" x="200"/>
        <item m="1" x="130"/>
        <item m="1" x="321"/>
        <item m="1" x="311"/>
        <item m="1" x="320"/>
        <item m="1" x="55"/>
        <item m="1" x="233"/>
        <item m="1" x="100"/>
        <item m="1" x="358"/>
        <item m="1" x="104"/>
        <item m="1" x="348"/>
        <item m="1" x="229"/>
        <item m="1" x="270"/>
        <item m="1" x="284"/>
        <item m="1" x="294"/>
        <item m="1" x="243"/>
        <item m="1" x="286"/>
        <item m="1" x="197"/>
        <item m="1" x="357"/>
        <item m="1" x="355"/>
        <item m="1" x="201"/>
        <item m="1" x="72"/>
        <item m="1" x="145"/>
        <item m="1" x="337"/>
        <item m="1" x="95"/>
        <item m="1" x="194"/>
        <item m="1" x="164"/>
        <item m="1" x="249"/>
        <item m="1" x="91"/>
        <item m="1" x="149"/>
        <item m="1" x="161"/>
        <item m="1" x="114"/>
        <item m="1" x="116"/>
        <item m="1" x="212"/>
        <item m="1" x="80"/>
        <item m="1" x="279"/>
        <item m="1" x="196"/>
        <item m="1" x="352"/>
        <item m="1" x="90"/>
        <item m="1" x="269"/>
        <item m="1" x="209"/>
        <item m="1" x="186"/>
        <item m="1" x="211"/>
        <item m="1" x="119"/>
        <item m="1" x="189"/>
        <item m="1" x="131"/>
        <item m="1" x="57"/>
        <item m="1" x="143"/>
        <item m="1" x="159"/>
        <item m="1" x="62"/>
        <item m="1" x="162"/>
        <item m="1" x="73"/>
        <item m="1" x="115"/>
        <item m="1" x="323"/>
        <item m="1" x="225"/>
        <item m="1" x="240"/>
        <item m="1" x="70"/>
        <item m="1" x="347"/>
        <item m="1" x="257"/>
        <item m="1" x="147"/>
        <item m="1" x="213"/>
        <item m="1" x="341"/>
        <item m="1" x="163"/>
        <item m="1" x="176"/>
        <item m="1" x="92"/>
        <item m="1" x="178"/>
        <item m="1" x="217"/>
        <item m="1" x="278"/>
        <item m="1" x="267"/>
        <item m="1" x="232"/>
        <item m="1" x="310"/>
        <item m="1" x="207"/>
        <item m="1" x="314"/>
        <item m="1" x="107"/>
        <item m="1" x="303"/>
        <item m="1" x="125"/>
        <item m="1" x="121"/>
        <item m="1" x="276"/>
        <item m="1" x="253"/>
        <item m="1" x="331"/>
        <item m="1" x="111"/>
        <item m="1" x="340"/>
        <item m="1" x="208"/>
        <item m="1" x="285"/>
        <item m="1" x="226"/>
        <item m="1" x="133"/>
        <item m="1" x="81"/>
        <item m="1" x="109"/>
        <item m="1" x="156"/>
        <item m="1" x="177"/>
        <item m="1" x="151"/>
        <item m="1" x="99"/>
        <item m="1" x="206"/>
        <item m="1" x="122"/>
        <item m="1" x="309"/>
        <item m="1" x="94"/>
        <item m="1" x="292"/>
        <item m="1" x="280"/>
        <item m="1" x="96"/>
        <item m="1" x="223"/>
        <item m="1" x="214"/>
        <item m="1" x="66"/>
        <item m="1" x="138"/>
        <item m="1" x="85"/>
        <item m="1" x="242"/>
        <item m="1" x="185"/>
        <item m="1" x="89"/>
        <item m="1" x="61"/>
        <item m="1" x="190"/>
        <item m="1" x="291"/>
        <item m="1" x="332"/>
        <item m="1" x="172"/>
        <item m="1" x="334"/>
        <item m="1" x="343"/>
        <item m="1" x="277"/>
        <item m="1" x="260"/>
        <item m="1" x="76"/>
        <item m="1" x="154"/>
        <item m="1" x="315"/>
        <item m="1" x="187"/>
        <item m="1" x="268"/>
        <item m="1" x="68"/>
        <item m="1" x="350"/>
        <item m="1" x="353"/>
        <item m="1" x="168"/>
        <item m="1" x="262"/>
        <item m="1" x="336"/>
        <item m="1" x="174"/>
        <item m="1" x="136"/>
        <item m="1" x="128"/>
        <item m="1" x="67"/>
        <item m="1" x="110"/>
        <item m="1" x="132"/>
        <item m="1" x="319"/>
        <item m="1" x="335"/>
        <item m="1" x="142"/>
        <item m="1" x="272"/>
        <item m="1" x="88"/>
        <item m="1" x="112"/>
        <item m="1" x="158"/>
        <item m="1" x="359"/>
        <item m="1" x="210"/>
        <item m="1" x="141"/>
        <item m="1" x="265"/>
        <item m="1" x="293"/>
        <item m="1" x="245"/>
        <item m="1" x="139"/>
        <item m="1" x="102"/>
        <item m="1" x="250"/>
        <item m="1" x="297"/>
        <item m="1" x="302"/>
        <item m="1" x="238"/>
        <item m="1" x="216"/>
        <item m="1" x="150"/>
        <item m="1" x="274"/>
        <item m="1" x="296"/>
        <item m="1" x="342"/>
        <item m="1" x="205"/>
        <item m="1" x="317"/>
        <item m="1" x="231"/>
        <item m="1" x="124"/>
        <item m="1" x="188"/>
        <item m="1" x="199"/>
        <item m="1" x="237"/>
        <item m="1" x="330"/>
        <item m="1" x="180"/>
        <item m="1" x="300"/>
        <item m="1" x="69"/>
        <item m="1" x="129"/>
        <item m="1" x="78"/>
        <item m="1" x="228"/>
        <item m="1" x="192"/>
        <item m="1" x="230"/>
        <item m="1" x="322"/>
        <item m="1" x="183"/>
        <item m="1" x="160"/>
        <item m="1" x="273"/>
        <item m="1" x="247"/>
        <item m="1" x="75"/>
        <item m="1" x="306"/>
        <item m="1" x="299"/>
        <item m="1" x="64"/>
        <item m="1" x="275"/>
        <item m="1" x="324"/>
        <item m="1" x="215"/>
        <item m="1" x="134"/>
        <item m="1" x="264"/>
        <item m="1" x="356"/>
        <item m="1" x="239"/>
        <item m="1" x="256"/>
        <item m="1" x="144"/>
        <item m="1" x="97"/>
        <item m="1" x="338"/>
        <item m="1" x="191"/>
        <item m="1" x="157"/>
        <item m="1" x="105"/>
        <item m="1" x="333"/>
        <item m="1" x="169"/>
        <item m="1" x="98"/>
        <item m="1" x="305"/>
        <item m="1" x="290"/>
        <item m="1" x="203"/>
        <item m="1" x="170"/>
        <item m="1" x="83"/>
        <item m="1" x="227"/>
        <item m="1" x="175"/>
        <item m="1" x="60"/>
        <item m="1" x="165"/>
        <item m="1" x="344"/>
        <item m="1" x="312"/>
        <item m="1" x="288"/>
        <item m="1" x="140"/>
        <item m="1" x="326"/>
        <item m="1" x="218"/>
        <item m="1" x="224"/>
        <item m="1" x="318"/>
        <item m="1" x="103"/>
        <item m="1" x="181"/>
        <item m="1" x="106"/>
        <item m="1" x="221"/>
        <item m="1" x="295"/>
        <item m="1" x="328"/>
        <item m="1" x="354"/>
        <item m="1" x="266"/>
        <item m="1" x="71"/>
        <item m="1" x="241"/>
        <item m="1" x="86"/>
        <item m="1" x="235"/>
        <item m="1" x="259"/>
        <item m="1" x="118"/>
        <item m="1" x="258"/>
        <item m="1" x="58"/>
        <item m="1" x="179"/>
        <item m="1" x="219"/>
        <item m="1" x="271"/>
        <item m="1" x="65"/>
        <item m="1" x="220"/>
        <item m="1" x="222"/>
        <item m="1" x="146"/>
        <item m="1" x="251"/>
        <item m="1" x="137"/>
        <item m="1" x="304"/>
        <item m="1" x="263"/>
        <item m="1" x="234"/>
        <item m="1" x="153"/>
        <item m="1" x="84"/>
        <item m="1" x="313"/>
        <item m="1" x="127"/>
        <item m="1" x="148"/>
        <item m="1" x="152"/>
        <item m="1" x="166"/>
        <item m="1" x="261"/>
        <item m="1" x="171"/>
        <item m="1" x="74"/>
        <item m="1" x="281"/>
        <item m="1" x="184"/>
        <item m="1" x="77"/>
        <item m="1" x="193"/>
        <item m="1" x="79"/>
        <item m="1" x="283"/>
        <item m="1" x="56"/>
        <item m="1" x="346"/>
        <item m="1" x="287"/>
        <item m="1" x="82"/>
        <item m="1" x="327"/>
        <item m="1" x="93"/>
        <item m="1" x="123"/>
        <item m="1" x="329"/>
        <item m="1" x="254"/>
        <item m="1" x="198"/>
        <item m="1" x="87"/>
        <item m="1" x="135"/>
        <item m="1" x="298"/>
        <item m="1" x="345"/>
        <item m="1" x="173"/>
        <item m="1" x="63"/>
        <item m="1" x="101"/>
        <item m="1" x="255"/>
        <item m="1" x="248"/>
        <item m="1" x="301"/>
        <item m="1" x="308"/>
        <item m="1" x="167"/>
        <item m="1" x="252"/>
        <item m="1" x="351"/>
        <item m="1" x="325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t="default"/>
      </items>
    </pivotField>
    <pivotField showAll="0"/>
    <pivotField showAll="0"/>
    <pivotField showAll="0"/>
    <pivotField showAll="0"/>
    <pivotField showAll="0"/>
    <pivotField numFmtId="170" showAll="0"/>
    <pivotField showAll="0"/>
    <pivotField showAll="0"/>
    <pivotField showAll="0"/>
    <pivotField showAll="0"/>
    <pivotField showAll="0"/>
    <pivotField dataField="1" numFmtId="3" showAll="0"/>
    <pivotField numFmtId="3" showAll="0"/>
    <pivotField numFmtId="3" showAll="0"/>
    <pivotField showAll="0"/>
    <pivotField axis="axisCol" showAll="0">
      <items count="19">
        <item m="1" x="9"/>
        <item m="1" x="17"/>
        <item m="1" x="6"/>
        <item m="1" x="14"/>
        <item m="1" x="3"/>
        <item m="1" x="1"/>
        <item m="1" x="8"/>
        <item m="1" x="15"/>
        <item m="1" x="5"/>
        <item m="1" x="13"/>
        <item m="1" x="10"/>
        <item m="1" x="12"/>
        <item m="1" x="11"/>
        <item m="1" x="2"/>
        <item m="1" x="16"/>
        <item x="0"/>
        <item m="1" x="4"/>
        <item m="1" x="7"/>
        <item t="default"/>
      </items>
    </pivotField>
    <pivotField showAll="0"/>
    <pivotField showAll="0"/>
    <pivotField showAll="0"/>
    <pivotField showAll="0"/>
    <pivotField showAll="0"/>
  </pivotFields>
  <rowFields count="1">
    <field x="1"/>
  </rowFields>
  <rowItems count="56">
    <i>
      <x v="305"/>
    </i>
    <i>
      <x v="306"/>
    </i>
    <i>
      <x v="307"/>
    </i>
    <i>
      <x v="308"/>
    </i>
    <i>
      <x v="309"/>
    </i>
    <i>
      <x v="310"/>
    </i>
    <i>
      <x v="311"/>
    </i>
    <i>
      <x v="312"/>
    </i>
    <i>
      <x v="313"/>
    </i>
    <i>
      <x v="314"/>
    </i>
    <i>
      <x v="315"/>
    </i>
    <i>
      <x v="316"/>
    </i>
    <i>
      <x v="317"/>
    </i>
    <i>
      <x v="318"/>
    </i>
    <i>
      <x v="319"/>
    </i>
    <i>
      <x v="320"/>
    </i>
    <i>
      <x v="321"/>
    </i>
    <i>
      <x v="322"/>
    </i>
    <i>
      <x v="323"/>
    </i>
    <i>
      <x v="324"/>
    </i>
    <i>
      <x v="325"/>
    </i>
    <i>
      <x v="326"/>
    </i>
    <i>
      <x v="327"/>
    </i>
    <i>
      <x v="328"/>
    </i>
    <i>
      <x v="329"/>
    </i>
    <i>
      <x v="330"/>
    </i>
    <i>
      <x v="331"/>
    </i>
    <i>
      <x v="332"/>
    </i>
    <i>
      <x v="333"/>
    </i>
    <i>
      <x v="334"/>
    </i>
    <i>
      <x v="335"/>
    </i>
    <i>
      <x v="336"/>
    </i>
    <i>
      <x v="337"/>
    </i>
    <i>
      <x v="338"/>
    </i>
    <i>
      <x v="339"/>
    </i>
    <i>
      <x v="340"/>
    </i>
    <i>
      <x v="341"/>
    </i>
    <i>
      <x v="342"/>
    </i>
    <i>
      <x v="343"/>
    </i>
    <i>
      <x v="344"/>
    </i>
    <i>
      <x v="345"/>
    </i>
    <i>
      <x v="346"/>
    </i>
    <i>
      <x v="347"/>
    </i>
    <i>
      <x v="348"/>
    </i>
    <i>
      <x v="349"/>
    </i>
    <i>
      <x v="350"/>
    </i>
    <i>
      <x v="351"/>
    </i>
    <i>
      <x v="352"/>
    </i>
    <i>
      <x v="353"/>
    </i>
    <i>
      <x v="354"/>
    </i>
    <i>
      <x v="355"/>
    </i>
    <i>
      <x v="356"/>
    </i>
    <i>
      <x v="357"/>
    </i>
    <i>
      <x v="358"/>
    </i>
    <i>
      <x v="359"/>
    </i>
    <i t="grand">
      <x/>
    </i>
  </rowItems>
  <colFields count="1">
    <field x="17"/>
  </colFields>
  <colItems count="2">
    <i>
      <x v="15"/>
    </i>
    <i t="grand">
      <x/>
    </i>
  </colItems>
  <dataFields count="1">
    <dataField name="Suma de CON MORA" fld="13" baseField="0" baseItem="0"/>
  </dataField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pivotTable" Target="../pivotTables/pivotTable1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pivotTable" Target="../pivotTables/pivotTable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>
    <tabColor rgb="FF7030A0"/>
  </sheetPr>
  <dimension ref="A1:IV184"/>
  <sheetViews>
    <sheetView tabSelected="1" topLeftCell="A126" zoomScale="85" zoomScaleNormal="85" workbookViewId="0">
      <selection activeCell="A157" sqref="A157"/>
    </sheetView>
  </sheetViews>
  <sheetFormatPr baseColWidth="10" defaultRowHeight="12.75" x14ac:dyDescent="0.2"/>
  <cols>
    <col min="1" max="1" width="10" customWidth="1"/>
    <col min="2" max="2" width="45" bestFit="1" customWidth="1"/>
    <col min="3" max="3" width="19.5703125" style="15" customWidth="1"/>
    <col min="4" max="4" width="18.42578125" customWidth="1"/>
    <col min="6" max="6" width="12.7109375" customWidth="1"/>
    <col min="7" max="7" width="10.7109375" customWidth="1"/>
    <col min="8" max="8" width="14.28515625" style="9" customWidth="1"/>
    <col min="15" max="15" width="13.5703125" customWidth="1"/>
    <col min="16" max="16" width="19.42578125" customWidth="1"/>
    <col min="17" max="17" width="13.140625" customWidth="1"/>
    <col min="18" max="18" width="13.140625" style="22" customWidth="1"/>
    <col min="19" max="19" width="15.28515625" customWidth="1"/>
    <col min="20" max="20" width="10.28515625" style="8" bestFit="1" customWidth="1"/>
    <col min="21" max="21" width="8.85546875" style="9" customWidth="1"/>
    <col min="22" max="23" width="37.5703125" customWidth="1"/>
    <col min="24" max="25" width="9.28515625" customWidth="1"/>
    <col min="26" max="26" width="12.28515625" bestFit="1" customWidth="1"/>
    <col min="27" max="27" width="8.85546875" customWidth="1"/>
    <col min="28" max="29" width="10.5703125" customWidth="1"/>
    <col min="30" max="30" width="11.7109375" customWidth="1"/>
    <col min="31" max="31" width="9.5703125" customWidth="1"/>
    <col min="32" max="32" width="6.28515625" customWidth="1"/>
    <col min="33" max="33" width="61" style="57" customWidth="1"/>
    <col min="34" max="34" width="11.42578125" hidden="1" customWidth="1"/>
    <col min="35" max="35" width="10.28515625" hidden="1" customWidth="1"/>
    <col min="36" max="36" width="10.140625" hidden="1" customWidth="1"/>
    <col min="37" max="37" width="10.5703125" hidden="1" customWidth="1"/>
    <col min="38" max="38" width="10" hidden="1" customWidth="1"/>
    <col min="39" max="39" width="9.7109375" hidden="1" customWidth="1"/>
    <col min="40" max="40" width="7.140625" hidden="1" customWidth="1"/>
    <col min="41" max="41" width="10.28515625" hidden="1" customWidth="1"/>
    <col min="42" max="42" width="10" hidden="1" customWidth="1"/>
    <col min="43" max="43" width="9.7109375" hidden="1" customWidth="1"/>
    <col min="44" max="44" width="6.140625" hidden="1" customWidth="1"/>
    <col min="45" max="45" width="10.28515625" hidden="1" customWidth="1"/>
    <col min="46" max="46" width="10" hidden="1" customWidth="1"/>
    <col min="47" max="47" width="12.7109375" hidden="1" customWidth="1"/>
    <col min="48" max="48" width="10" hidden="1" customWidth="1"/>
    <col min="49" max="49" width="14.7109375" hidden="1" customWidth="1"/>
    <col min="50" max="50" width="10" hidden="1" customWidth="1"/>
    <col min="51" max="51" width="9.5703125" hidden="1" customWidth="1"/>
    <col min="52" max="52" width="9.42578125" hidden="1" customWidth="1"/>
    <col min="53" max="53" width="7.42578125" hidden="1" customWidth="1"/>
    <col min="54" max="54" width="14.42578125" hidden="1" customWidth="1"/>
    <col min="55" max="55" width="10" hidden="1" customWidth="1"/>
    <col min="56" max="56" width="9.5703125" hidden="1" customWidth="1"/>
    <col min="57" max="57" width="7.42578125" hidden="1" customWidth="1"/>
    <col min="58" max="58" width="9.42578125" hidden="1" customWidth="1"/>
  </cols>
  <sheetData>
    <row r="1" spans="1:256" ht="24" thickBot="1" x14ac:dyDescent="0.4">
      <c r="A1" s="130">
        <v>7</v>
      </c>
      <c r="B1" s="126" t="str">
        <f>IF(A1&lt;&gt;0,VLOOKUP(A1,COB!A1:B9,2),"COBRADOR INEXISTENTE")</f>
        <v>MEDIOS ELECTRONICOS</v>
      </c>
      <c r="C1" s="127"/>
      <c r="D1" s="129" t="s">
        <v>520</v>
      </c>
      <c r="E1" s="125">
        <v>2026</v>
      </c>
      <c r="F1" s="129" t="s">
        <v>26</v>
      </c>
      <c r="H1"/>
      <c r="I1" s="9" t="s">
        <v>69</v>
      </c>
      <c r="S1" s="110"/>
      <c r="V1" s="110"/>
      <c r="W1" s="110"/>
      <c r="AI1" t="s">
        <v>84</v>
      </c>
      <c r="AS1" t="s">
        <v>80</v>
      </c>
      <c r="AU1" t="s">
        <v>82</v>
      </c>
    </row>
    <row r="2" spans="1:256" ht="14.25" thickTop="1" thickBot="1" x14ac:dyDescent="0.25">
      <c r="E2" s="1"/>
      <c r="F2" s="1"/>
      <c r="G2" s="224" t="s">
        <v>21</v>
      </c>
      <c r="H2" s="224"/>
      <c r="I2" s="225" t="s">
        <v>48</v>
      </c>
      <c r="J2" s="225"/>
      <c r="K2" s="225"/>
      <c r="L2" s="225"/>
      <c r="M2" s="225"/>
      <c r="N2" s="58" t="s">
        <v>95</v>
      </c>
      <c r="O2" s="2" t="s">
        <v>8</v>
      </c>
      <c r="P2" s="2" t="s">
        <v>71</v>
      </c>
      <c r="Q2" s="226" t="s">
        <v>107</v>
      </c>
      <c r="R2" s="227"/>
      <c r="S2" s="227"/>
      <c r="V2" s="112"/>
      <c r="W2" s="112"/>
      <c r="Z2" s="58" t="s">
        <v>119</v>
      </c>
      <c r="AA2" s="52"/>
      <c r="AB2" s="53" t="s">
        <v>33</v>
      </c>
      <c r="AC2" s="54" t="s">
        <v>34</v>
      </c>
      <c r="AD2" s="55"/>
      <c r="AE2" s="56" t="s">
        <v>35</v>
      </c>
      <c r="AF2" s="52"/>
      <c r="AH2" s="6" t="s">
        <v>26</v>
      </c>
      <c r="AI2" t="s">
        <v>85</v>
      </c>
      <c r="AS2" t="s">
        <v>81</v>
      </c>
      <c r="AU2" t="s">
        <v>83</v>
      </c>
      <c r="AY2" t="s">
        <v>57</v>
      </c>
      <c r="AZ2" t="s">
        <v>56</v>
      </c>
      <c r="BA2" t="s">
        <v>55</v>
      </c>
      <c r="BD2" t="s">
        <v>57</v>
      </c>
      <c r="BE2" t="s">
        <v>55</v>
      </c>
      <c r="BF2" t="s">
        <v>56</v>
      </c>
    </row>
    <row r="3" spans="1:256" ht="15" customHeight="1" thickTop="1" thickBot="1" x14ac:dyDescent="0.25">
      <c r="A3" s="2" t="s">
        <v>0</v>
      </c>
      <c r="B3" s="2" t="s">
        <v>1</v>
      </c>
      <c r="C3" s="3" t="s">
        <v>2</v>
      </c>
      <c r="D3" s="4" t="s">
        <v>3</v>
      </c>
      <c r="E3" s="5" t="s">
        <v>4</v>
      </c>
      <c r="F3" s="5" t="s">
        <v>5</v>
      </c>
      <c r="G3" s="2" t="s">
        <v>24</v>
      </c>
      <c r="H3" s="115" t="s">
        <v>70</v>
      </c>
      <c r="I3" s="2" t="s">
        <v>7</v>
      </c>
      <c r="J3" s="58" t="s">
        <v>54</v>
      </c>
      <c r="K3" s="58" t="s">
        <v>47</v>
      </c>
      <c r="L3" s="185" t="s">
        <v>129</v>
      </c>
      <c r="M3" s="58" t="s">
        <v>131</v>
      </c>
      <c r="N3" s="58" t="s">
        <v>96</v>
      </c>
      <c r="O3" s="2" t="s">
        <v>97</v>
      </c>
      <c r="P3" s="2" t="s">
        <v>94</v>
      </c>
      <c r="Q3" s="2" t="s">
        <v>7</v>
      </c>
      <c r="R3" s="111" t="s">
        <v>36</v>
      </c>
      <c r="S3" s="111" t="s">
        <v>113</v>
      </c>
      <c r="T3" s="2" t="s">
        <v>9</v>
      </c>
      <c r="U3" s="2" t="s">
        <v>42</v>
      </c>
      <c r="V3" s="111" t="s">
        <v>10</v>
      </c>
      <c r="W3" s="175" t="s">
        <v>112</v>
      </c>
      <c r="X3" s="2" t="s">
        <v>79</v>
      </c>
      <c r="Y3" s="2" t="s">
        <v>132</v>
      </c>
      <c r="Z3" s="58" t="s">
        <v>66</v>
      </c>
      <c r="AA3" s="58" t="s">
        <v>36</v>
      </c>
      <c r="AB3" s="59" t="s">
        <v>37</v>
      </c>
      <c r="AC3" s="59" t="s">
        <v>38</v>
      </c>
      <c r="AD3" s="59" t="s">
        <v>39</v>
      </c>
      <c r="AE3" s="60" t="s">
        <v>40</v>
      </c>
      <c r="AF3" s="58" t="s">
        <v>41</v>
      </c>
      <c r="AG3" s="61" t="s">
        <v>10</v>
      </c>
      <c r="AH3" s="6" t="s">
        <v>14</v>
      </c>
      <c r="AI3" s="7" t="s">
        <v>11</v>
      </c>
      <c r="AJ3" s="8" t="s">
        <v>12</v>
      </c>
      <c r="AK3" s="9" t="s">
        <v>13</v>
      </c>
      <c r="AL3" s="9" t="s">
        <v>14</v>
      </c>
      <c r="AM3" s="9" t="s">
        <v>45</v>
      </c>
      <c r="AN3" s="9" t="s">
        <v>15</v>
      </c>
      <c r="AO3" s="9" t="s">
        <v>16</v>
      </c>
      <c r="AP3" s="9" t="s">
        <v>14</v>
      </c>
      <c r="AQ3" s="9" t="s">
        <v>45</v>
      </c>
      <c r="AR3" s="9" t="s">
        <v>15</v>
      </c>
      <c r="AS3" s="148" t="s">
        <v>17</v>
      </c>
      <c r="AT3" s="148" t="s">
        <v>14</v>
      </c>
      <c r="AU3" s="149" t="s">
        <v>86</v>
      </c>
      <c r="AV3" s="149" t="s">
        <v>87</v>
      </c>
      <c r="AW3" s="9" t="s">
        <v>19</v>
      </c>
      <c r="AX3" s="9" t="s">
        <v>14</v>
      </c>
      <c r="AY3" s="9" t="s">
        <v>15</v>
      </c>
      <c r="AZ3" s="9"/>
      <c r="BA3" s="9" t="s">
        <v>15</v>
      </c>
      <c r="BB3" s="9" t="s">
        <v>20</v>
      </c>
      <c r="BC3" s="9" t="s">
        <v>14</v>
      </c>
      <c r="BD3" s="9" t="s">
        <v>15</v>
      </c>
      <c r="BE3" s="9"/>
      <c r="BF3" s="9" t="s">
        <v>15</v>
      </c>
    </row>
    <row r="4" spans="1:256" s="201" customFormat="1" ht="15" thickTop="1" x14ac:dyDescent="0.2">
      <c r="A4" s="10">
        <v>816</v>
      </c>
      <c r="B4" s="11" t="s">
        <v>223</v>
      </c>
      <c r="C4" s="105" t="s">
        <v>224</v>
      </c>
      <c r="D4" s="11" t="s">
        <v>225</v>
      </c>
      <c r="E4" s="12">
        <v>9287</v>
      </c>
      <c r="F4" s="202">
        <v>93</v>
      </c>
      <c r="G4" s="11">
        <v>40000</v>
      </c>
      <c r="H4" s="116">
        <v>0</v>
      </c>
      <c r="I4" s="192"/>
      <c r="J4" s="204"/>
      <c r="K4" s="193"/>
      <c r="L4" s="193"/>
      <c r="M4" s="193"/>
      <c r="N4" s="203">
        <f t="shared" ref="N4:N35" si="0">IF(H4&gt;0,G4+H4-I4-J4-K4-L4-M4,G4-I4-J4-K4-L4-M4)</f>
        <v>40000</v>
      </c>
      <c r="O4" s="203">
        <f t="shared" ref="O4:O35" si="1">G4+H4-J4-I4-K4-L4-M4</f>
        <v>40000</v>
      </c>
      <c r="P4" s="203">
        <f t="shared" ref="P4:P35" si="2">IF(G4+H4&lt;0,0,G4+H4)</f>
        <v>40000</v>
      </c>
      <c r="Q4" s="214"/>
      <c r="R4" s="219"/>
      <c r="S4" s="217">
        <v>46205</v>
      </c>
      <c r="T4" s="205"/>
      <c r="U4" s="205"/>
      <c r="V4" s="215"/>
      <c r="W4" s="212"/>
      <c r="X4" s="10">
        <v>7</v>
      </c>
      <c r="Y4" s="10">
        <v>7</v>
      </c>
      <c r="Z4" s="213">
        <f t="shared" ref="Z4:Z35" si="3">IF(N4&lt;0,0,N4)</f>
        <v>40000</v>
      </c>
      <c r="AA4" s="62"/>
      <c r="AB4" s="62"/>
      <c r="AC4" s="62"/>
      <c r="AD4" s="62"/>
      <c r="AE4" s="62"/>
      <c r="AF4" s="63"/>
      <c r="AG4" s="64"/>
      <c r="AH4" s="6">
        <v>1</v>
      </c>
      <c r="AI4">
        <f t="shared" ref="AI4:AI35" si="4">IF(F4&lt;=6,15,25)</f>
        <v>25</v>
      </c>
      <c r="AJ4">
        <f t="shared" ref="AJ4:AJ35" si="5">IF(O4&lt;&gt;0,25,15)</f>
        <v>25</v>
      </c>
      <c r="AK4">
        <f t="shared" ref="AK4:AK35" si="6">IF(AI4-T4=24,1,0)</f>
        <v>0</v>
      </c>
      <c r="AL4">
        <f t="shared" ref="AL4:AL35" si="7">IF(AH4-AK4=AH4,0,AH4)</f>
        <v>0</v>
      </c>
      <c r="AM4">
        <f t="shared" ref="AM4:AM35" si="8">IF(AK4&lt;&gt;0,U4,0)</f>
        <v>0</v>
      </c>
      <c r="AN4">
        <f t="shared" ref="AN4:AN35" si="9">IF(AK4=1,O4,0)</f>
        <v>0</v>
      </c>
      <c r="AO4">
        <f t="shared" ref="AO4:AO35" si="10">IF(AI4-T4=14,1,0)</f>
        <v>0</v>
      </c>
      <c r="AP4">
        <f t="shared" ref="AP4:AP35" si="11">IF(AH4-AO4=AH4,0,AH4)</f>
        <v>0</v>
      </c>
      <c r="AQ4">
        <f t="shared" ref="AQ4:AQ35" si="12">IF(AO4&lt;&gt;0,U4,0)</f>
        <v>0</v>
      </c>
      <c r="AR4">
        <f t="shared" ref="AR4:AR35" si="13">IF(AO4=1,O4,0)</f>
        <v>0</v>
      </c>
      <c r="AS4">
        <f t="shared" ref="AS4:AS35" si="14">IF(SUM(I4:M4)&lt;&gt;0,1,0)</f>
        <v>0</v>
      </c>
      <c r="AT4">
        <f t="shared" ref="AT4:AT35" si="15">AS4</f>
        <v>0</v>
      </c>
      <c r="AU4">
        <f t="shared" ref="AU4:AU35" si="16">IF(O4&gt;0,1,0)</f>
        <v>1</v>
      </c>
      <c r="AV4">
        <f t="shared" ref="AV4:AV35" si="17">IF(AK4+AO4+AU4=1,AU4,0)</f>
        <v>1</v>
      </c>
      <c r="AW4">
        <f t="shared" ref="AW4:AW35" si="18">IF(AI4-AV4=24,1,0)</f>
        <v>1</v>
      </c>
      <c r="AX4">
        <f t="shared" ref="AX4:AX35" si="19">IF(AH4-AW4=AH4,0,AH4)</f>
        <v>1</v>
      </c>
      <c r="AY4">
        <f t="shared" ref="AY4:AY35" si="20">IF(AW4=1,O4,0)</f>
        <v>40000</v>
      </c>
      <c r="AZ4">
        <f t="shared" ref="AZ4:AZ35" si="21">IF(AY4-BA4&lt;&gt;0,AY4,0)</f>
        <v>40000</v>
      </c>
      <c r="BA4">
        <f t="shared" ref="BA4:BA35" si="22">IF(AY4&lt;0,AY4,0)</f>
        <v>0</v>
      </c>
      <c r="BB4">
        <f t="shared" ref="BB4:BB35" si="23">IF(AI4-AV4=14,1,0)</f>
        <v>0</v>
      </c>
      <c r="BC4">
        <f t="shared" ref="BC4:BC35" si="24">IF(AH4-BB4=AH4,0,AH4)</f>
        <v>0</v>
      </c>
      <c r="BD4">
        <f t="shared" ref="BD4:BD35" si="25">IF(BB4=1,O4,0)</f>
        <v>0</v>
      </c>
      <c r="BE4">
        <f t="shared" ref="BE4:BE35" si="26">IF(BD4&lt;0,BD4,0)</f>
        <v>0</v>
      </c>
      <c r="BF4">
        <f t="shared" ref="BF4:BF35" si="27">IF(BD4-BE4&lt;&gt;0,BD4,0)</f>
        <v>0</v>
      </c>
      <c r="BG4"/>
      <c r="BH4"/>
      <c r="BI4"/>
      <c r="BJ4"/>
      <c r="BK4"/>
      <c r="BL4"/>
      <c r="BM4"/>
      <c r="BN4"/>
      <c r="BO4"/>
      <c r="BP4"/>
      <c r="BQ4"/>
      <c r="BR4"/>
      <c r="BS4"/>
      <c r="BT4"/>
      <c r="BU4"/>
      <c r="BV4"/>
      <c r="BW4"/>
      <c r="BX4"/>
      <c r="BY4"/>
      <c r="BZ4"/>
      <c r="CA4"/>
      <c r="CB4"/>
      <c r="CC4"/>
      <c r="CD4"/>
      <c r="CE4"/>
      <c r="CF4"/>
      <c r="CG4"/>
      <c r="CH4"/>
      <c r="CI4"/>
      <c r="CJ4"/>
      <c r="CK4"/>
      <c r="CL4"/>
      <c r="CM4"/>
      <c r="CN4"/>
      <c r="CO4"/>
      <c r="CP4"/>
      <c r="CQ4"/>
      <c r="CR4"/>
      <c r="CS4"/>
      <c r="CT4"/>
      <c r="CU4"/>
      <c r="CV4"/>
      <c r="CW4"/>
      <c r="CX4"/>
      <c r="CY4"/>
      <c r="CZ4"/>
      <c r="DA4"/>
      <c r="DB4"/>
      <c r="DC4"/>
      <c r="DD4"/>
      <c r="DE4"/>
      <c r="DF4"/>
      <c r="DG4"/>
      <c r="DH4"/>
      <c r="DI4"/>
      <c r="DJ4"/>
      <c r="DK4"/>
      <c r="DL4"/>
      <c r="DM4"/>
      <c r="DN4"/>
      <c r="DO4"/>
      <c r="DP4"/>
      <c r="DQ4"/>
      <c r="DR4"/>
      <c r="DS4"/>
      <c r="DT4"/>
      <c r="DU4"/>
      <c r="DV4"/>
      <c r="DW4"/>
      <c r="DX4"/>
      <c r="DY4"/>
      <c r="DZ4"/>
      <c r="EA4"/>
      <c r="EB4"/>
      <c r="EC4"/>
      <c r="ED4"/>
      <c r="EE4"/>
      <c r="EF4"/>
      <c r="EG4"/>
      <c r="EH4"/>
      <c r="EI4"/>
      <c r="EJ4"/>
      <c r="EK4"/>
      <c r="EL4"/>
      <c r="EM4"/>
      <c r="EN4"/>
      <c r="EO4"/>
      <c r="EP4"/>
      <c r="EQ4"/>
      <c r="ER4"/>
      <c r="ES4"/>
      <c r="ET4"/>
      <c r="EU4"/>
      <c r="EV4"/>
      <c r="EW4"/>
      <c r="EX4"/>
      <c r="EY4"/>
      <c r="EZ4"/>
      <c r="FA4"/>
      <c r="FB4"/>
      <c r="FC4"/>
      <c r="FD4"/>
      <c r="FE4"/>
      <c r="FF4"/>
      <c r="FG4"/>
      <c r="FH4"/>
      <c r="FI4"/>
      <c r="FJ4"/>
      <c r="FK4"/>
      <c r="FL4"/>
      <c r="FM4"/>
      <c r="FN4"/>
      <c r="FO4"/>
      <c r="FP4"/>
      <c r="FQ4"/>
      <c r="FR4"/>
      <c r="FS4"/>
      <c r="FT4"/>
      <c r="FU4"/>
      <c r="FV4"/>
      <c r="FW4"/>
      <c r="FX4"/>
      <c r="FY4"/>
      <c r="FZ4"/>
      <c r="GA4"/>
      <c r="GB4"/>
      <c r="GC4"/>
      <c r="GD4"/>
      <c r="GE4"/>
      <c r="GF4"/>
      <c r="GG4"/>
      <c r="GH4"/>
      <c r="GI4"/>
      <c r="GJ4"/>
      <c r="GK4"/>
      <c r="GL4"/>
      <c r="GM4"/>
      <c r="GN4"/>
      <c r="GO4"/>
      <c r="GP4"/>
      <c r="GQ4"/>
      <c r="GR4"/>
      <c r="GS4"/>
      <c r="GT4"/>
      <c r="GU4"/>
      <c r="GV4"/>
      <c r="GW4"/>
      <c r="GX4"/>
      <c r="GY4"/>
      <c r="GZ4"/>
      <c r="HA4"/>
      <c r="HB4"/>
      <c r="HC4"/>
      <c r="HD4"/>
      <c r="HE4"/>
      <c r="HF4"/>
      <c r="HG4"/>
      <c r="HH4"/>
      <c r="HI4"/>
      <c r="HJ4"/>
      <c r="HK4"/>
      <c r="HL4"/>
      <c r="HM4"/>
      <c r="HN4"/>
      <c r="HO4"/>
      <c r="HP4"/>
      <c r="HQ4"/>
      <c r="HR4"/>
      <c r="HS4"/>
      <c r="HT4"/>
      <c r="HU4"/>
      <c r="HV4"/>
      <c r="HW4"/>
      <c r="HX4"/>
      <c r="HY4"/>
      <c r="HZ4"/>
      <c r="IA4"/>
      <c r="IB4"/>
      <c r="IC4"/>
      <c r="ID4"/>
      <c r="IE4"/>
      <c r="IF4"/>
      <c r="IG4"/>
      <c r="IH4"/>
      <c r="II4"/>
      <c r="IJ4"/>
      <c r="IK4"/>
      <c r="IL4"/>
      <c r="IM4"/>
      <c r="IN4"/>
      <c r="IO4"/>
      <c r="IP4"/>
      <c r="IQ4"/>
      <c r="IR4"/>
      <c r="IS4"/>
      <c r="IT4"/>
      <c r="IU4"/>
      <c r="IV4"/>
    </row>
    <row r="5" spans="1:256" s="201" customFormat="1" ht="14.25" x14ac:dyDescent="0.2">
      <c r="A5" s="10">
        <v>823</v>
      </c>
      <c r="B5" s="11" t="s">
        <v>226</v>
      </c>
      <c r="C5" s="105" t="s">
        <v>227</v>
      </c>
      <c r="D5" s="11" t="s">
        <v>222</v>
      </c>
      <c r="E5" s="12">
        <v>9375</v>
      </c>
      <c r="F5" s="202">
        <v>93</v>
      </c>
      <c r="G5" s="11">
        <v>30000</v>
      </c>
      <c r="H5" s="116">
        <v>-3500</v>
      </c>
      <c r="I5" s="192"/>
      <c r="J5" s="204"/>
      <c r="K5" s="193"/>
      <c r="L5" s="193"/>
      <c r="M5" s="193"/>
      <c r="N5" s="203">
        <f t="shared" si="0"/>
        <v>30000</v>
      </c>
      <c r="O5" s="203">
        <f t="shared" si="1"/>
        <v>26500</v>
      </c>
      <c r="P5" s="203">
        <f t="shared" si="2"/>
        <v>26500</v>
      </c>
      <c r="Q5" s="214"/>
      <c r="R5" s="219"/>
      <c r="S5" s="217">
        <v>46234</v>
      </c>
      <c r="T5" s="205"/>
      <c r="U5" s="205"/>
      <c r="V5" s="215"/>
      <c r="W5" s="212"/>
      <c r="X5" s="10">
        <v>7</v>
      </c>
      <c r="Y5" s="10">
        <v>7</v>
      </c>
      <c r="Z5" s="213">
        <f t="shared" si="3"/>
        <v>30000</v>
      </c>
      <c r="AA5" s="62"/>
      <c r="AB5" s="62"/>
      <c r="AC5" s="62"/>
      <c r="AD5" s="62"/>
      <c r="AE5" s="62"/>
      <c r="AF5" s="63"/>
      <c r="AG5" s="64"/>
      <c r="AH5" s="6">
        <v>1</v>
      </c>
      <c r="AI5">
        <f t="shared" si="4"/>
        <v>25</v>
      </c>
      <c r="AJ5">
        <f t="shared" si="5"/>
        <v>25</v>
      </c>
      <c r="AK5">
        <f t="shared" si="6"/>
        <v>0</v>
      </c>
      <c r="AL5">
        <f t="shared" si="7"/>
        <v>0</v>
      </c>
      <c r="AM5">
        <f t="shared" si="8"/>
        <v>0</v>
      </c>
      <c r="AN5">
        <f t="shared" si="9"/>
        <v>0</v>
      </c>
      <c r="AO5">
        <f t="shared" si="10"/>
        <v>0</v>
      </c>
      <c r="AP5">
        <f t="shared" si="11"/>
        <v>0</v>
      </c>
      <c r="AQ5">
        <f t="shared" si="12"/>
        <v>0</v>
      </c>
      <c r="AR5">
        <f t="shared" si="13"/>
        <v>0</v>
      </c>
      <c r="AS5">
        <f t="shared" si="14"/>
        <v>0</v>
      </c>
      <c r="AT5">
        <f t="shared" si="15"/>
        <v>0</v>
      </c>
      <c r="AU5">
        <f t="shared" si="16"/>
        <v>1</v>
      </c>
      <c r="AV5">
        <f t="shared" si="17"/>
        <v>1</v>
      </c>
      <c r="AW5">
        <f t="shared" si="18"/>
        <v>1</v>
      </c>
      <c r="AX5">
        <f t="shared" si="19"/>
        <v>1</v>
      </c>
      <c r="AY5">
        <f t="shared" si="20"/>
        <v>26500</v>
      </c>
      <c r="AZ5">
        <f t="shared" si="21"/>
        <v>26500</v>
      </c>
      <c r="BA5">
        <f t="shared" si="22"/>
        <v>0</v>
      </c>
      <c r="BB5">
        <f t="shared" si="23"/>
        <v>0</v>
      </c>
      <c r="BC5">
        <f t="shared" si="24"/>
        <v>0</v>
      </c>
      <c r="BD5">
        <f t="shared" si="25"/>
        <v>0</v>
      </c>
      <c r="BE5">
        <f t="shared" si="26"/>
        <v>0</v>
      </c>
      <c r="BF5">
        <f t="shared" si="27"/>
        <v>0</v>
      </c>
      <c r="BG5"/>
      <c r="BH5"/>
      <c r="BI5"/>
      <c r="BJ5"/>
      <c r="BK5"/>
      <c r="BL5"/>
      <c r="BM5"/>
      <c r="BN5"/>
      <c r="BO5"/>
      <c r="BP5"/>
      <c r="BQ5"/>
      <c r="BR5"/>
      <c r="BS5"/>
      <c r="BT5"/>
      <c r="BU5"/>
      <c r="BV5"/>
      <c r="BW5"/>
      <c r="BX5"/>
      <c r="BY5"/>
      <c r="BZ5"/>
      <c r="CA5"/>
      <c r="CB5"/>
      <c r="CC5"/>
      <c r="CD5"/>
      <c r="CE5"/>
      <c r="CF5"/>
      <c r="CG5"/>
      <c r="CH5"/>
      <c r="CI5"/>
      <c r="CJ5"/>
      <c r="CK5"/>
      <c r="CL5"/>
      <c r="CM5"/>
      <c r="CN5"/>
      <c r="CO5"/>
      <c r="CP5"/>
      <c r="CQ5"/>
      <c r="CR5"/>
      <c r="CS5"/>
      <c r="CT5"/>
      <c r="CU5"/>
      <c r="CV5"/>
      <c r="CW5"/>
      <c r="CX5"/>
      <c r="CY5"/>
      <c r="CZ5"/>
      <c r="DA5"/>
      <c r="DB5"/>
      <c r="DC5"/>
      <c r="DD5"/>
      <c r="DE5"/>
      <c r="DF5"/>
      <c r="DG5"/>
      <c r="DH5"/>
      <c r="DI5"/>
      <c r="DJ5"/>
      <c r="DK5"/>
      <c r="DL5"/>
      <c r="DM5"/>
      <c r="DN5"/>
      <c r="DO5"/>
      <c r="DP5"/>
      <c r="DQ5"/>
      <c r="DR5"/>
      <c r="DS5"/>
      <c r="DT5"/>
      <c r="DU5"/>
      <c r="DV5"/>
      <c r="DW5"/>
      <c r="DX5"/>
      <c r="DY5"/>
      <c r="DZ5"/>
      <c r="EA5"/>
      <c r="EB5"/>
      <c r="EC5"/>
      <c r="ED5"/>
      <c r="EE5"/>
      <c r="EF5"/>
      <c r="EG5"/>
      <c r="EH5"/>
      <c r="EI5"/>
      <c r="EJ5"/>
      <c r="EK5"/>
      <c r="EL5"/>
      <c r="EM5"/>
      <c r="EN5"/>
      <c r="EO5"/>
      <c r="EP5"/>
      <c r="EQ5"/>
      <c r="ER5"/>
      <c r="ES5"/>
      <c r="ET5"/>
      <c r="EU5"/>
      <c r="EV5"/>
      <c r="EW5"/>
      <c r="EX5"/>
      <c r="EY5"/>
      <c r="EZ5"/>
      <c r="FA5"/>
      <c r="FB5"/>
      <c r="FC5"/>
      <c r="FD5"/>
      <c r="FE5"/>
      <c r="FF5"/>
      <c r="FG5"/>
      <c r="FH5"/>
      <c r="FI5"/>
      <c r="FJ5"/>
      <c r="FK5"/>
      <c r="FL5"/>
      <c r="FM5"/>
      <c r="FN5"/>
      <c r="FO5"/>
      <c r="FP5"/>
      <c r="FQ5"/>
      <c r="FR5"/>
      <c r="FS5"/>
      <c r="FT5"/>
      <c r="FU5"/>
      <c r="FV5"/>
      <c r="FW5"/>
      <c r="FX5"/>
      <c r="FY5"/>
      <c r="FZ5"/>
      <c r="GA5"/>
      <c r="GB5"/>
      <c r="GC5"/>
      <c r="GD5"/>
      <c r="GE5"/>
      <c r="GF5"/>
      <c r="GG5"/>
      <c r="GH5"/>
      <c r="GI5"/>
      <c r="GJ5"/>
      <c r="GK5"/>
      <c r="GL5"/>
      <c r="GM5"/>
      <c r="GN5"/>
      <c r="GO5"/>
      <c r="GP5"/>
      <c r="GQ5"/>
      <c r="GR5"/>
      <c r="GS5"/>
      <c r="GT5"/>
      <c r="GU5"/>
      <c r="GV5"/>
      <c r="GW5"/>
      <c r="GX5"/>
      <c r="GY5"/>
      <c r="GZ5"/>
      <c r="HA5"/>
      <c r="HB5"/>
      <c r="HC5"/>
      <c r="HD5"/>
      <c r="HE5"/>
      <c r="HF5"/>
      <c r="HG5"/>
      <c r="HH5"/>
      <c r="HI5"/>
      <c r="HJ5"/>
      <c r="HK5"/>
      <c r="HL5"/>
      <c r="HM5"/>
      <c r="HN5"/>
      <c r="HO5"/>
      <c r="HP5"/>
      <c r="HQ5"/>
      <c r="HR5"/>
      <c r="HS5"/>
      <c r="HT5"/>
      <c r="HU5"/>
      <c r="HV5"/>
      <c r="HW5"/>
      <c r="HX5"/>
      <c r="HY5"/>
      <c r="HZ5"/>
      <c r="IA5"/>
      <c r="IB5"/>
      <c r="IC5"/>
      <c r="ID5"/>
      <c r="IE5"/>
      <c r="IF5"/>
      <c r="IG5"/>
      <c r="IH5"/>
      <c r="II5"/>
      <c r="IJ5"/>
      <c r="IK5"/>
      <c r="IL5"/>
      <c r="IM5"/>
      <c r="IN5"/>
      <c r="IO5"/>
      <c r="IP5"/>
      <c r="IQ5"/>
      <c r="IR5"/>
      <c r="IS5"/>
      <c r="IT5"/>
      <c r="IU5"/>
      <c r="IV5"/>
    </row>
    <row r="6" spans="1:256" s="201" customFormat="1" ht="14.25" x14ac:dyDescent="0.2">
      <c r="A6" s="10">
        <v>834</v>
      </c>
      <c r="B6" s="11" t="s">
        <v>309</v>
      </c>
      <c r="C6" s="105">
        <v>2644442152</v>
      </c>
      <c r="D6" s="11" t="s">
        <v>222</v>
      </c>
      <c r="E6" s="12">
        <v>9034</v>
      </c>
      <c r="F6" s="202">
        <v>93</v>
      </c>
      <c r="G6" s="11">
        <v>60000</v>
      </c>
      <c r="H6" s="116">
        <v>-4000</v>
      </c>
      <c r="I6" s="192"/>
      <c r="J6" s="204"/>
      <c r="K6" s="193"/>
      <c r="L6" s="193"/>
      <c r="M6" s="193"/>
      <c r="N6" s="203">
        <f t="shared" si="0"/>
        <v>60000</v>
      </c>
      <c r="O6" s="203">
        <f t="shared" si="1"/>
        <v>56000</v>
      </c>
      <c r="P6" s="203">
        <f t="shared" si="2"/>
        <v>56000</v>
      </c>
      <c r="Q6" s="214"/>
      <c r="R6" s="219"/>
      <c r="S6" s="217">
        <v>46234</v>
      </c>
      <c r="T6" s="205"/>
      <c r="U6" s="205"/>
      <c r="V6" s="215"/>
      <c r="W6" s="212"/>
      <c r="X6" s="10">
        <v>7</v>
      </c>
      <c r="Y6" s="10">
        <v>7</v>
      </c>
      <c r="Z6" s="213">
        <f t="shared" si="3"/>
        <v>60000</v>
      </c>
      <c r="AA6" s="62"/>
      <c r="AB6" s="62"/>
      <c r="AC6" s="62"/>
      <c r="AD6" s="62"/>
      <c r="AE6" s="62"/>
      <c r="AF6" s="63"/>
      <c r="AG6" s="64"/>
      <c r="AH6" s="6">
        <v>1</v>
      </c>
      <c r="AI6">
        <f t="shared" si="4"/>
        <v>25</v>
      </c>
      <c r="AJ6">
        <f t="shared" si="5"/>
        <v>25</v>
      </c>
      <c r="AK6">
        <f t="shared" si="6"/>
        <v>0</v>
      </c>
      <c r="AL6">
        <f t="shared" si="7"/>
        <v>0</v>
      </c>
      <c r="AM6">
        <f t="shared" si="8"/>
        <v>0</v>
      </c>
      <c r="AN6">
        <f t="shared" si="9"/>
        <v>0</v>
      </c>
      <c r="AO6">
        <f t="shared" si="10"/>
        <v>0</v>
      </c>
      <c r="AP6">
        <f t="shared" si="11"/>
        <v>0</v>
      </c>
      <c r="AQ6">
        <f t="shared" si="12"/>
        <v>0</v>
      </c>
      <c r="AR6">
        <f t="shared" si="13"/>
        <v>0</v>
      </c>
      <c r="AS6">
        <f t="shared" si="14"/>
        <v>0</v>
      </c>
      <c r="AT6">
        <f t="shared" si="15"/>
        <v>0</v>
      </c>
      <c r="AU6">
        <f t="shared" si="16"/>
        <v>1</v>
      </c>
      <c r="AV6">
        <f t="shared" si="17"/>
        <v>1</v>
      </c>
      <c r="AW6">
        <f t="shared" si="18"/>
        <v>1</v>
      </c>
      <c r="AX6">
        <f t="shared" si="19"/>
        <v>1</v>
      </c>
      <c r="AY6">
        <f t="shared" si="20"/>
        <v>56000</v>
      </c>
      <c r="AZ6">
        <f t="shared" si="21"/>
        <v>56000</v>
      </c>
      <c r="BA6">
        <f t="shared" si="22"/>
        <v>0</v>
      </c>
      <c r="BB6">
        <f t="shared" si="23"/>
        <v>0</v>
      </c>
      <c r="BC6">
        <f t="shared" si="24"/>
        <v>0</v>
      </c>
      <c r="BD6">
        <f t="shared" si="25"/>
        <v>0</v>
      </c>
      <c r="BE6">
        <f t="shared" si="26"/>
        <v>0</v>
      </c>
      <c r="BF6">
        <f t="shared" si="27"/>
        <v>0</v>
      </c>
      <c r="BG6"/>
      <c r="BH6"/>
      <c r="BI6"/>
      <c r="BJ6"/>
      <c r="BK6"/>
      <c r="BL6"/>
      <c r="BM6"/>
      <c r="BN6"/>
      <c r="BO6"/>
      <c r="BP6"/>
      <c r="BQ6"/>
      <c r="BR6"/>
      <c r="BS6"/>
      <c r="BT6"/>
      <c r="BU6"/>
      <c r="BV6"/>
      <c r="BW6"/>
      <c r="BX6"/>
      <c r="BY6"/>
      <c r="BZ6"/>
      <c r="CA6"/>
      <c r="CB6"/>
      <c r="CC6"/>
      <c r="CD6"/>
      <c r="CE6"/>
      <c r="CF6"/>
      <c r="CG6"/>
      <c r="CH6"/>
      <c r="CI6"/>
      <c r="CJ6"/>
      <c r="CK6"/>
      <c r="CL6"/>
      <c r="CM6"/>
      <c r="CN6"/>
      <c r="CO6"/>
      <c r="CP6"/>
      <c r="CQ6"/>
      <c r="CR6"/>
      <c r="CS6"/>
      <c r="CT6"/>
      <c r="CU6"/>
      <c r="CV6"/>
      <c r="CW6"/>
      <c r="CX6"/>
      <c r="CY6"/>
      <c r="CZ6"/>
      <c r="DA6"/>
      <c r="DB6"/>
      <c r="DC6"/>
      <c r="DD6"/>
      <c r="DE6"/>
      <c r="DF6"/>
      <c r="DG6"/>
      <c r="DH6"/>
      <c r="DI6"/>
      <c r="DJ6"/>
      <c r="DK6"/>
      <c r="DL6"/>
      <c r="DM6"/>
      <c r="DN6"/>
      <c r="DO6"/>
      <c r="DP6"/>
      <c r="DQ6"/>
      <c r="DR6"/>
      <c r="DS6"/>
      <c r="DT6"/>
      <c r="DU6"/>
      <c r="DV6"/>
      <c r="DW6"/>
      <c r="DX6"/>
      <c r="DY6"/>
      <c r="DZ6"/>
      <c r="EA6"/>
      <c r="EB6"/>
      <c r="EC6"/>
      <c r="ED6"/>
      <c r="EE6"/>
      <c r="EF6"/>
      <c r="EG6"/>
      <c r="EH6"/>
      <c r="EI6"/>
      <c r="EJ6"/>
      <c r="EK6"/>
      <c r="EL6"/>
      <c r="EM6"/>
      <c r="EN6"/>
      <c r="EO6"/>
      <c r="EP6"/>
      <c r="EQ6"/>
      <c r="ER6"/>
      <c r="ES6"/>
      <c r="ET6"/>
      <c r="EU6"/>
      <c r="EV6"/>
      <c r="EW6"/>
      <c r="EX6"/>
      <c r="EY6"/>
      <c r="EZ6"/>
      <c r="FA6"/>
      <c r="FB6"/>
      <c r="FC6"/>
      <c r="FD6"/>
      <c r="FE6"/>
      <c r="FF6"/>
      <c r="FG6"/>
      <c r="FH6"/>
      <c r="FI6"/>
      <c r="FJ6"/>
      <c r="FK6"/>
      <c r="FL6"/>
      <c r="FM6"/>
      <c r="FN6"/>
      <c r="FO6"/>
      <c r="FP6"/>
      <c r="FQ6"/>
      <c r="FR6"/>
      <c r="FS6"/>
      <c r="FT6"/>
      <c r="FU6"/>
      <c r="FV6"/>
      <c r="FW6"/>
      <c r="FX6"/>
      <c r="FY6"/>
      <c r="FZ6"/>
      <c r="GA6"/>
      <c r="GB6"/>
      <c r="GC6"/>
      <c r="GD6"/>
      <c r="GE6"/>
      <c r="GF6"/>
      <c r="GG6"/>
      <c r="GH6"/>
      <c r="GI6"/>
      <c r="GJ6"/>
      <c r="GK6"/>
      <c r="GL6"/>
      <c r="GM6"/>
      <c r="GN6"/>
      <c r="GO6"/>
      <c r="GP6"/>
      <c r="GQ6"/>
      <c r="GR6"/>
      <c r="GS6"/>
      <c r="GT6"/>
      <c r="GU6"/>
      <c r="GV6"/>
      <c r="GW6"/>
      <c r="GX6"/>
      <c r="GY6"/>
      <c r="GZ6"/>
      <c r="HA6"/>
      <c r="HB6"/>
      <c r="HC6"/>
      <c r="HD6"/>
      <c r="HE6"/>
      <c r="HF6"/>
      <c r="HG6"/>
      <c r="HH6"/>
      <c r="HI6"/>
      <c r="HJ6"/>
      <c r="HK6"/>
      <c r="HL6"/>
      <c r="HM6"/>
      <c r="HN6"/>
      <c r="HO6"/>
      <c r="HP6"/>
      <c r="HQ6"/>
      <c r="HR6"/>
      <c r="HS6"/>
      <c r="HT6"/>
      <c r="HU6"/>
      <c r="HV6"/>
      <c r="HW6"/>
      <c r="HX6"/>
      <c r="HY6"/>
      <c r="HZ6"/>
      <c r="IA6"/>
      <c r="IB6"/>
      <c r="IC6"/>
      <c r="ID6"/>
      <c r="IE6"/>
      <c r="IF6"/>
      <c r="IG6"/>
      <c r="IH6"/>
      <c r="II6"/>
      <c r="IJ6"/>
      <c r="IK6"/>
      <c r="IL6"/>
      <c r="IM6"/>
      <c r="IN6"/>
      <c r="IO6"/>
      <c r="IP6"/>
      <c r="IQ6"/>
      <c r="IR6"/>
      <c r="IS6"/>
      <c r="IT6"/>
      <c r="IU6"/>
      <c r="IV6"/>
    </row>
    <row r="7" spans="1:256" s="201" customFormat="1" ht="14.25" x14ac:dyDescent="0.2">
      <c r="A7" s="10">
        <v>1186</v>
      </c>
      <c r="B7" s="11" t="s">
        <v>310</v>
      </c>
      <c r="C7" s="105" t="s">
        <v>311</v>
      </c>
      <c r="D7" s="11" t="s">
        <v>106</v>
      </c>
      <c r="E7" s="12">
        <v>8984</v>
      </c>
      <c r="F7" s="202">
        <v>84</v>
      </c>
      <c r="G7" s="11">
        <v>80000</v>
      </c>
      <c r="H7" s="116">
        <v>-24000</v>
      </c>
      <c r="I7" s="192"/>
      <c r="J7" s="204"/>
      <c r="K7" s="193"/>
      <c r="L7" s="193"/>
      <c r="M7" s="193"/>
      <c r="N7" s="203">
        <f t="shared" si="0"/>
        <v>80000</v>
      </c>
      <c r="O7" s="203">
        <f t="shared" si="1"/>
        <v>56000</v>
      </c>
      <c r="P7" s="203">
        <f t="shared" si="2"/>
        <v>56000</v>
      </c>
      <c r="Q7" s="214"/>
      <c r="R7" s="219"/>
      <c r="S7" s="217">
        <v>46211</v>
      </c>
      <c r="T7" s="205"/>
      <c r="U7" s="205"/>
      <c r="V7" s="215"/>
      <c r="W7" s="212"/>
      <c r="X7" s="10">
        <v>7</v>
      </c>
      <c r="Y7" s="10">
        <v>7</v>
      </c>
      <c r="Z7" s="213">
        <f t="shared" si="3"/>
        <v>80000</v>
      </c>
      <c r="AA7" s="62"/>
      <c r="AB7" s="62"/>
      <c r="AC7" s="62"/>
      <c r="AD7" s="62"/>
      <c r="AE7" s="62"/>
      <c r="AF7" s="63"/>
      <c r="AG7" s="64"/>
      <c r="AH7" s="6">
        <v>1</v>
      </c>
      <c r="AI7">
        <f t="shared" si="4"/>
        <v>25</v>
      </c>
      <c r="AJ7">
        <f t="shared" si="5"/>
        <v>25</v>
      </c>
      <c r="AK7">
        <f t="shared" si="6"/>
        <v>0</v>
      </c>
      <c r="AL7">
        <f t="shared" si="7"/>
        <v>0</v>
      </c>
      <c r="AM7">
        <f t="shared" si="8"/>
        <v>0</v>
      </c>
      <c r="AN7">
        <f t="shared" si="9"/>
        <v>0</v>
      </c>
      <c r="AO7">
        <f t="shared" si="10"/>
        <v>0</v>
      </c>
      <c r="AP7">
        <f t="shared" si="11"/>
        <v>0</v>
      </c>
      <c r="AQ7">
        <f t="shared" si="12"/>
        <v>0</v>
      </c>
      <c r="AR7">
        <f t="shared" si="13"/>
        <v>0</v>
      </c>
      <c r="AS7">
        <f t="shared" si="14"/>
        <v>0</v>
      </c>
      <c r="AT7">
        <f t="shared" si="15"/>
        <v>0</v>
      </c>
      <c r="AU7">
        <f t="shared" si="16"/>
        <v>1</v>
      </c>
      <c r="AV7">
        <f t="shared" si="17"/>
        <v>1</v>
      </c>
      <c r="AW7">
        <f t="shared" si="18"/>
        <v>1</v>
      </c>
      <c r="AX7">
        <f t="shared" si="19"/>
        <v>1</v>
      </c>
      <c r="AY7">
        <f t="shared" si="20"/>
        <v>56000</v>
      </c>
      <c r="AZ7">
        <f t="shared" si="21"/>
        <v>56000</v>
      </c>
      <c r="BA7">
        <f t="shared" si="22"/>
        <v>0</v>
      </c>
      <c r="BB7">
        <f t="shared" si="23"/>
        <v>0</v>
      </c>
      <c r="BC7">
        <f t="shared" si="24"/>
        <v>0</v>
      </c>
      <c r="BD7">
        <f t="shared" si="25"/>
        <v>0</v>
      </c>
      <c r="BE7">
        <f t="shared" si="26"/>
        <v>0</v>
      </c>
      <c r="BF7">
        <f t="shared" si="27"/>
        <v>0</v>
      </c>
      <c r="BG7"/>
      <c r="BH7"/>
      <c r="BI7"/>
      <c r="BJ7"/>
      <c r="BK7"/>
      <c r="BL7"/>
      <c r="BM7"/>
      <c r="BN7"/>
      <c r="BO7"/>
      <c r="BP7"/>
      <c r="BQ7"/>
      <c r="BR7"/>
      <c r="BS7"/>
      <c r="BT7"/>
      <c r="BU7"/>
      <c r="BV7"/>
      <c r="BW7"/>
      <c r="BX7"/>
      <c r="BY7"/>
      <c r="BZ7"/>
      <c r="CA7"/>
      <c r="CB7"/>
      <c r="CC7"/>
      <c r="CD7"/>
      <c r="CE7"/>
      <c r="CF7"/>
      <c r="CG7"/>
      <c r="CH7"/>
      <c r="CI7"/>
      <c r="CJ7"/>
      <c r="CK7"/>
      <c r="CL7"/>
      <c r="CM7"/>
      <c r="CN7"/>
      <c r="CO7"/>
      <c r="CP7"/>
      <c r="CQ7"/>
      <c r="CR7"/>
      <c r="CS7"/>
      <c r="CT7"/>
      <c r="CU7"/>
      <c r="CV7"/>
      <c r="CW7"/>
      <c r="CX7"/>
      <c r="CY7"/>
      <c r="CZ7"/>
      <c r="DA7"/>
      <c r="DB7"/>
      <c r="DC7"/>
      <c r="DD7"/>
      <c r="DE7"/>
      <c r="DF7"/>
      <c r="DG7"/>
      <c r="DH7"/>
      <c r="DI7"/>
      <c r="DJ7"/>
      <c r="DK7"/>
      <c r="DL7"/>
      <c r="DM7"/>
      <c r="DN7"/>
      <c r="DO7"/>
      <c r="DP7"/>
      <c r="DQ7"/>
      <c r="DR7"/>
      <c r="DS7"/>
      <c r="DT7"/>
      <c r="DU7"/>
      <c r="DV7"/>
      <c r="DW7"/>
      <c r="DX7"/>
      <c r="DY7"/>
      <c r="DZ7"/>
      <c r="EA7"/>
      <c r="EB7"/>
      <c r="EC7"/>
      <c r="ED7"/>
      <c r="EE7"/>
      <c r="EF7"/>
      <c r="EG7"/>
      <c r="EH7"/>
      <c r="EI7"/>
      <c r="EJ7"/>
      <c r="EK7"/>
      <c r="EL7"/>
      <c r="EM7"/>
      <c r="EN7"/>
      <c r="EO7"/>
      <c r="EP7"/>
      <c r="EQ7"/>
      <c r="ER7"/>
      <c r="ES7"/>
      <c r="ET7"/>
      <c r="EU7"/>
      <c r="EV7"/>
      <c r="EW7"/>
      <c r="EX7"/>
      <c r="EY7"/>
      <c r="EZ7"/>
      <c r="FA7"/>
      <c r="FB7"/>
      <c r="FC7"/>
      <c r="FD7"/>
      <c r="FE7"/>
      <c r="FF7"/>
      <c r="FG7"/>
      <c r="FH7"/>
      <c r="FI7"/>
      <c r="FJ7"/>
      <c r="FK7"/>
      <c r="FL7"/>
      <c r="FM7"/>
      <c r="FN7"/>
      <c r="FO7"/>
      <c r="FP7"/>
      <c r="FQ7"/>
      <c r="FR7"/>
      <c r="FS7"/>
      <c r="FT7"/>
      <c r="FU7"/>
      <c r="FV7"/>
      <c r="FW7"/>
      <c r="FX7"/>
      <c r="FY7"/>
      <c r="FZ7"/>
      <c r="GA7"/>
      <c r="GB7"/>
      <c r="GC7"/>
      <c r="GD7"/>
      <c r="GE7"/>
      <c r="GF7"/>
      <c r="GG7"/>
      <c r="GH7"/>
      <c r="GI7"/>
      <c r="GJ7"/>
      <c r="GK7"/>
      <c r="GL7"/>
      <c r="GM7"/>
      <c r="GN7"/>
      <c r="GO7"/>
      <c r="GP7"/>
      <c r="GQ7"/>
      <c r="GR7"/>
      <c r="GS7"/>
      <c r="GT7"/>
      <c r="GU7"/>
      <c r="GV7"/>
      <c r="GW7"/>
      <c r="GX7"/>
      <c r="GY7"/>
      <c r="GZ7"/>
      <c r="HA7"/>
      <c r="HB7"/>
      <c r="HC7"/>
      <c r="HD7"/>
      <c r="HE7"/>
      <c r="HF7"/>
      <c r="HG7"/>
      <c r="HH7"/>
      <c r="HI7"/>
      <c r="HJ7"/>
      <c r="HK7"/>
      <c r="HL7"/>
      <c r="HM7"/>
      <c r="HN7"/>
      <c r="HO7"/>
      <c r="HP7"/>
      <c r="HQ7"/>
      <c r="HR7"/>
      <c r="HS7"/>
      <c r="HT7"/>
      <c r="HU7"/>
      <c r="HV7"/>
      <c r="HW7"/>
      <c r="HX7"/>
      <c r="HY7"/>
      <c r="HZ7"/>
      <c r="IA7"/>
      <c r="IB7"/>
      <c r="IC7"/>
      <c r="ID7"/>
      <c r="IE7"/>
      <c r="IF7"/>
      <c r="IG7"/>
      <c r="IH7"/>
      <c r="II7"/>
      <c r="IJ7"/>
      <c r="IK7"/>
      <c r="IL7"/>
      <c r="IM7"/>
      <c r="IN7"/>
      <c r="IO7"/>
      <c r="IP7"/>
      <c r="IQ7"/>
      <c r="IR7"/>
      <c r="IS7"/>
      <c r="IT7"/>
      <c r="IU7"/>
      <c r="IV7"/>
    </row>
    <row r="8" spans="1:256" s="201" customFormat="1" ht="14.25" x14ac:dyDescent="0.2">
      <c r="A8" s="10">
        <v>1417</v>
      </c>
      <c r="B8" s="11" t="s">
        <v>312</v>
      </c>
      <c r="C8" s="105" t="s">
        <v>311</v>
      </c>
      <c r="D8" s="11" t="s">
        <v>106</v>
      </c>
      <c r="E8" s="12">
        <v>8539</v>
      </c>
      <c r="F8" s="202">
        <v>77</v>
      </c>
      <c r="G8" s="11">
        <v>80000</v>
      </c>
      <c r="H8" s="116">
        <v>-6000</v>
      </c>
      <c r="I8" s="192"/>
      <c r="J8" s="204"/>
      <c r="K8" s="193"/>
      <c r="L8" s="193"/>
      <c r="M8" s="193"/>
      <c r="N8" s="203">
        <f t="shared" si="0"/>
        <v>80000</v>
      </c>
      <c r="O8" s="203">
        <f t="shared" si="1"/>
        <v>74000</v>
      </c>
      <c r="P8" s="203">
        <f t="shared" si="2"/>
        <v>74000</v>
      </c>
      <c r="Q8" s="214"/>
      <c r="R8" s="219"/>
      <c r="S8" s="217">
        <v>46211</v>
      </c>
      <c r="T8" s="205"/>
      <c r="U8" s="205"/>
      <c r="V8" s="215"/>
      <c r="W8" s="212"/>
      <c r="X8" s="10">
        <v>7</v>
      </c>
      <c r="Y8" s="10">
        <v>7</v>
      </c>
      <c r="Z8" s="213">
        <f t="shared" si="3"/>
        <v>80000</v>
      </c>
      <c r="AA8" s="62"/>
      <c r="AB8" s="62"/>
      <c r="AC8" s="62"/>
      <c r="AD8" s="62"/>
      <c r="AE8" s="62"/>
      <c r="AF8" s="63"/>
      <c r="AG8" s="64"/>
      <c r="AH8" s="6">
        <v>1</v>
      </c>
      <c r="AI8">
        <f t="shared" si="4"/>
        <v>25</v>
      </c>
      <c r="AJ8">
        <f t="shared" si="5"/>
        <v>25</v>
      </c>
      <c r="AK8">
        <f t="shared" si="6"/>
        <v>0</v>
      </c>
      <c r="AL8">
        <f t="shared" si="7"/>
        <v>0</v>
      </c>
      <c r="AM8">
        <f t="shared" si="8"/>
        <v>0</v>
      </c>
      <c r="AN8">
        <f t="shared" si="9"/>
        <v>0</v>
      </c>
      <c r="AO8">
        <f t="shared" si="10"/>
        <v>0</v>
      </c>
      <c r="AP8">
        <f t="shared" si="11"/>
        <v>0</v>
      </c>
      <c r="AQ8">
        <f t="shared" si="12"/>
        <v>0</v>
      </c>
      <c r="AR8">
        <f t="shared" si="13"/>
        <v>0</v>
      </c>
      <c r="AS8">
        <f t="shared" si="14"/>
        <v>0</v>
      </c>
      <c r="AT8">
        <f t="shared" si="15"/>
        <v>0</v>
      </c>
      <c r="AU8">
        <f t="shared" si="16"/>
        <v>1</v>
      </c>
      <c r="AV8">
        <f t="shared" si="17"/>
        <v>1</v>
      </c>
      <c r="AW8">
        <f t="shared" si="18"/>
        <v>1</v>
      </c>
      <c r="AX8">
        <f t="shared" si="19"/>
        <v>1</v>
      </c>
      <c r="AY8">
        <f t="shared" si="20"/>
        <v>74000</v>
      </c>
      <c r="AZ8">
        <f t="shared" si="21"/>
        <v>74000</v>
      </c>
      <c r="BA8">
        <f t="shared" si="22"/>
        <v>0</v>
      </c>
      <c r="BB8">
        <f t="shared" si="23"/>
        <v>0</v>
      </c>
      <c r="BC8">
        <f t="shared" si="24"/>
        <v>0</v>
      </c>
      <c r="BD8">
        <f t="shared" si="25"/>
        <v>0</v>
      </c>
      <c r="BE8">
        <f t="shared" si="26"/>
        <v>0</v>
      </c>
      <c r="BF8">
        <f t="shared" si="27"/>
        <v>0</v>
      </c>
      <c r="BG8"/>
      <c r="BH8"/>
      <c r="BI8"/>
      <c r="BJ8"/>
      <c r="BK8"/>
      <c r="BL8"/>
      <c r="BM8"/>
      <c r="BN8"/>
      <c r="BO8"/>
      <c r="BP8"/>
      <c r="BQ8"/>
      <c r="BR8"/>
      <c r="BS8"/>
      <c r="BT8"/>
      <c r="BU8"/>
      <c r="BV8"/>
      <c r="BW8"/>
      <c r="BX8"/>
      <c r="BY8"/>
      <c r="BZ8"/>
      <c r="CA8"/>
      <c r="CB8"/>
      <c r="CC8"/>
      <c r="CD8"/>
      <c r="CE8"/>
      <c r="CF8"/>
      <c r="CG8"/>
      <c r="CH8"/>
      <c r="CI8"/>
      <c r="CJ8"/>
      <c r="CK8"/>
      <c r="CL8"/>
      <c r="CM8"/>
      <c r="CN8"/>
      <c r="CO8"/>
      <c r="CP8"/>
      <c r="CQ8"/>
      <c r="CR8"/>
      <c r="CS8"/>
      <c r="CT8"/>
      <c r="CU8"/>
      <c r="CV8"/>
      <c r="CW8"/>
      <c r="CX8"/>
      <c r="CY8"/>
      <c r="CZ8"/>
      <c r="DA8"/>
      <c r="DB8"/>
      <c r="DC8"/>
      <c r="DD8"/>
      <c r="DE8"/>
      <c r="DF8"/>
      <c r="DG8"/>
      <c r="DH8"/>
      <c r="DI8"/>
      <c r="DJ8"/>
      <c r="DK8"/>
      <c r="DL8"/>
      <c r="DM8"/>
      <c r="DN8"/>
      <c r="DO8"/>
      <c r="DP8"/>
      <c r="DQ8"/>
      <c r="DR8"/>
      <c r="DS8"/>
      <c r="DT8"/>
      <c r="DU8"/>
      <c r="DV8"/>
      <c r="DW8"/>
      <c r="DX8"/>
      <c r="DY8"/>
      <c r="DZ8"/>
      <c r="EA8"/>
      <c r="EB8"/>
      <c r="EC8"/>
      <c r="ED8"/>
      <c r="EE8"/>
      <c r="EF8"/>
      <c r="EG8"/>
      <c r="EH8"/>
      <c r="EI8"/>
      <c r="EJ8"/>
      <c r="EK8"/>
      <c r="EL8"/>
      <c r="EM8"/>
      <c r="EN8"/>
      <c r="EO8"/>
      <c r="EP8"/>
      <c r="EQ8"/>
      <c r="ER8"/>
      <c r="ES8"/>
      <c r="ET8"/>
      <c r="EU8"/>
      <c r="EV8"/>
      <c r="EW8"/>
      <c r="EX8"/>
      <c r="EY8"/>
      <c r="EZ8"/>
      <c r="FA8"/>
      <c r="FB8"/>
      <c r="FC8"/>
      <c r="FD8"/>
      <c r="FE8"/>
      <c r="FF8"/>
      <c r="FG8"/>
      <c r="FH8"/>
      <c r="FI8"/>
      <c r="FJ8"/>
      <c r="FK8"/>
      <c r="FL8"/>
      <c r="FM8"/>
      <c r="FN8"/>
      <c r="FO8"/>
      <c r="FP8"/>
      <c r="FQ8"/>
      <c r="FR8"/>
      <c r="FS8"/>
      <c r="FT8"/>
      <c r="FU8"/>
      <c r="FV8"/>
      <c r="FW8"/>
      <c r="FX8"/>
      <c r="FY8"/>
      <c r="FZ8"/>
      <c r="GA8"/>
      <c r="GB8"/>
      <c r="GC8"/>
      <c r="GD8"/>
      <c r="GE8"/>
      <c r="GF8"/>
      <c r="GG8"/>
      <c r="GH8"/>
      <c r="GI8"/>
      <c r="GJ8"/>
      <c r="GK8"/>
      <c r="GL8"/>
      <c r="GM8"/>
      <c r="GN8"/>
      <c r="GO8"/>
      <c r="GP8"/>
      <c r="GQ8"/>
      <c r="GR8"/>
      <c r="GS8"/>
      <c r="GT8"/>
      <c r="GU8"/>
      <c r="GV8"/>
      <c r="GW8"/>
      <c r="GX8"/>
      <c r="GY8"/>
      <c r="GZ8"/>
      <c r="HA8"/>
      <c r="HB8"/>
      <c r="HC8"/>
      <c r="HD8"/>
      <c r="HE8"/>
      <c r="HF8"/>
      <c r="HG8"/>
      <c r="HH8"/>
      <c r="HI8"/>
      <c r="HJ8"/>
      <c r="HK8"/>
      <c r="HL8"/>
      <c r="HM8"/>
      <c r="HN8"/>
      <c r="HO8"/>
      <c r="HP8"/>
      <c r="HQ8"/>
      <c r="HR8"/>
      <c r="HS8"/>
      <c r="HT8"/>
      <c r="HU8"/>
      <c r="HV8"/>
      <c r="HW8"/>
      <c r="HX8"/>
      <c r="HY8"/>
      <c r="HZ8"/>
      <c r="IA8"/>
      <c r="IB8"/>
      <c r="IC8"/>
      <c r="ID8"/>
      <c r="IE8"/>
      <c r="IF8"/>
      <c r="IG8"/>
      <c r="IH8"/>
      <c r="II8"/>
      <c r="IJ8"/>
      <c r="IK8"/>
      <c r="IL8"/>
      <c r="IM8"/>
      <c r="IN8"/>
      <c r="IO8"/>
      <c r="IP8"/>
      <c r="IQ8"/>
      <c r="IR8"/>
      <c r="IS8"/>
      <c r="IT8"/>
      <c r="IU8"/>
      <c r="IV8"/>
    </row>
    <row r="9" spans="1:256" s="201" customFormat="1" ht="14.25" x14ac:dyDescent="0.2">
      <c r="A9" s="10">
        <v>1457</v>
      </c>
      <c r="B9" s="11" t="s">
        <v>228</v>
      </c>
      <c r="C9" s="105" t="s">
        <v>229</v>
      </c>
      <c r="D9" s="11" t="s">
        <v>218</v>
      </c>
      <c r="E9" s="12">
        <v>8864</v>
      </c>
      <c r="F9" s="202">
        <v>76</v>
      </c>
      <c r="G9" s="11">
        <v>60000</v>
      </c>
      <c r="H9" s="116">
        <v>-15000</v>
      </c>
      <c r="I9" s="192"/>
      <c r="J9" s="204"/>
      <c r="K9" s="193"/>
      <c r="L9" s="193"/>
      <c r="M9" s="193"/>
      <c r="N9" s="203">
        <f t="shared" si="0"/>
        <v>60000</v>
      </c>
      <c r="O9" s="203">
        <f t="shared" si="1"/>
        <v>45000</v>
      </c>
      <c r="P9" s="203">
        <f t="shared" si="2"/>
        <v>45000</v>
      </c>
      <c r="Q9" s="214"/>
      <c r="R9" s="219"/>
      <c r="S9" s="217">
        <v>46234</v>
      </c>
      <c r="T9" s="205"/>
      <c r="U9" s="205"/>
      <c r="V9" s="215"/>
      <c r="W9" s="212"/>
      <c r="X9" s="10">
        <v>7</v>
      </c>
      <c r="Y9" s="10">
        <v>7</v>
      </c>
      <c r="Z9" s="213">
        <f t="shared" si="3"/>
        <v>60000</v>
      </c>
      <c r="AA9" s="62"/>
      <c r="AB9" s="62"/>
      <c r="AC9" s="62"/>
      <c r="AD9" s="62"/>
      <c r="AE9" s="62"/>
      <c r="AF9" s="63"/>
      <c r="AG9" s="64"/>
      <c r="AH9" s="6">
        <v>1</v>
      </c>
      <c r="AI9">
        <f t="shared" si="4"/>
        <v>25</v>
      </c>
      <c r="AJ9">
        <f t="shared" si="5"/>
        <v>25</v>
      </c>
      <c r="AK9">
        <f t="shared" si="6"/>
        <v>0</v>
      </c>
      <c r="AL9">
        <f t="shared" si="7"/>
        <v>0</v>
      </c>
      <c r="AM9">
        <f t="shared" si="8"/>
        <v>0</v>
      </c>
      <c r="AN9">
        <f t="shared" si="9"/>
        <v>0</v>
      </c>
      <c r="AO9">
        <f t="shared" si="10"/>
        <v>0</v>
      </c>
      <c r="AP9">
        <f t="shared" si="11"/>
        <v>0</v>
      </c>
      <c r="AQ9">
        <f t="shared" si="12"/>
        <v>0</v>
      </c>
      <c r="AR9">
        <f t="shared" si="13"/>
        <v>0</v>
      </c>
      <c r="AS9">
        <f t="shared" si="14"/>
        <v>0</v>
      </c>
      <c r="AT9">
        <f t="shared" si="15"/>
        <v>0</v>
      </c>
      <c r="AU9">
        <f t="shared" si="16"/>
        <v>1</v>
      </c>
      <c r="AV9">
        <f t="shared" si="17"/>
        <v>1</v>
      </c>
      <c r="AW9">
        <f t="shared" si="18"/>
        <v>1</v>
      </c>
      <c r="AX9">
        <f t="shared" si="19"/>
        <v>1</v>
      </c>
      <c r="AY9">
        <f t="shared" si="20"/>
        <v>45000</v>
      </c>
      <c r="AZ9">
        <f t="shared" si="21"/>
        <v>45000</v>
      </c>
      <c r="BA9">
        <f t="shared" si="22"/>
        <v>0</v>
      </c>
      <c r="BB9">
        <f t="shared" si="23"/>
        <v>0</v>
      </c>
      <c r="BC9">
        <f t="shared" si="24"/>
        <v>0</v>
      </c>
      <c r="BD9">
        <f t="shared" si="25"/>
        <v>0</v>
      </c>
      <c r="BE9">
        <f t="shared" si="26"/>
        <v>0</v>
      </c>
      <c r="BF9">
        <f t="shared" si="27"/>
        <v>0</v>
      </c>
      <c r="BG9"/>
      <c r="BH9"/>
      <c r="BI9"/>
      <c r="BJ9"/>
      <c r="BK9"/>
      <c r="BL9"/>
      <c r="BM9"/>
      <c r="BN9"/>
      <c r="BO9"/>
      <c r="BP9"/>
      <c r="BQ9"/>
      <c r="BR9"/>
      <c r="BS9"/>
      <c r="BT9"/>
      <c r="BU9"/>
      <c r="BV9"/>
      <c r="BW9"/>
      <c r="BX9"/>
      <c r="BY9"/>
      <c r="BZ9"/>
      <c r="CA9"/>
      <c r="CB9"/>
      <c r="CC9"/>
      <c r="CD9"/>
      <c r="CE9"/>
      <c r="CF9"/>
      <c r="CG9"/>
      <c r="CH9"/>
      <c r="CI9"/>
      <c r="CJ9"/>
      <c r="CK9"/>
      <c r="CL9"/>
      <c r="CM9"/>
      <c r="CN9"/>
      <c r="CO9"/>
      <c r="CP9"/>
      <c r="CQ9"/>
      <c r="CR9"/>
      <c r="CS9"/>
      <c r="CT9"/>
      <c r="CU9"/>
      <c r="CV9"/>
      <c r="CW9"/>
      <c r="CX9"/>
      <c r="CY9"/>
      <c r="CZ9"/>
      <c r="DA9"/>
      <c r="DB9"/>
      <c r="DC9"/>
      <c r="DD9"/>
      <c r="DE9"/>
      <c r="DF9"/>
      <c r="DG9"/>
      <c r="DH9"/>
      <c r="DI9"/>
      <c r="DJ9"/>
      <c r="DK9"/>
      <c r="DL9"/>
      <c r="DM9"/>
      <c r="DN9"/>
      <c r="DO9"/>
      <c r="DP9"/>
      <c r="DQ9"/>
      <c r="DR9"/>
      <c r="DS9"/>
      <c r="DT9"/>
      <c r="DU9"/>
      <c r="DV9"/>
      <c r="DW9"/>
      <c r="DX9"/>
      <c r="DY9"/>
      <c r="DZ9"/>
      <c r="EA9"/>
      <c r="EB9"/>
      <c r="EC9"/>
      <c r="ED9"/>
      <c r="EE9"/>
      <c r="EF9"/>
      <c r="EG9"/>
      <c r="EH9"/>
      <c r="EI9"/>
      <c r="EJ9"/>
      <c r="EK9"/>
      <c r="EL9"/>
      <c r="EM9"/>
      <c r="EN9"/>
      <c r="EO9"/>
      <c r="EP9"/>
      <c r="EQ9"/>
      <c r="ER9"/>
      <c r="ES9"/>
      <c r="ET9"/>
      <c r="EU9"/>
      <c r="EV9"/>
      <c r="EW9"/>
      <c r="EX9"/>
      <c r="EY9"/>
      <c r="EZ9"/>
      <c r="FA9"/>
      <c r="FB9"/>
      <c r="FC9"/>
      <c r="FD9"/>
      <c r="FE9"/>
      <c r="FF9"/>
      <c r="FG9"/>
      <c r="FH9"/>
      <c r="FI9"/>
      <c r="FJ9"/>
      <c r="FK9"/>
      <c r="FL9"/>
      <c r="FM9"/>
      <c r="FN9"/>
      <c r="FO9"/>
      <c r="FP9"/>
      <c r="FQ9"/>
      <c r="FR9"/>
      <c r="FS9"/>
      <c r="FT9"/>
      <c r="FU9"/>
      <c r="FV9"/>
      <c r="FW9"/>
      <c r="FX9"/>
      <c r="FY9"/>
      <c r="FZ9"/>
      <c r="GA9"/>
      <c r="GB9"/>
      <c r="GC9"/>
      <c r="GD9"/>
      <c r="GE9"/>
      <c r="GF9"/>
      <c r="GG9"/>
      <c r="GH9"/>
      <c r="GI9"/>
      <c r="GJ9"/>
      <c r="GK9"/>
      <c r="GL9"/>
      <c r="GM9"/>
      <c r="GN9"/>
      <c r="GO9"/>
      <c r="GP9"/>
      <c r="GQ9"/>
      <c r="GR9"/>
      <c r="GS9"/>
      <c r="GT9"/>
      <c r="GU9"/>
      <c r="GV9"/>
      <c r="GW9"/>
      <c r="GX9"/>
      <c r="GY9"/>
      <c r="GZ9"/>
      <c r="HA9"/>
      <c r="HB9"/>
      <c r="HC9"/>
      <c r="HD9"/>
      <c r="HE9"/>
      <c r="HF9"/>
      <c r="HG9"/>
      <c r="HH9"/>
      <c r="HI9"/>
      <c r="HJ9"/>
      <c r="HK9"/>
      <c r="HL9"/>
      <c r="HM9"/>
      <c r="HN9"/>
      <c r="HO9"/>
      <c r="HP9"/>
      <c r="HQ9"/>
      <c r="HR9"/>
      <c r="HS9"/>
      <c r="HT9"/>
      <c r="HU9"/>
      <c r="HV9"/>
      <c r="HW9"/>
      <c r="HX9"/>
      <c r="HY9"/>
      <c r="HZ9"/>
      <c r="IA9"/>
      <c r="IB9"/>
      <c r="IC9"/>
      <c r="ID9"/>
      <c r="IE9"/>
      <c r="IF9"/>
      <c r="IG9"/>
      <c r="IH9"/>
      <c r="II9"/>
      <c r="IJ9"/>
      <c r="IK9"/>
      <c r="IL9"/>
      <c r="IM9"/>
      <c r="IN9"/>
      <c r="IO9"/>
      <c r="IP9"/>
      <c r="IQ9"/>
      <c r="IR9"/>
      <c r="IS9"/>
      <c r="IT9"/>
      <c r="IU9"/>
      <c r="IV9"/>
    </row>
    <row r="10" spans="1:256" s="201" customFormat="1" ht="14.25" x14ac:dyDescent="0.2">
      <c r="A10" s="10">
        <v>1597</v>
      </c>
      <c r="B10" s="11" t="s">
        <v>313</v>
      </c>
      <c r="C10" s="105" t="s">
        <v>314</v>
      </c>
      <c r="D10" s="11" t="s">
        <v>105</v>
      </c>
      <c r="E10" s="12">
        <v>9625</v>
      </c>
      <c r="F10" s="202">
        <v>73</v>
      </c>
      <c r="G10" s="11">
        <v>60000</v>
      </c>
      <c r="H10" s="116">
        <v>0</v>
      </c>
      <c r="I10" s="192"/>
      <c r="J10" s="204"/>
      <c r="K10" s="193"/>
      <c r="L10" s="193"/>
      <c r="M10" s="193"/>
      <c r="N10" s="203">
        <f t="shared" si="0"/>
        <v>60000</v>
      </c>
      <c r="O10" s="203">
        <f t="shared" si="1"/>
        <v>60000</v>
      </c>
      <c r="P10" s="203">
        <f t="shared" si="2"/>
        <v>60000</v>
      </c>
      <c r="Q10" s="214"/>
      <c r="R10" s="219"/>
      <c r="S10" s="217">
        <v>46234</v>
      </c>
      <c r="T10" s="205"/>
      <c r="U10" s="205"/>
      <c r="V10" s="215"/>
      <c r="W10" s="212"/>
      <c r="X10" s="10">
        <v>7</v>
      </c>
      <c r="Y10" s="10">
        <v>7</v>
      </c>
      <c r="Z10" s="213">
        <f t="shared" si="3"/>
        <v>60000</v>
      </c>
      <c r="AA10" s="62"/>
      <c r="AB10" s="62"/>
      <c r="AC10" s="62"/>
      <c r="AD10" s="62"/>
      <c r="AE10" s="62"/>
      <c r="AF10" s="63"/>
      <c r="AG10" s="64"/>
      <c r="AH10" s="6">
        <v>1</v>
      </c>
      <c r="AI10">
        <f t="shared" si="4"/>
        <v>25</v>
      </c>
      <c r="AJ10">
        <f t="shared" si="5"/>
        <v>25</v>
      </c>
      <c r="AK10">
        <f t="shared" si="6"/>
        <v>0</v>
      </c>
      <c r="AL10">
        <f t="shared" si="7"/>
        <v>0</v>
      </c>
      <c r="AM10">
        <f t="shared" si="8"/>
        <v>0</v>
      </c>
      <c r="AN10">
        <f t="shared" si="9"/>
        <v>0</v>
      </c>
      <c r="AO10">
        <f t="shared" si="10"/>
        <v>0</v>
      </c>
      <c r="AP10">
        <f t="shared" si="11"/>
        <v>0</v>
      </c>
      <c r="AQ10">
        <f t="shared" si="12"/>
        <v>0</v>
      </c>
      <c r="AR10">
        <f t="shared" si="13"/>
        <v>0</v>
      </c>
      <c r="AS10">
        <f t="shared" si="14"/>
        <v>0</v>
      </c>
      <c r="AT10">
        <f t="shared" si="15"/>
        <v>0</v>
      </c>
      <c r="AU10">
        <f t="shared" si="16"/>
        <v>1</v>
      </c>
      <c r="AV10">
        <f t="shared" si="17"/>
        <v>1</v>
      </c>
      <c r="AW10">
        <f t="shared" si="18"/>
        <v>1</v>
      </c>
      <c r="AX10">
        <f t="shared" si="19"/>
        <v>1</v>
      </c>
      <c r="AY10">
        <f t="shared" si="20"/>
        <v>60000</v>
      </c>
      <c r="AZ10">
        <f t="shared" si="21"/>
        <v>60000</v>
      </c>
      <c r="BA10">
        <f t="shared" si="22"/>
        <v>0</v>
      </c>
      <c r="BB10">
        <f t="shared" si="23"/>
        <v>0</v>
      </c>
      <c r="BC10">
        <f t="shared" si="24"/>
        <v>0</v>
      </c>
      <c r="BD10">
        <f t="shared" si="25"/>
        <v>0</v>
      </c>
      <c r="BE10">
        <f t="shared" si="26"/>
        <v>0</v>
      </c>
      <c r="BF10">
        <f t="shared" si="27"/>
        <v>0</v>
      </c>
      <c r="BG10"/>
      <c r="BH10"/>
      <c r="BI10"/>
      <c r="BJ10"/>
      <c r="BK10"/>
      <c r="BL10"/>
      <c r="BM10"/>
      <c r="BN10"/>
      <c r="BO10"/>
      <c r="BP10"/>
      <c r="BQ10"/>
      <c r="BR10"/>
      <c r="BS10"/>
      <c r="BT10"/>
      <c r="BU10"/>
      <c r="BV10"/>
      <c r="BW10"/>
      <c r="BX10"/>
      <c r="BY10"/>
      <c r="BZ10"/>
      <c r="CA10"/>
      <c r="CB10"/>
      <c r="CC10"/>
      <c r="CD10"/>
      <c r="CE10"/>
      <c r="CF10"/>
      <c r="CG10"/>
      <c r="CH10"/>
      <c r="CI10"/>
      <c r="CJ10"/>
      <c r="CK10"/>
      <c r="CL10"/>
      <c r="CM10"/>
      <c r="CN10"/>
      <c r="CO10"/>
      <c r="CP10"/>
      <c r="CQ10"/>
      <c r="CR10"/>
      <c r="CS10"/>
      <c r="CT10"/>
      <c r="CU10"/>
      <c r="CV10"/>
      <c r="CW10"/>
      <c r="CX10"/>
      <c r="CY10"/>
      <c r="CZ10"/>
      <c r="DA10"/>
      <c r="DB10"/>
      <c r="DC10"/>
      <c r="DD10"/>
      <c r="DE10"/>
      <c r="DF10"/>
      <c r="DG10"/>
      <c r="DH10"/>
      <c r="DI10"/>
      <c r="DJ10"/>
      <c r="DK10"/>
      <c r="DL10"/>
      <c r="DM10"/>
      <c r="DN10"/>
      <c r="DO10"/>
      <c r="DP10"/>
      <c r="DQ10"/>
      <c r="DR10"/>
      <c r="DS10"/>
      <c r="DT10"/>
      <c r="DU10"/>
      <c r="DV10"/>
      <c r="DW10"/>
      <c r="DX10"/>
      <c r="DY10"/>
      <c r="DZ10"/>
      <c r="EA10"/>
      <c r="EB10"/>
      <c r="EC10"/>
      <c r="ED10"/>
      <c r="EE10"/>
      <c r="EF10"/>
      <c r="EG10"/>
      <c r="EH10"/>
      <c r="EI10"/>
      <c r="EJ10"/>
      <c r="EK10"/>
      <c r="EL10"/>
      <c r="EM10"/>
      <c r="EN10"/>
      <c r="EO10"/>
      <c r="EP10"/>
      <c r="EQ10"/>
      <c r="ER10"/>
      <c r="ES10"/>
      <c r="ET10"/>
      <c r="EU10"/>
      <c r="EV10"/>
      <c r="EW10"/>
      <c r="EX10"/>
      <c r="EY10"/>
      <c r="EZ10"/>
      <c r="FA10"/>
      <c r="FB10"/>
      <c r="FC10"/>
      <c r="FD10"/>
      <c r="FE10"/>
      <c r="FF10"/>
      <c r="FG10"/>
      <c r="FH10"/>
      <c r="FI10"/>
      <c r="FJ10"/>
      <c r="FK10"/>
      <c r="FL10"/>
      <c r="FM10"/>
      <c r="FN10"/>
      <c r="FO10"/>
      <c r="FP10"/>
      <c r="FQ10"/>
      <c r="FR10"/>
      <c r="FS10"/>
      <c r="FT10"/>
      <c r="FU10"/>
      <c r="FV10"/>
      <c r="FW10"/>
      <c r="FX10"/>
      <c r="FY10"/>
      <c r="FZ10"/>
      <c r="GA10"/>
      <c r="GB10"/>
      <c r="GC10"/>
      <c r="GD10"/>
      <c r="GE10"/>
      <c r="GF10"/>
      <c r="GG10"/>
      <c r="GH10"/>
      <c r="GI10"/>
      <c r="GJ10"/>
      <c r="GK10"/>
      <c r="GL10"/>
      <c r="GM10"/>
      <c r="GN10"/>
      <c r="GO10"/>
      <c r="GP10"/>
      <c r="GQ10"/>
      <c r="GR10"/>
      <c r="GS10"/>
      <c r="GT10"/>
      <c r="GU10"/>
      <c r="GV10"/>
      <c r="GW10"/>
      <c r="GX10"/>
      <c r="GY10"/>
      <c r="GZ10"/>
      <c r="HA10"/>
      <c r="HB10"/>
      <c r="HC10"/>
      <c r="HD10"/>
      <c r="HE10"/>
      <c r="HF10"/>
      <c r="HG10"/>
      <c r="HH10"/>
      <c r="HI10"/>
      <c r="HJ10"/>
      <c r="HK10"/>
      <c r="HL10"/>
      <c r="HM10"/>
      <c r="HN10"/>
      <c r="HO10"/>
      <c r="HP10"/>
      <c r="HQ10"/>
      <c r="HR10"/>
      <c r="HS10"/>
      <c r="HT10"/>
      <c r="HU10"/>
      <c r="HV10"/>
      <c r="HW10"/>
      <c r="HX10"/>
      <c r="HY10"/>
      <c r="HZ10"/>
      <c r="IA10"/>
      <c r="IB10"/>
      <c r="IC10"/>
      <c r="ID10"/>
      <c r="IE10"/>
      <c r="IF10"/>
      <c r="IG10"/>
      <c r="IH10"/>
      <c r="II10"/>
      <c r="IJ10"/>
      <c r="IK10"/>
      <c r="IL10"/>
      <c r="IM10"/>
      <c r="IN10"/>
      <c r="IO10"/>
      <c r="IP10"/>
      <c r="IQ10"/>
      <c r="IR10"/>
      <c r="IS10"/>
      <c r="IT10"/>
      <c r="IU10"/>
      <c r="IV10"/>
    </row>
    <row r="11" spans="1:256" s="201" customFormat="1" ht="14.25" x14ac:dyDescent="0.2">
      <c r="A11" s="10">
        <v>1601</v>
      </c>
      <c r="B11" s="11" t="s">
        <v>315</v>
      </c>
      <c r="C11" s="105" t="s">
        <v>316</v>
      </c>
      <c r="D11" s="11" t="s">
        <v>170</v>
      </c>
      <c r="E11" s="12">
        <v>9594</v>
      </c>
      <c r="F11" s="202">
        <v>73</v>
      </c>
      <c r="G11" s="11">
        <v>80000</v>
      </c>
      <c r="H11" s="116">
        <v>0</v>
      </c>
      <c r="I11" s="192"/>
      <c r="J11" s="204"/>
      <c r="K11" s="193"/>
      <c r="L11" s="193"/>
      <c r="M11" s="193"/>
      <c r="N11" s="203">
        <f t="shared" si="0"/>
        <v>80000</v>
      </c>
      <c r="O11" s="203">
        <f t="shared" si="1"/>
        <v>80000</v>
      </c>
      <c r="P11" s="203">
        <f t="shared" si="2"/>
        <v>80000</v>
      </c>
      <c r="Q11" s="214"/>
      <c r="R11" s="219"/>
      <c r="S11" s="217">
        <v>46209</v>
      </c>
      <c r="T11" s="205"/>
      <c r="U11" s="205"/>
      <c r="V11" s="215"/>
      <c r="W11" s="212"/>
      <c r="X11" s="10">
        <v>7</v>
      </c>
      <c r="Y11" s="10">
        <v>7</v>
      </c>
      <c r="Z11" s="213">
        <f t="shared" si="3"/>
        <v>80000</v>
      </c>
      <c r="AA11" s="62"/>
      <c r="AB11" s="62"/>
      <c r="AC11" s="62"/>
      <c r="AD11" s="62"/>
      <c r="AE11" s="62"/>
      <c r="AF11" s="63"/>
      <c r="AG11" s="64"/>
      <c r="AH11" s="6">
        <v>1</v>
      </c>
      <c r="AI11">
        <f t="shared" si="4"/>
        <v>25</v>
      </c>
      <c r="AJ11">
        <f t="shared" si="5"/>
        <v>25</v>
      </c>
      <c r="AK11">
        <f t="shared" si="6"/>
        <v>0</v>
      </c>
      <c r="AL11">
        <f t="shared" si="7"/>
        <v>0</v>
      </c>
      <c r="AM11">
        <f t="shared" si="8"/>
        <v>0</v>
      </c>
      <c r="AN11">
        <f t="shared" si="9"/>
        <v>0</v>
      </c>
      <c r="AO11">
        <f t="shared" si="10"/>
        <v>0</v>
      </c>
      <c r="AP11">
        <f t="shared" si="11"/>
        <v>0</v>
      </c>
      <c r="AQ11">
        <f t="shared" si="12"/>
        <v>0</v>
      </c>
      <c r="AR11">
        <f t="shared" si="13"/>
        <v>0</v>
      </c>
      <c r="AS11">
        <f t="shared" si="14"/>
        <v>0</v>
      </c>
      <c r="AT11">
        <f t="shared" si="15"/>
        <v>0</v>
      </c>
      <c r="AU11">
        <f t="shared" si="16"/>
        <v>1</v>
      </c>
      <c r="AV11">
        <f t="shared" si="17"/>
        <v>1</v>
      </c>
      <c r="AW11">
        <f t="shared" si="18"/>
        <v>1</v>
      </c>
      <c r="AX11">
        <f t="shared" si="19"/>
        <v>1</v>
      </c>
      <c r="AY11">
        <f t="shared" si="20"/>
        <v>80000</v>
      </c>
      <c r="AZ11">
        <f t="shared" si="21"/>
        <v>80000</v>
      </c>
      <c r="BA11">
        <f t="shared" si="22"/>
        <v>0</v>
      </c>
      <c r="BB11">
        <f t="shared" si="23"/>
        <v>0</v>
      </c>
      <c r="BC11">
        <f t="shared" si="24"/>
        <v>0</v>
      </c>
      <c r="BD11">
        <f t="shared" si="25"/>
        <v>0</v>
      </c>
      <c r="BE11">
        <f t="shared" si="26"/>
        <v>0</v>
      </c>
      <c r="BF11">
        <f t="shared" si="27"/>
        <v>0</v>
      </c>
      <c r="BG11"/>
      <c r="BH11"/>
      <c r="BI11"/>
      <c r="BJ11"/>
      <c r="BK11"/>
      <c r="BL11"/>
      <c r="BM11"/>
      <c r="BN11"/>
      <c r="BO11"/>
      <c r="BP11"/>
      <c r="BQ11"/>
      <c r="BR11"/>
      <c r="BS11"/>
      <c r="BT11"/>
      <c r="BU11"/>
      <c r="BV11"/>
      <c r="BW11"/>
      <c r="BX11"/>
      <c r="BY11"/>
      <c r="BZ11"/>
      <c r="CA11"/>
      <c r="CB11"/>
      <c r="CC11"/>
      <c r="CD11"/>
      <c r="CE11"/>
      <c r="CF11"/>
      <c r="CG11"/>
      <c r="CH11"/>
      <c r="CI11"/>
      <c r="CJ11"/>
      <c r="CK11"/>
      <c r="CL11"/>
      <c r="CM11"/>
      <c r="CN11"/>
      <c r="CO11"/>
      <c r="CP11"/>
      <c r="CQ11"/>
      <c r="CR11"/>
      <c r="CS11"/>
      <c r="CT11"/>
      <c r="CU11"/>
      <c r="CV11"/>
      <c r="CW11"/>
      <c r="CX11"/>
      <c r="CY11"/>
      <c r="CZ11"/>
      <c r="DA11"/>
      <c r="DB11"/>
      <c r="DC11"/>
      <c r="DD11"/>
      <c r="DE11"/>
      <c r="DF11"/>
      <c r="DG11"/>
      <c r="DH11"/>
      <c r="DI11"/>
      <c r="DJ11"/>
      <c r="DK11"/>
      <c r="DL11"/>
      <c r="DM11"/>
      <c r="DN11"/>
      <c r="DO11"/>
      <c r="DP11"/>
      <c r="DQ11"/>
      <c r="DR11"/>
      <c r="DS11"/>
      <c r="DT11"/>
      <c r="DU11"/>
      <c r="DV11"/>
      <c r="DW11"/>
      <c r="DX11"/>
      <c r="DY11"/>
      <c r="DZ11"/>
      <c r="EA11"/>
      <c r="EB11"/>
      <c r="EC11"/>
      <c r="ED11"/>
      <c r="EE11"/>
      <c r="EF11"/>
      <c r="EG11"/>
      <c r="EH11"/>
      <c r="EI11"/>
      <c r="EJ11"/>
      <c r="EK11"/>
      <c r="EL11"/>
      <c r="EM11"/>
      <c r="EN11"/>
      <c r="EO11"/>
      <c r="EP11"/>
      <c r="EQ11"/>
      <c r="ER11"/>
      <c r="ES11"/>
      <c r="ET11"/>
      <c r="EU11"/>
      <c r="EV11"/>
      <c r="EW11"/>
      <c r="EX11"/>
      <c r="EY11"/>
      <c r="EZ11"/>
      <c r="FA11"/>
      <c r="FB11"/>
      <c r="FC11"/>
      <c r="FD11"/>
      <c r="FE11"/>
      <c r="FF11"/>
      <c r="FG11"/>
      <c r="FH11"/>
      <c r="FI11"/>
      <c r="FJ11"/>
      <c r="FK11"/>
      <c r="FL11"/>
      <c r="FM11"/>
      <c r="FN11"/>
      <c r="FO11"/>
      <c r="FP11"/>
      <c r="FQ11"/>
      <c r="FR11"/>
      <c r="FS11"/>
      <c r="FT11"/>
      <c r="FU11"/>
      <c r="FV11"/>
      <c r="FW11"/>
      <c r="FX11"/>
      <c r="FY11"/>
      <c r="FZ11"/>
      <c r="GA11"/>
      <c r="GB11"/>
      <c r="GC11"/>
      <c r="GD11"/>
      <c r="GE11"/>
      <c r="GF11"/>
      <c r="GG11"/>
      <c r="GH11"/>
      <c r="GI11"/>
      <c r="GJ11"/>
      <c r="GK11"/>
      <c r="GL11"/>
      <c r="GM11"/>
      <c r="GN11"/>
      <c r="GO11"/>
      <c r="GP11"/>
      <c r="GQ11"/>
      <c r="GR11"/>
      <c r="GS11"/>
      <c r="GT11"/>
      <c r="GU11"/>
      <c r="GV11"/>
      <c r="GW11"/>
      <c r="GX11"/>
      <c r="GY11"/>
      <c r="GZ11"/>
      <c r="HA11"/>
      <c r="HB11"/>
      <c r="HC11"/>
      <c r="HD11"/>
      <c r="HE11"/>
      <c r="HF11"/>
      <c r="HG11"/>
      <c r="HH11"/>
      <c r="HI11"/>
      <c r="HJ11"/>
      <c r="HK11"/>
      <c r="HL11"/>
      <c r="HM11"/>
      <c r="HN11"/>
      <c r="HO11"/>
      <c r="HP11"/>
      <c r="HQ11"/>
      <c r="HR11"/>
      <c r="HS11"/>
      <c r="HT11"/>
      <c r="HU11"/>
      <c r="HV11"/>
      <c r="HW11"/>
      <c r="HX11"/>
      <c r="HY11"/>
      <c r="HZ11"/>
      <c r="IA11"/>
      <c r="IB11"/>
      <c r="IC11"/>
      <c r="ID11"/>
      <c r="IE11"/>
      <c r="IF11"/>
      <c r="IG11"/>
      <c r="IH11"/>
      <c r="II11"/>
      <c r="IJ11"/>
      <c r="IK11"/>
      <c r="IL11"/>
      <c r="IM11"/>
      <c r="IN11"/>
      <c r="IO11"/>
      <c r="IP11"/>
      <c r="IQ11"/>
      <c r="IR11"/>
      <c r="IS11"/>
      <c r="IT11"/>
      <c r="IU11"/>
      <c r="IV11"/>
    </row>
    <row r="12" spans="1:256" s="201" customFormat="1" ht="14.25" x14ac:dyDescent="0.2">
      <c r="A12" s="10">
        <v>1671</v>
      </c>
      <c r="B12" s="11" t="s">
        <v>219</v>
      </c>
      <c r="C12" s="105">
        <v>2645414691</v>
      </c>
      <c r="D12" s="11" t="s">
        <v>105</v>
      </c>
      <c r="E12" s="12">
        <v>9740</v>
      </c>
      <c r="F12" s="202">
        <v>73</v>
      </c>
      <c r="G12" s="11">
        <v>30000</v>
      </c>
      <c r="H12" s="116">
        <v>-32000</v>
      </c>
      <c r="I12" s="192"/>
      <c r="J12" s="204"/>
      <c r="K12" s="193"/>
      <c r="L12" s="193"/>
      <c r="M12" s="193"/>
      <c r="N12" s="203">
        <f t="shared" si="0"/>
        <v>30000</v>
      </c>
      <c r="O12" s="203">
        <f t="shared" si="1"/>
        <v>-2000</v>
      </c>
      <c r="P12" s="203">
        <f t="shared" si="2"/>
        <v>0</v>
      </c>
      <c r="Q12" s="214"/>
      <c r="R12" s="219"/>
      <c r="S12" s="217">
        <v>46234</v>
      </c>
      <c r="T12" s="205"/>
      <c r="U12" s="205"/>
      <c r="V12" s="215"/>
      <c r="W12" s="212"/>
      <c r="X12" s="10">
        <v>7</v>
      </c>
      <c r="Y12" s="10">
        <v>7</v>
      </c>
      <c r="Z12" s="213">
        <f t="shared" si="3"/>
        <v>30000</v>
      </c>
      <c r="AA12" s="62"/>
      <c r="AB12" s="62"/>
      <c r="AC12" s="62"/>
      <c r="AD12" s="62"/>
      <c r="AE12" s="62"/>
      <c r="AF12" s="63"/>
      <c r="AG12" s="64"/>
      <c r="AH12" s="6">
        <v>1</v>
      </c>
      <c r="AI12">
        <f t="shared" si="4"/>
        <v>25</v>
      </c>
      <c r="AJ12">
        <f t="shared" si="5"/>
        <v>25</v>
      </c>
      <c r="AK12">
        <f t="shared" si="6"/>
        <v>0</v>
      </c>
      <c r="AL12">
        <f t="shared" si="7"/>
        <v>0</v>
      </c>
      <c r="AM12">
        <f t="shared" si="8"/>
        <v>0</v>
      </c>
      <c r="AN12">
        <f t="shared" si="9"/>
        <v>0</v>
      </c>
      <c r="AO12">
        <f t="shared" si="10"/>
        <v>0</v>
      </c>
      <c r="AP12">
        <f t="shared" si="11"/>
        <v>0</v>
      </c>
      <c r="AQ12">
        <f t="shared" si="12"/>
        <v>0</v>
      </c>
      <c r="AR12">
        <f t="shared" si="13"/>
        <v>0</v>
      </c>
      <c r="AS12">
        <f t="shared" si="14"/>
        <v>0</v>
      </c>
      <c r="AT12">
        <f t="shared" si="15"/>
        <v>0</v>
      </c>
      <c r="AU12">
        <f t="shared" si="16"/>
        <v>0</v>
      </c>
      <c r="AV12">
        <f t="shared" si="17"/>
        <v>0</v>
      </c>
      <c r="AW12">
        <f t="shared" si="18"/>
        <v>0</v>
      </c>
      <c r="AX12">
        <f t="shared" si="19"/>
        <v>0</v>
      </c>
      <c r="AY12">
        <f t="shared" si="20"/>
        <v>0</v>
      </c>
      <c r="AZ12">
        <f t="shared" si="21"/>
        <v>0</v>
      </c>
      <c r="BA12">
        <f t="shared" si="22"/>
        <v>0</v>
      </c>
      <c r="BB12">
        <f t="shared" si="23"/>
        <v>0</v>
      </c>
      <c r="BC12">
        <f t="shared" si="24"/>
        <v>0</v>
      </c>
      <c r="BD12">
        <f t="shared" si="25"/>
        <v>0</v>
      </c>
      <c r="BE12">
        <f t="shared" si="26"/>
        <v>0</v>
      </c>
      <c r="BF12">
        <f t="shared" si="27"/>
        <v>0</v>
      </c>
      <c r="BG12"/>
      <c r="BH12"/>
      <c r="BI12"/>
      <c r="BJ12"/>
      <c r="BK12"/>
      <c r="BL12"/>
      <c r="BM12"/>
      <c r="BN12"/>
      <c r="BO12"/>
      <c r="BP12"/>
      <c r="BQ12"/>
      <c r="BR12"/>
      <c r="BS12"/>
      <c r="BT12"/>
      <c r="BU12"/>
      <c r="BV12"/>
      <c r="BW12"/>
      <c r="BX12"/>
      <c r="BY12"/>
      <c r="BZ12"/>
      <c r="CA12"/>
      <c r="CB12"/>
      <c r="CC12"/>
      <c r="CD12"/>
      <c r="CE12"/>
      <c r="CF12"/>
      <c r="CG12"/>
      <c r="CH12"/>
      <c r="CI12"/>
      <c r="CJ12"/>
      <c r="CK12"/>
      <c r="CL12"/>
      <c r="CM12"/>
      <c r="CN12"/>
      <c r="CO12"/>
      <c r="CP12"/>
      <c r="CQ12"/>
      <c r="CR12"/>
      <c r="CS12"/>
      <c r="CT12"/>
      <c r="CU12"/>
      <c r="CV12"/>
      <c r="CW12"/>
      <c r="CX12"/>
      <c r="CY12"/>
      <c r="CZ12"/>
      <c r="DA12"/>
      <c r="DB12"/>
      <c r="DC12"/>
      <c r="DD12"/>
      <c r="DE12"/>
      <c r="DF12"/>
      <c r="DG12"/>
      <c r="DH12"/>
      <c r="DI12"/>
      <c r="DJ12"/>
      <c r="DK12"/>
      <c r="DL12"/>
      <c r="DM12"/>
      <c r="DN12"/>
      <c r="DO12"/>
      <c r="DP12"/>
      <c r="DQ12"/>
      <c r="DR12"/>
      <c r="DS12"/>
      <c r="DT12"/>
      <c r="DU12"/>
      <c r="DV12"/>
      <c r="DW12"/>
      <c r="DX12"/>
      <c r="DY12"/>
      <c r="DZ12"/>
      <c r="EA12"/>
      <c r="EB12"/>
      <c r="EC12"/>
      <c r="ED12"/>
      <c r="EE12"/>
      <c r="EF12"/>
      <c r="EG12"/>
      <c r="EH12"/>
      <c r="EI12"/>
      <c r="EJ12"/>
      <c r="EK12"/>
      <c r="EL12"/>
      <c r="EM12"/>
      <c r="EN12"/>
      <c r="EO12"/>
      <c r="EP12"/>
      <c r="EQ12"/>
      <c r="ER12"/>
      <c r="ES12"/>
      <c r="ET12"/>
      <c r="EU12"/>
      <c r="EV12"/>
      <c r="EW12"/>
      <c r="EX12"/>
      <c r="EY12"/>
      <c r="EZ12"/>
      <c r="FA12"/>
      <c r="FB12"/>
      <c r="FC12"/>
      <c r="FD12"/>
      <c r="FE12"/>
      <c r="FF12"/>
      <c r="FG12"/>
      <c r="FH12"/>
      <c r="FI12"/>
      <c r="FJ12"/>
      <c r="FK12"/>
      <c r="FL12"/>
      <c r="FM12"/>
      <c r="FN12"/>
      <c r="FO12"/>
      <c r="FP12"/>
      <c r="FQ12"/>
      <c r="FR12"/>
      <c r="FS12"/>
      <c r="FT12"/>
      <c r="FU12"/>
      <c r="FV12"/>
      <c r="FW12"/>
      <c r="FX12"/>
      <c r="FY12"/>
      <c r="FZ12"/>
      <c r="GA12"/>
      <c r="GB12"/>
      <c r="GC12"/>
      <c r="GD12"/>
      <c r="GE12"/>
      <c r="GF12"/>
      <c r="GG12"/>
      <c r="GH12"/>
      <c r="GI12"/>
      <c r="GJ12"/>
      <c r="GK12"/>
      <c r="GL12"/>
      <c r="GM12"/>
      <c r="GN12"/>
      <c r="GO12"/>
      <c r="GP12"/>
      <c r="GQ12"/>
      <c r="GR12"/>
      <c r="GS12"/>
      <c r="GT12"/>
      <c r="GU12"/>
      <c r="GV12"/>
      <c r="GW12"/>
      <c r="GX12"/>
      <c r="GY12"/>
      <c r="GZ12"/>
      <c r="HA12"/>
      <c r="HB12"/>
      <c r="HC12"/>
      <c r="HD12"/>
      <c r="HE12"/>
      <c r="HF12"/>
      <c r="HG12"/>
      <c r="HH12"/>
      <c r="HI12"/>
      <c r="HJ12"/>
      <c r="HK12"/>
      <c r="HL12"/>
      <c r="HM12"/>
      <c r="HN12"/>
      <c r="HO12"/>
      <c r="HP12"/>
      <c r="HQ12"/>
      <c r="HR12"/>
      <c r="HS12"/>
      <c r="HT12"/>
      <c r="HU12"/>
      <c r="HV12"/>
      <c r="HW12"/>
      <c r="HX12"/>
      <c r="HY12"/>
      <c r="HZ12"/>
      <c r="IA12"/>
      <c r="IB12"/>
      <c r="IC12"/>
      <c r="ID12"/>
      <c r="IE12"/>
      <c r="IF12"/>
      <c r="IG12"/>
      <c r="IH12"/>
      <c r="II12"/>
      <c r="IJ12"/>
      <c r="IK12"/>
      <c r="IL12"/>
      <c r="IM12"/>
      <c r="IN12"/>
      <c r="IO12"/>
      <c r="IP12"/>
      <c r="IQ12"/>
      <c r="IR12"/>
      <c r="IS12"/>
      <c r="IT12"/>
      <c r="IU12"/>
      <c r="IV12"/>
    </row>
    <row r="13" spans="1:256" s="201" customFormat="1" ht="14.25" x14ac:dyDescent="0.2">
      <c r="A13" s="10">
        <v>1791</v>
      </c>
      <c r="B13" s="11" t="s">
        <v>317</v>
      </c>
      <c r="C13" s="105" t="s">
        <v>318</v>
      </c>
      <c r="D13" s="11" t="s">
        <v>154</v>
      </c>
      <c r="E13" s="12">
        <v>9908</v>
      </c>
      <c r="F13" s="202">
        <v>71</v>
      </c>
      <c r="G13" s="11">
        <v>60000</v>
      </c>
      <c r="H13" s="116">
        <v>-15000</v>
      </c>
      <c r="I13" s="192"/>
      <c r="J13" s="204"/>
      <c r="K13" s="193"/>
      <c r="L13" s="193"/>
      <c r="M13" s="193"/>
      <c r="N13" s="203">
        <f t="shared" si="0"/>
        <v>60000</v>
      </c>
      <c r="O13" s="203">
        <f t="shared" si="1"/>
        <v>45000</v>
      </c>
      <c r="P13" s="203">
        <f t="shared" si="2"/>
        <v>45000</v>
      </c>
      <c r="Q13" s="214"/>
      <c r="R13" s="219"/>
      <c r="S13" s="217">
        <v>46223</v>
      </c>
      <c r="T13" s="205"/>
      <c r="U13" s="205"/>
      <c r="V13" s="215"/>
      <c r="W13" s="212"/>
      <c r="X13" s="10">
        <v>7</v>
      </c>
      <c r="Y13" s="10">
        <v>7</v>
      </c>
      <c r="Z13" s="213">
        <f t="shared" si="3"/>
        <v>60000</v>
      </c>
      <c r="AA13" s="62"/>
      <c r="AB13" s="62"/>
      <c r="AC13" s="62"/>
      <c r="AD13" s="62"/>
      <c r="AE13" s="62"/>
      <c r="AF13" s="63"/>
      <c r="AG13" s="64"/>
      <c r="AH13" s="6">
        <v>1</v>
      </c>
      <c r="AI13">
        <f t="shared" si="4"/>
        <v>25</v>
      </c>
      <c r="AJ13">
        <f t="shared" si="5"/>
        <v>25</v>
      </c>
      <c r="AK13">
        <f t="shared" si="6"/>
        <v>0</v>
      </c>
      <c r="AL13">
        <f t="shared" si="7"/>
        <v>0</v>
      </c>
      <c r="AM13">
        <f t="shared" si="8"/>
        <v>0</v>
      </c>
      <c r="AN13">
        <f t="shared" si="9"/>
        <v>0</v>
      </c>
      <c r="AO13">
        <f t="shared" si="10"/>
        <v>0</v>
      </c>
      <c r="AP13">
        <f t="shared" si="11"/>
        <v>0</v>
      </c>
      <c r="AQ13">
        <f t="shared" si="12"/>
        <v>0</v>
      </c>
      <c r="AR13">
        <f t="shared" si="13"/>
        <v>0</v>
      </c>
      <c r="AS13">
        <f t="shared" si="14"/>
        <v>0</v>
      </c>
      <c r="AT13">
        <f t="shared" si="15"/>
        <v>0</v>
      </c>
      <c r="AU13">
        <f t="shared" si="16"/>
        <v>1</v>
      </c>
      <c r="AV13">
        <f t="shared" si="17"/>
        <v>1</v>
      </c>
      <c r="AW13">
        <f t="shared" si="18"/>
        <v>1</v>
      </c>
      <c r="AX13">
        <f t="shared" si="19"/>
        <v>1</v>
      </c>
      <c r="AY13">
        <f t="shared" si="20"/>
        <v>45000</v>
      </c>
      <c r="AZ13">
        <f t="shared" si="21"/>
        <v>45000</v>
      </c>
      <c r="BA13">
        <f t="shared" si="22"/>
        <v>0</v>
      </c>
      <c r="BB13">
        <f t="shared" si="23"/>
        <v>0</v>
      </c>
      <c r="BC13">
        <f t="shared" si="24"/>
        <v>0</v>
      </c>
      <c r="BD13">
        <f t="shared" si="25"/>
        <v>0</v>
      </c>
      <c r="BE13">
        <f t="shared" si="26"/>
        <v>0</v>
      </c>
      <c r="BF13">
        <f t="shared" si="27"/>
        <v>0</v>
      </c>
      <c r="BG13"/>
      <c r="BH13"/>
      <c r="BI13"/>
      <c r="BJ13"/>
      <c r="BK13"/>
      <c r="BL13"/>
      <c r="BM13"/>
      <c r="BN13"/>
      <c r="BO13"/>
      <c r="BP13"/>
      <c r="BQ13"/>
      <c r="BR13"/>
      <c r="BS13"/>
      <c r="BT13"/>
      <c r="BU13"/>
      <c r="BV13"/>
      <c r="BW13"/>
      <c r="BX13"/>
      <c r="BY13"/>
      <c r="BZ13"/>
      <c r="CA13"/>
      <c r="CB13"/>
      <c r="CC13"/>
      <c r="CD13"/>
      <c r="CE13"/>
      <c r="CF13"/>
      <c r="CG13"/>
      <c r="CH13"/>
      <c r="CI13"/>
      <c r="CJ13"/>
      <c r="CK13"/>
      <c r="CL13"/>
      <c r="CM13"/>
      <c r="CN13"/>
      <c r="CO13"/>
      <c r="CP13"/>
      <c r="CQ13"/>
      <c r="CR13"/>
      <c r="CS13"/>
      <c r="CT13"/>
      <c r="CU13"/>
      <c r="CV13"/>
      <c r="CW13"/>
      <c r="CX13"/>
      <c r="CY13"/>
      <c r="CZ13"/>
      <c r="DA13"/>
      <c r="DB13"/>
      <c r="DC13"/>
      <c r="DD13"/>
      <c r="DE13"/>
      <c r="DF13"/>
      <c r="DG13"/>
      <c r="DH13"/>
      <c r="DI13"/>
      <c r="DJ13"/>
      <c r="DK13"/>
      <c r="DL13"/>
      <c r="DM13"/>
      <c r="DN13"/>
      <c r="DO13"/>
      <c r="DP13"/>
      <c r="DQ13"/>
      <c r="DR13"/>
      <c r="DS13"/>
      <c r="DT13"/>
      <c r="DU13"/>
      <c r="DV13"/>
      <c r="DW13"/>
      <c r="DX13"/>
      <c r="DY13"/>
      <c r="DZ13"/>
      <c r="EA13"/>
      <c r="EB13"/>
      <c r="EC13"/>
      <c r="ED13"/>
      <c r="EE13"/>
      <c r="EF13"/>
      <c r="EG13"/>
      <c r="EH13"/>
      <c r="EI13"/>
      <c r="EJ13"/>
      <c r="EK13"/>
      <c r="EL13"/>
      <c r="EM13"/>
      <c r="EN13"/>
      <c r="EO13"/>
      <c r="EP13"/>
      <c r="EQ13"/>
      <c r="ER13"/>
      <c r="ES13"/>
      <c r="ET13"/>
      <c r="EU13"/>
      <c r="EV13"/>
      <c r="EW13"/>
      <c r="EX13"/>
      <c r="EY13"/>
      <c r="EZ13"/>
      <c r="FA13"/>
      <c r="FB13"/>
      <c r="FC13"/>
      <c r="FD13"/>
      <c r="FE13"/>
      <c r="FF13"/>
      <c r="FG13"/>
      <c r="FH13"/>
      <c r="FI13"/>
      <c r="FJ13"/>
      <c r="FK13"/>
      <c r="FL13"/>
      <c r="FM13"/>
      <c r="FN13"/>
      <c r="FO13"/>
      <c r="FP13"/>
      <c r="FQ13"/>
      <c r="FR13"/>
      <c r="FS13"/>
      <c r="FT13"/>
      <c r="FU13"/>
      <c r="FV13"/>
      <c r="FW13"/>
      <c r="FX13"/>
      <c r="FY13"/>
      <c r="FZ13"/>
      <c r="GA13"/>
      <c r="GB13"/>
      <c r="GC13"/>
      <c r="GD13"/>
      <c r="GE13"/>
      <c r="GF13"/>
      <c r="GG13"/>
      <c r="GH13"/>
      <c r="GI13"/>
      <c r="GJ13"/>
      <c r="GK13"/>
      <c r="GL13"/>
      <c r="GM13"/>
      <c r="GN13"/>
      <c r="GO13"/>
      <c r="GP13"/>
      <c r="GQ13"/>
      <c r="GR13"/>
      <c r="GS13"/>
      <c r="GT13"/>
      <c r="GU13"/>
      <c r="GV13"/>
      <c r="GW13"/>
      <c r="GX13"/>
      <c r="GY13"/>
      <c r="GZ13"/>
      <c r="HA13"/>
      <c r="HB13"/>
      <c r="HC13"/>
      <c r="HD13"/>
      <c r="HE13"/>
      <c r="HF13"/>
      <c r="HG13"/>
      <c r="HH13"/>
      <c r="HI13"/>
      <c r="HJ13"/>
      <c r="HK13"/>
      <c r="HL13"/>
      <c r="HM13"/>
      <c r="HN13"/>
      <c r="HO13"/>
      <c r="HP13"/>
      <c r="HQ13"/>
      <c r="HR13"/>
      <c r="HS13"/>
      <c r="HT13"/>
      <c r="HU13"/>
      <c r="HV13"/>
      <c r="HW13"/>
      <c r="HX13"/>
      <c r="HY13"/>
      <c r="HZ13"/>
      <c r="IA13"/>
      <c r="IB13"/>
      <c r="IC13"/>
      <c r="ID13"/>
      <c r="IE13"/>
      <c r="IF13"/>
      <c r="IG13"/>
      <c r="IH13"/>
      <c r="II13"/>
      <c r="IJ13"/>
      <c r="IK13"/>
      <c r="IL13"/>
      <c r="IM13"/>
      <c r="IN13"/>
      <c r="IO13"/>
      <c r="IP13"/>
      <c r="IQ13"/>
      <c r="IR13"/>
      <c r="IS13"/>
      <c r="IT13"/>
      <c r="IU13"/>
      <c r="IV13"/>
    </row>
    <row r="14" spans="1:256" s="201" customFormat="1" ht="14.25" x14ac:dyDescent="0.2">
      <c r="A14" s="10">
        <v>1829</v>
      </c>
      <c r="B14" s="11" t="s">
        <v>230</v>
      </c>
      <c r="C14" s="105">
        <v>2644112914</v>
      </c>
      <c r="D14" s="11" t="s">
        <v>222</v>
      </c>
      <c r="E14" s="12">
        <v>9936</v>
      </c>
      <c r="F14" s="202">
        <v>70</v>
      </c>
      <c r="G14" s="11">
        <v>300000</v>
      </c>
      <c r="H14" s="116">
        <v>-5000</v>
      </c>
      <c r="I14" s="192"/>
      <c r="J14" s="204"/>
      <c r="K14" s="193"/>
      <c r="L14" s="193"/>
      <c r="M14" s="193"/>
      <c r="N14" s="203">
        <f t="shared" si="0"/>
        <v>300000</v>
      </c>
      <c r="O14" s="203">
        <f t="shared" si="1"/>
        <v>295000</v>
      </c>
      <c r="P14" s="203">
        <f t="shared" si="2"/>
        <v>295000</v>
      </c>
      <c r="Q14" s="214"/>
      <c r="R14" s="219"/>
      <c r="S14" s="217">
        <v>46234</v>
      </c>
      <c r="T14" s="205"/>
      <c r="U14" s="205"/>
      <c r="V14" s="215"/>
      <c r="W14" s="212"/>
      <c r="X14" s="10">
        <v>7</v>
      </c>
      <c r="Y14" s="10">
        <v>7</v>
      </c>
      <c r="Z14" s="213">
        <f t="shared" si="3"/>
        <v>300000</v>
      </c>
      <c r="AA14" s="62"/>
      <c r="AB14" s="62"/>
      <c r="AC14" s="62"/>
      <c r="AD14" s="62"/>
      <c r="AE14" s="62"/>
      <c r="AF14" s="63"/>
      <c r="AG14" s="64"/>
      <c r="AH14" s="6">
        <v>1</v>
      </c>
      <c r="AI14">
        <f t="shared" si="4"/>
        <v>25</v>
      </c>
      <c r="AJ14">
        <f t="shared" si="5"/>
        <v>25</v>
      </c>
      <c r="AK14">
        <f t="shared" si="6"/>
        <v>0</v>
      </c>
      <c r="AL14">
        <f t="shared" si="7"/>
        <v>0</v>
      </c>
      <c r="AM14">
        <f t="shared" si="8"/>
        <v>0</v>
      </c>
      <c r="AN14">
        <f t="shared" si="9"/>
        <v>0</v>
      </c>
      <c r="AO14">
        <f t="shared" si="10"/>
        <v>0</v>
      </c>
      <c r="AP14">
        <f t="shared" si="11"/>
        <v>0</v>
      </c>
      <c r="AQ14">
        <f t="shared" si="12"/>
        <v>0</v>
      </c>
      <c r="AR14">
        <f t="shared" si="13"/>
        <v>0</v>
      </c>
      <c r="AS14">
        <f t="shared" si="14"/>
        <v>0</v>
      </c>
      <c r="AT14">
        <f t="shared" si="15"/>
        <v>0</v>
      </c>
      <c r="AU14">
        <f t="shared" si="16"/>
        <v>1</v>
      </c>
      <c r="AV14">
        <f t="shared" si="17"/>
        <v>1</v>
      </c>
      <c r="AW14">
        <f t="shared" si="18"/>
        <v>1</v>
      </c>
      <c r="AX14">
        <f t="shared" si="19"/>
        <v>1</v>
      </c>
      <c r="AY14">
        <f t="shared" si="20"/>
        <v>295000</v>
      </c>
      <c r="AZ14">
        <f t="shared" si="21"/>
        <v>295000</v>
      </c>
      <c r="BA14">
        <f t="shared" si="22"/>
        <v>0</v>
      </c>
      <c r="BB14">
        <f t="shared" si="23"/>
        <v>0</v>
      </c>
      <c r="BC14">
        <f t="shared" si="24"/>
        <v>0</v>
      </c>
      <c r="BD14">
        <f t="shared" si="25"/>
        <v>0</v>
      </c>
      <c r="BE14">
        <f t="shared" si="26"/>
        <v>0</v>
      </c>
      <c r="BF14">
        <f t="shared" si="27"/>
        <v>0</v>
      </c>
      <c r="BG14"/>
      <c r="BH14"/>
      <c r="BI14"/>
      <c r="BJ14"/>
      <c r="BK14"/>
      <c r="BL14"/>
      <c r="BM14"/>
      <c r="BN14"/>
      <c r="BO14"/>
      <c r="BP14"/>
      <c r="BQ14"/>
      <c r="BR14"/>
      <c r="BS14"/>
      <c r="BT14"/>
      <c r="BU14"/>
      <c r="BV14"/>
      <c r="BW14"/>
      <c r="BX14"/>
      <c r="BY14"/>
      <c r="BZ14"/>
      <c r="CA14"/>
      <c r="CB14"/>
      <c r="CC14"/>
      <c r="CD14"/>
      <c r="CE14"/>
      <c r="CF14"/>
      <c r="CG14"/>
      <c r="CH14"/>
      <c r="CI14"/>
      <c r="CJ14"/>
      <c r="CK14"/>
      <c r="CL14"/>
      <c r="CM14"/>
      <c r="CN14"/>
      <c r="CO14"/>
      <c r="CP14"/>
      <c r="CQ14"/>
      <c r="CR14"/>
      <c r="CS14"/>
      <c r="CT14"/>
      <c r="CU14"/>
      <c r="CV14"/>
      <c r="CW14"/>
      <c r="CX14"/>
      <c r="CY14"/>
      <c r="CZ14"/>
      <c r="DA14"/>
      <c r="DB14"/>
      <c r="DC14"/>
      <c r="DD14"/>
      <c r="DE14"/>
      <c r="DF14"/>
      <c r="DG14"/>
      <c r="DH14"/>
      <c r="DI14"/>
      <c r="DJ14"/>
      <c r="DK14"/>
      <c r="DL14"/>
      <c r="DM14"/>
      <c r="DN14"/>
      <c r="DO14"/>
      <c r="DP14"/>
      <c r="DQ14"/>
      <c r="DR14"/>
      <c r="DS14"/>
      <c r="DT14"/>
      <c r="DU14"/>
      <c r="DV14"/>
      <c r="DW14"/>
      <c r="DX14"/>
      <c r="DY14"/>
      <c r="DZ14"/>
      <c r="EA14"/>
      <c r="EB14"/>
      <c r="EC14"/>
      <c r="ED14"/>
      <c r="EE14"/>
      <c r="EF14"/>
      <c r="EG14"/>
      <c r="EH14"/>
      <c r="EI14"/>
      <c r="EJ14"/>
      <c r="EK14"/>
      <c r="EL14"/>
      <c r="EM14"/>
      <c r="EN14"/>
      <c r="EO14"/>
      <c r="EP14"/>
      <c r="EQ14"/>
      <c r="ER14"/>
      <c r="ES14"/>
      <c r="ET14"/>
      <c r="EU14"/>
      <c r="EV14"/>
      <c r="EW14"/>
      <c r="EX14"/>
      <c r="EY14"/>
      <c r="EZ14"/>
      <c r="FA14"/>
      <c r="FB14"/>
      <c r="FC14"/>
      <c r="FD14"/>
      <c r="FE14"/>
      <c r="FF14"/>
      <c r="FG14"/>
      <c r="FH14"/>
      <c r="FI14"/>
      <c r="FJ14"/>
      <c r="FK14"/>
      <c r="FL14"/>
      <c r="FM14"/>
      <c r="FN14"/>
      <c r="FO14"/>
      <c r="FP14"/>
      <c r="FQ14"/>
      <c r="FR14"/>
      <c r="FS14"/>
      <c r="FT14"/>
      <c r="FU14"/>
      <c r="FV14"/>
      <c r="FW14"/>
      <c r="FX14"/>
      <c r="FY14"/>
      <c r="FZ14"/>
      <c r="GA14"/>
      <c r="GB14"/>
      <c r="GC14"/>
      <c r="GD14"/>
      <c r="GE14"/>
      <c r="GF14"/>
      <c r="GG14"/>
      <c r="GH14"/>
      <c r="GI14"/>
      <c r="GJ14"/>
      <c r="GK14"/>
      <c r="GL14"/>
      <c r="GM14"/>
      <c r="GN14"/>
      <c r="GO14"/>
      <c r="GP14"/>
      <c r="GQ14"/>
      <c r="GR14"/>
      <c r="GS14"/>
      <c r="GT14"/>
      <c r="GU14"/>
      <c r="GV14"/>
      <c r="GW14"/>
      <c r="GX14"/>
      <c r="GY14"/>
      <c r="GZ14"/>
      <c r="HA14"/>
      <c r="HB14"/>
      <c r="HC14"/>
      <c r="HD14"/>
      <c r="HE14"/>
      <c r="HF14"/>
      <c r="HG14"/>
      <c r="HH14"/>
      <c r="HI14"/>
      <c r="HJ14"/>
      <c r="HK14"/>
      <c r="HL14"/>
      <c r="HM14"/>
      <c r="HN14"/>
      <c r="HO14"/>
      <c r="HP14"/>
      <c r="HQ14"/>
      <c r="HR14"/>
      <c r="HS14"/>
      <c r="HT14"/>
      <c r="HU14"/>
      <c r="HV14"/>
      <c r="HW14"/>
      <c r="HX14"/>
      <c r="HY14"/>
      <c r="HZ14"/>
      <c r="IA14"/>
      <c r="IB14"/>
      <c r="IC14"/>
      <c r="ID14"/>
      <c r="IE14"/>
      <c r="IF14"/>
      <c r="IG14"/>
      <c r="IH14"/>
      <c r="II14"/>
      <c r="IJ14"/>
      <c r="IK14"/>
      <c r="IL14"/>
      <c r="IM14"/>
      <c r="IN14"/>
      <c r="IO14"/>
      <c r="IP14"/>
      <c r="IQ14"/>
      <c r="IR14"/>
      <c r="IS14"/>
      <c r="IT14"/>
      <c r="IU14"/>
      <c r="IV14"/>
    </row>
    <row r="15" spans="1:256" s="201" customFormat="1" ht="14.25" x14ac:dyDescent="0.2">
      <c r="A15" s="10">
        <v>1870</v>
      </c>
      <c r="B15" s="11" t="s">
        <v>240</v>
      </c>
      <c r="C15" s="105" t="s">
        <v>241</v>
      </c>
      <c r="D15" s="11" t="s">
        <v>106</v>
      </c>
      <c r="E15" s="12">
        <v>9889</v>
      </c>
      <c r="F15" s="202">
        <v>69</v>
      </c>
      <c r="G15" s="11">
        <v>40000</v>
      </c>
      <c r="H15" s="116">
        <v>0</v>
      </c>
      <c r="I15" s="192"/>
      <c r="J15" s="204"/>
      <c r="K15" s="193"/>
      <c r="L15" s="193"/>
      <c r="M15" s="193"/>
      <c r="N15" s="203">
        <f t="shared" si="0"/>
        <v>40000</v>
      </c>
      <c r="O15" s="203">
        <f t="shared" si="1"/>
        <v>40000</v>
      </c>
      <c r="P15" s="203">
        <f t="shared" si="2"/>
        <v>40000</v>
      </c>
      <c r="Q15" s="214"/>
      <c r="R15" s="219"/>
      <c r="S15" s="217">
        <v>46225</v>
      </c>
      <c r="T15" s="205"/>
      <c r="U15" s="205"/>
      <c r="V15" s="215"/>
      <c r="W15" s="212"/>
      <c r="X15" s="10">
        <v>7</v>
      </c>
      <c r="Y15" s="10">
        <v>7</v>
      </c>
      <c r="Z15" s="213">
        <f t="shared" si="3"/>
        <v>40000</v>
      </c>
      <c r="AA15" s="62"/>
      <c r="AB15" s="62"/>
      <c r="AC15" s="62"/>
      <c r="AD15" s="62"/>
      <c r="AE15" s="62"/>
      <c r="AF15" s="63"/>
      <c r="AG15" s="64"/>
      <c r="AH15" s="6">
        <v>1</v>
      </c>
      <c r="AI15">
        <f t="shared" si="4"/>
        <v>25</v>
      </c>
      <c r="AJ15">
        <f t="shared" si="5"/>
        <v>25</v>
      </c>
      <c r="AK15">
        <f t="shared" si="6"/>
        <v>0</v>
      </c>
      <c r="AL15">
        <f t="shared" si="7"/>
        <v>0</v>
      </c>
      <c r="AM15">
        <f t="shared" si="8"/>
        <v>0</v>
      </c>
      <c r="AN15">
        <f t="shared" si="9"/>
        <v>0</v>
      </c>
      <c r="AO15">
        <f t="shared" si="10"/>
        <v>0</v>
      </c>
      <c r="AP15">
        <f t="shared" si="11"/>
        <v>0</v>
      </c>
      <c r="AQ15">
        <f t="shared" si="12"/>
        <v>0</v>
      </c>
      <c r="AR15">
        <f t="shared" si="13"/>
        <v>0</v>
      </c>
      <c r="AS15">
        <f t="shared" si="14"/>
        <v>0</v>
      </c>
      <c r="AT15">
        <f t="shared" si="15"/>
        <v>0</v>
      </c>
      <c r="AU15">
        <f t="shared" si="16"/>
        <v>1</v>
      </c>
      <c r="AV15">
        <f t="shared" si="17"/>
        <v>1</v>
      </c>
      <c r="AW15">
        <f t="shared" si="18"/>
        <v>1</v>
      </c>
      <c r="AX15">
        <f t="shared" si="19"/>
        <v>1</v>
      </c>
      <c r="AY15">
        <f t="shared" si="20"/>
        <v>40000</v>
      </c>
      <c r="AZ15">
        <f t="shared" si="21"/>
        <v>40000</v>
      </c>
      <c r="BA15">
        <f t="shared" si="22"/>
        <v>0</v>
      </c>
      <c r="BB15">
        <f t="shared" si="23"/>
        <v>0</v>
      </c>
      <c r="BC15">
        <f t="shared" si="24"/>
        <v>0</v>
      </c>
      <c r="BD15">
        <f t="shared" si="25"/>
        <v>0</v>
      </c>
      <c r="BE15">
        <f t="shared" si="26"/>
        <v>0</v>
      </c>
      <c r="BF15">
        <f t="shared" si="27"/>
        <v>0</v>
      </c>
      <c r="BG15"/>
      <c r="BH15"/>
      <c r="BI15"/>
      <c r="BJ15"/>
      <c r="BK15"/>
      <c r="BL15"/>
      <c r="BM15"/>
      <c r="BN15"/>
      <c r="BO15"/>
      <c r="BP15"/>
      <c r="BQ15"/>
      <c r="BR15"/>
      <c r="BS15"/>
      <c r="BT15"/>
      <c r="BU15"/>
      <c r="BV15"/>
      <c r="BW15"/>
      <c r="BX15"/>
      <c r="BY15"/>
      <c r="BZ15"/>
      <c r="CA15"/>
      <c r="CB15"/>
      <c r="CC15"/>
      <c r="CD15"/>
      <c r="CE15"/>
      <c r="CF15"/>
      <c r="CG15"/>
      <c r="CH15"/>
      <c r="CI15"/>
      <c r="CJ15"/>
      <c r="CK15"/>
      <c r="CL15"/>
      <c r="CM15"/>
      <c r="CN15"/>
      <c r="CO15"/>
      <c r="CP15"/>
      <c r="CQ15"/>
      <c r="CR15"/>
      <c r="CS15"/>
      <c r="CT15"/>
      <c r="CU15"/>
      <c r="CV15"/>
      <c r="CW15"/>
      <c r="CX15"/>
      <c r="CY15"/>
      <c r="CZ15"/>
      <c r="DA15"/>
      <c r="DB15"/>
      <c r="DC15"/>
      <c r="DD15"/>
      <c r="DE15"/>
      <c r="DF15"/>
      <c r="DG15"/>
      <c r="DH15"/>
      <c r="DI15"/>
      <c r="DJ15"/>
      <c r="DK15"/>
      <c r="DL15"/>
      <c r="DM15"/>
      <c r="DN15"/>
      <c r="DO15"/>
      <c r="DP15"/>
      <c r="DQ15"/>
      <c r="DR15"/>
      <c r="DS15"/>
      <c r="DT15"/>
      <c r="DU15"/>
      <c r="DV15"/>
      <c r="DW15"/>
      <c r="DX15"/>
      <c r="DY15"/>
      <c r="DZ15"/>
      <c r="EA15"/>
      <c r="EB15"/>
      <c r="EC15"/>
      <c r="ED15"/>
      <c r="EE15"/>
      <c r="EF15"/>
      <c r="EG15"/>
      <c r="EH15"/>
      <c r="EI15"/>
      <c r="EJ15"/>
      <c r="EK15"/>
      <c r="EL15"/>
      <c r="EM15"/>
      <c r="EN15"/>
      <c r="EO15"/>
      <c r="EP15"/>
      <c r="EQ15"/>
      <c r="ER15"/>
      <c r="ES15"/>
      <c r="ET15"/>
      <c r="EU15"/>
      <c r="EV15"/>
      <c r="EW15"/>
      <c r="EX15"/>
      <c r="EY15"/>
      <c r="EZ15"/>
      <c r="FA15"/>
      <c r="FB15"/>
      <c r="FC15"/>
      <c r="FD15"/>
      <c r="FE15"/>
      <c r="FF15"/>
      <c r="FG15"/>
      <c r="FH15"/>
      <c r="FI15"/>
      <c r="FJ15"/>
      <c r="FK15"/>
      <c r="FL15"/>
      <c r="FM15"/>
      <c r="FN15"/>
      <c r="FO15"/>
      <c r="FP15"/>
      <c r="FQ15"/>
      <c r="FR15"/>
      <c r="FS15"/>
      <c r="FT15"/>
      <c r="FU15"/>
      <c r="FV15"/>
      <c r="FW15"/>
      <c r="FX15"/>
      <c r="FY15"/>
      <c r="FZ15"/>
      <c r="GA15"/>
      <c r="GB15"/>
      <c r="GC15"/>
      <c r="GD15"/>
      <c r="GE15"/>
      <c r="GF15"/>
      <c r="GG15"/>
      <c r="GH15"/>
      <c r="GI15"/>
      <c r="GJ15"/>
      <c r="GK15"/>
      <c r="GL15"/>
      <c r="GM15"/>
      <c r="GN15"/>
      <c r="GO15"/>
      <c r="GP15"/>
      <c r="GQ15"/>
      <c r="GR15"/>
      <c r="GS15"/>
      <c r="GT15"/>
      <c r="GU15"/>
      <c r="GV15"/>
      <c r="GW15"/>
      <c r="GX15"/>
      <c r="GY15"/>
      <c r="GZ15"/>
      <c r="HA15"/>
      <c r="HB15"/>
      <c r="HC15"/>
      <c r="HD15"/>
      <c r="HE15"/>
      <c r="HF15"/>
      <c r="HG15"/>
      <c r="HH15"/>
      <c r="HI15"/>
      <c r="HJ15"/>
      <c r="HK15"/>
      <c r="HL15"/>
      <c r="HM15"/>
      <c r="HN15"/>
      <c r="HO15"/>
      <c r="HP15"/>
      <c r="HQ15"/>
      <c r="HR15"/>
      <c r="HS15"/>
      <c r="HT15"/>
      <c r="HU15"/>
      <c r="HV15"/>
      <c r="HW15"/>
      <c r="HX15"/>
      <c r="HY15"/>
      <c r="HZ15"/>
      <c r="IA15"/>
      <c r="IB15"/>
      <c r="IC15"/>
      <c r="ID15"/>
      <c r="IE15"/>
      <c r="IF15"/>
      <c r="IG15"/>
      <c r="IH15"/>
      <c r="II15"/>
      <c r="IJ15"/>
      <c r="IK15"/>
      <c r="IL15"/>
      <c r="IM15"/>
      <c r="IN15"/>
      <c r="IO15"/>
      <c r="IP15"/>
      <c r="IQ15"/>
      <c r="IR15"/>
      <c r="IS15"/>
      <c r="IT15"/>
      <c r="IU15"/>
      <c r="IV15"/>
    </row>
    <row r="16" spans="1:256" s="201" customFormat="1" ht="14.25" x14ac:dyDescent="0.2">
      <c r="A16" s="10">
        <v>1871</v>
      </c>
      <c r="B16" s="11" t="s">
        <v>220</v>
      </c>
      <c r="C16" s="105" t="s">
        <v>221</v>
      </c>
      <c r="D16" s="11" t="s">
        <v>218</v>
      </c>
      <c r="E16" s="12">
        <v>9891</v>
      </c>
      <c r="F16" s="202">
        <v>69</v>
      </c>
      <c r="G16" s="11">
        <v>35000</v>
      </c>
      <c r="H16" s="116">
        <v>0</v>
      </c>
      <c r="I16" s="192"/>
      <c r="J16" s="204"/>
      <c r="K16" s="193"/>
      <c r="L16" s="193"/>
      <c r="M16" s="193"/>
      <c r="N16" s="203">
        <f t="shared" si="0"/>
        <v>35000</v>
      </c>
      <c r="O16" s="203">
        <f t="shared" si="1"/>
        <v>35000</v>
      </c>
      <c r="P16" s="203">
        <f t="shared" si="2"/>
        <v>35000</v>
      </c>
      <c r="Q16" s="214"/>
      <c r="R16" s="219"/>
      <c r="S16" s="217">
        <v>46234</v>
      </c>
      <c r="T16" s="205"/>
      <c r="U16" s="205"/>
      <c r="V16" s="215"/>
      <c r="W16" s="212"/>
      <c r="X16" s="10">
        <v>7</v>
      </c>
      <c r="Y16" s="10">
        <v>7</v>
      </c>
      <c r="Z16" s="213">
        <f t="shared" si="3"/>
        <v>35000</v>
      </c>
      <c r="AA16" s="62"/>
      <c r="AB16" s="62"/>
      <c r="AC16" s="62"/>
      <c r="AD16" s="62"/>
      <c r="AE16" s="62"/>
      <c r="AF16" s="63"/>
      <c r="AG16" s="64"/>
      <c r="AH16" s="6">
        <v>1</v>
      </c>
      <c r="AI16">
        <f t="shared" si="4"/>
        <v>25</v>
      </c>
      <c r="AJ16">
        <f t="shared" si="5"/>
        <v>25</v>
      </c>
      <c r="AK16">
        <f t="shared" si="6"/>
        <v>0</v>
      </c>
      <c r="AL16">
        <f t="shared" si="7"/>
        <v>0</v>
      </c>
      <c r="AM16">
        <f t="shared" si="8"/>
        <v>0</v>
      </c>
      <c r="AN16">
        <f t="shared" si="9"/>
        <v>0</v>
      </c>
      <c r="AO16">
        <f t="shared" si="10"/>
        <v>0</v>
      </c>
      <c r="AP16">
        <f t="shared" si="11"/>
        <v>0</v>
      </c>
      <c r="AQ16">
        <f t="shared" si="12"/>
        <v>0</v>
      </c>
      <c r="AR16">
        <f t="shared" si="13"/>
        <v>0</v>
      </c>
      <c r="AS16">
        <f t="shared" si="14"/>
        <v>0</v>
      </c>
      <c r="AT16">
        <f t="shared" si="15"/>
        <v>0</v>
      </c>
      <c r="AU16">
        <f t="shared" si="16"/>
        <v>1</v>
      </c>
      <c r="AV16">
        <f t="shared" si="17"/>
        <v>1</v>
      </c>
      <c r="AW16">
        <f t="shared" si="18"/>
        <v>1</v>
      </c>
      <c r="AX16">
        <f t="shared" si="19"/>
        <v>1</v>
      </c>
      <c r="AY16">
        <f t="shared" si="20"/>
        <v>35000</v>
      </c>
      <c r="AZ16">
        <f t="shared" si="21"/>
        <v>35000</v>
      </c>
      <c r="BA16">
        <f t="shared" si="22"/>
        <v>0</v>
      </c>
      <c r="BB16">
        <f t="shared" si="23"/>
        <v>0</v>
      </c>
      <c r="BC16">
        <f t="shared" si="24"/>
        <v>0</v>
      </c>
      <c r="BD16">
        <f t="shared" si="25"/>
        <v>0</v>
      </c>
      <c r="BE16">
        <f t="shared" si="26"/>
        <v>0</v>
      </c>
      <c r="BF16">
        <f t="shared" si="27"/>
        <v>0</v>
      </c>
      <c r="BG16"/>
      <c r="BH16"/>
      <c r="BI16"/>
      <c r="BJ16"/>
      <c r="BK16"/>
      <c r="BL16"/>
      <c r="BM16"/>
      <c r="BN16"/>
      <c r="BO16"/>
      <c r="BP16"/>
      <c r="BQ16"/>
      <c r="BR16"/>
      <c r="BS16"/>
      <c r="BT16"/>
      <c r="BU16"/>
      <c r="BV16"/>
      <c r="BW16"/>
      <c r="BX16"/>
      <c r="BY16"/>
      <c r="BZ16"/>
      <c r="CA16"/>
      <c r="CB16"/>
      <c r="CC16"/>
      <c r="CD16"/>
      <c r="CE16"/>
      <c r="CF16"/>
      <c r="CG16"/>
      <c r="CH16"/>
      <c r="CI16"/>
      <c r="CJ16"/>
      <c r="CK16"/>
      <c r="CL16"/>
      <c r="CM16"/>
      <c r="CN16"/>
      <c r="CO16"/>
      <c r="CP16"/>
      <c r="CQ16"/>
      <c r="CR16"/>
      <c r="CS16"/>
      <c r="CT16"/>
      <c r="CU16"/>
      <c r="CV16"/>
      <c r="CW16"/>
      <c r="CX16"/>
      <c r="CY16"/>
      <c r="CZ16"/>
      <c r="DA16"/>
      <c r="DB16"/>
      <c r="DC16"/>
      <c r="DD16"/>
      <c r="DE16"/>
      <c r="DF16"/>
      <c r="DG16"/>
      <c r="DH16"/>
      <c r="DI16"/>
      <c r="DJ16"/>
      <c r="DK16"/>
      <c r="DL16"/>
      <c r="DM16"/>
      <c r="DN16"/>
      <c r="DO16"/>
      <c r="DP16"/>
      <c r="DQ16"/>
      <c r="DR16"/>
      <c r="DS16"/>
      <c r="DT16"/>
      <c r="DU16"/>
      <c r="DV16"/>
      <c r="DW16"/>
      <c r="DX16"/>
      <c r="DY16"/>
      <c r="DZ16"/>
      <c r="EA16"/>
      <c r="EB16"/>
      <c r="EC16"/>
      <c r="ED16"/>
      <c r="EE16"/>
      <c r="EF16"/>
      <c r="EG16"/>
      <c r="EH16"/>
      <c r="EI16"/>
      <c r="EJ16"/>
      <c r="EK16"/>
      <c r="EL16"/>
      <c r="EM16"/>
      <c r="EN16"/>
      <c r="EO16"/>
      <c r="EP16"/>
      <c r="EQ16"/>
      <c r="ER16"/>
      <c r="ES16"/>
      <c r="ET16"/>
      <c r="EU16"/>
      <c r="EV16"/>
      <c r="EW16"/>
      <c r="EX16"/>
      <c r="EY16"/>
      <c r="EZ16"/>
      <c r="FA16"/>
      <c r="FB16"/>
      <c r="FC16"/>
      <c r="FD16"/>
      <c r="FE16"/>
      <c r="FF16"/>
      <c r="FG16"/>
      <c r="FH16"/>
      <c r="FI16"/>
      <c r="FJ16"/>
      <c r="FK16"/>
      <c r="FL16"/>
      <c r="FM16"/>
      <c r="FN16"/>
      <c r="FO16"/>
      <c r="FP16"/>
      <c r="FQ16"/>
      <c r="FR16"/>
      <c r="FS16"/>
      <c r="FT16"/>
      <c r="FU16"/>
      <c r="FV16"/>
      <c r="FW16"/>
      <c r="FX16"/>
      <c r="FY16"/>
      <c r="FZ16"/>
      <c r="GA16"/>
      <c r="GB16"/>
      <c r="GC16"/>
      <c r="GD16"/>
      <c r="GE16"/>
      <c r="GF16"/>
      <c r="GG16"/>
      <c r="GH16"/>
      <c r="GI16"/>
      <c r="GJ16"/>
      <c r="GK16"/>
      <c r="GL16"/>
      <c r="GM16"/>
      <c r="GN16"/>
      <c r="GO16"/>
      <c r="GP16"/>
      <c r="GQ16"/>
      <c r="GR16"/>
      <c r="GS16"/>
      <c r="GT16"/>
      <c r="GU16"/>
      <c r="GV16"/>
      <c r="GW16"/>
      <c r="GX16"/>
      <c r="GY16"/>
      <c r="GZ16"/>
      <c r="HA16"/>
      <c r="HB16"/>
      <c r="HC16"/>
      <c r="HD16"/>
      <c r="HE16"/>
      <c r="HF16"/>
      <c r="HG16"/>
      <c r="HH16"/>
      <c r="HI16"/>
      <c r="HJ16"/>
      <c r="HK16"/>
      <c r="HL16"/>
      <c r="HM16"/>
      <c r="HN16"/>
      <c r="HO16"/>
      <c r="HP16"/>
      <c r="HQ16"/>
      <c r="HR16"/>
      <c r="HS16"/>
      <c r="HT16"/>
      <c r="HU16"/>
      <c r="HV16"/>
      <c r="HW16"/>
      <c r="HX16"/>
      <c r="HY16"/>
      <c r="HZ16"/>
      <c r="IA16"/>
      <c r="IB16"/>
      <c r="IC16"/>
      <c r="ID16"/>
      <c r="IE16"/>
      <c r="IF16"/>
      <c r="IG16"/>
      <c r="IH16"/>
      <c r="II16"/>
      <c r="IJ16"/>
      <c r="IK16"/>
      <c r="IL16"/>
      <c r="IM16"/>
      <c r="IN16"/>
      <c r="IO16"/>
      <c r="IP16"/>
      <c r="IQ16"/>
      <c r="IR16"/>
      <c r="IS16"/>
      <c r="IT16"/>
      <c r="IU16"/>
      <c r="IV16"/>
    </row>
    <row r="17" spans="1:256" s="201" customFormat="1" ht="14.25" x14ac:dyDescent="0.2">
      <c r="A17" s="10">
        <v>1900</v>
      </c>
      <c r="B17" s="11" t="s">
        <v>319</v>
      </c>
      <c r="C17" s="105" t="s">
        <v>320</v>
      </c>
      <c r="D17" s="11" t="s">
        <v>154</v>
      </c>
      <c r="E17" s="12">
        <v>10012</v>
      </c>
      <c r="F17" s="202">
        <v>69</v>
      </c>
      <c r="G17" s="11">
        <v>60000</v>
      </c>
      <c r="H17" s="116">
        <v>-60000</v>
      </c>
      <c r="I17" s="192"/>
      <c r="J17" s="204"/>
      <c r="K17" s="193"/>
      <c r="L17" s="193"/>
      <c r="M17" s="193"/>
      <c r="N17" s="203">
        <f t="shared" si="0"/>
        <v>60000</v>
      </c>
      <c r="O17" s="203">
        <f t="shared" si="1"/>
        <v>0</v>
      </c>
      <c r="P17" s="203">
        <f t="shared" si="2"/>
        <v>0</v>
      </c>
      <c r="Q17" s="214"/>
      <c r="R17" s="219"/>
      <c r="S17" s="217">
        <v>46234</v>
      </c>
      <c r="T17" s="205"/>
      <c r="U17" s="205"/>
      <c r="V17" s="215"/>
      <c r="W17" s="212"/>
      <c r="X17" s="10">
        <v>7</v>
      </c>
      <c r="Y17" s="10">
        <v>7</v>
      </c>
      <c r="Z17" s="213">
        <f t="shared" si="3"/>
        <v>60000</v>
      </c>
      <c r="AA17" s="62"/>
      <c r="AB17" s="62"/>
      <c r="AC17" s="62"/>
      <c r="AD17" s="62"/>
      <c r="AE17" s="62"/>
      <c r="AF17" s="63"/>
      <c r="AG17" s="64"/>
      <c r="AH17" s="6">
        <v>1</v>
      </c>
      <c r="AI17">
        <f t="shared" si="4"/>
        <v>25</v>
      </c>
      <c r="AJ17">
        <f t="shared" si="5"/>
        <v>15</v>
      </c>
      <c r="AK17">
        <f t="shared" si="6"/>
        <v>0</v>
      </c>
      <c r="AL17">
        <f t="shared" si="7"/>
        <v>0</v>
      </c>
      <c r="AM17">
        <f t="shared" si="8"/>
        <v>0</v>
      </c>
      <c r="AN17">
        <f t="shared" si="9"/>
        <v>0</v>
      </c>
      <c r="AO17">
        <f t="shared" si="10"/>
        <v>0</v>
      </c>
      <c r="AP17">
        <f t="shared" si="11"/>
        <v>0</v>
      </c>
      <c r="AQ17">
        <f t="shared" si="12"/>
        <v>0</v>
      </c>
      <c r="AR17">
        <f t="shared" si="13"/>
        <v>0</v>
      </c>
      <c r="AS17">
        <f t="shared" si="14"/>
        <v>0</v>
      </c>
      <c r="AT17">
        <f t="shared" si="15"/>
        <v>0</v>
      </c>
      <c r="AU17">
        <f t="shared" si="16"/>
        <v>0</v>
      </c>
      <c r="AV17">
        <f t="shared" si="17"/>
        <v>0</v>
      </c>
      <c r="AW17">
        <f t="shared" si="18"/>
        <v>0</v>
      </c>
      <c r="AX17">
        <f t="shared" si="19"/>
        <v>0</v>
      </c>
      <c r="AY17">
        <f t="shared" si="20"/>
        <v>0</v>
      </c>
      <c r="AZ17">
        <f t="shared" si="21"/>
        <v>0</v>
      </c>
      <c r="BA17">
        <f t="shared" si="22"/>
        <v>0</v>
      </c>
      <c r="BB17">
        <f t="shared" si="23"/>
        <v>0</v>
      </c>
      <c r="BC17">
        <f t="shared" si="24"/>
        <v>0</v>
      </c>
      <c r="BD17">
        <f t="shared" si="25"/>
        <v>0</v>
      </c>
      <c r="BE17">
        <f t="shared" si="26"/>
        <v>0</v>
      </c>
      <c r="BF17">
        <f t="shared" si="27"/>
        <v>0</v>
      </c>
      <c r="BG17"/>
      <c r="BH17"/>
      <c r="BI17"/>
      <c r="BJ17"/>
      <c r="BK17"/>
      <c r="BL17"/>
      <c r="BM17"/>
      <c r="BN17"/>
      <c r="BO17"/>
      <c r="BP17"/>
      <c r="BQ17"/>
      <c r="BR17"/>
      <c r="BS17"/>
      <c r="BT17"/>
      <c r="BU17"/>
      <c r="BV17"/>
      <c r="BW17"/>
      <c r="BX17"/>
      <c r="BY17"/>
      <c r="BZ17"/>
      <c r="CA17"/>
      <c r="CB17"/>
      <c r="CC17"/>
      <c r="CD17"/>
      <c r="CE17"/>
      <c r="CF17"/>
      <c r="CG17"/>
      <c r="CH17"/>
      <c r="CI17"/>
      <c r="CJ17"/>
      <c r="CK17"/>
      <c r="CL17"/>
      <c r="CM17"/>
      <c r="CN17"/>
      <c r="CO17"/>
      <c r="CP17"/>
      <c r="CQ17"/>
      <c r="CR17"/>
      <c r="CS17"/>
      <c r="CT17"/>
      <c r="CU17"/>
      <c r="CV17"/>
      <c r="CW17"/>
      <c r="CX17"/>
      <c r="CY17"/>
      <c r="CZ17"/>
      <c r="DA17"/>
      <c r="DB17"/>
      <c r="DC17"/>
      <c r="DD17"/>
      <c r="DE17"/>
      <c r="DF17"/>
      <c r="DG17"/>
      <c r="DH17"/>
      <c r="DI17"/>
      <c r="DJ17"/>
      <c r="DK17"/>
      <c r="DL17"/>
      <c r="DM17"/>
      <c r="DN17"/>
      <c r="DO17"/>
      <c r="DP17"/>
      <c r="DQ17"/>
      <c r="DR17"/>
      <c r="DS17"/>
      <c r="DT17"/>
      <c r="DU17"/>
      <c r="DV17"/>
      <c r="DW17"/>
      <c r="DX17"/>
      <c r="DY17"/>
      <c r="DZ17"/>
      <c r="EA17"/>
      <c r="EB17"/>
      <c r="EC17"/>
      <c r="ED17"/>
      <c r="EE17"/>
      <c r="EF17"/>
      <c r="EG17"/>
      <c r="EH17"/>
      <c r="EI17"/>
      <c r="EJ17"/>
      <c r="EK17"/>
      <c r="EL17"/>
      <c r="EM17"/>
      <c r="EN17"/>
      <c r="EO17"/>
      <c r="EP17"/>
      <c r="EQ17"/>
      <c r="ER17"/>
      <c r="ES17"/>
      <c r="ET17"/>
      <c r="EU17"/>
      <c r="EV17"/>
      <c r="EW17"/>
      <c r="EX17"/>
      <c r="EY17"/>
      <c r="EZ17"/>
      <c r="FA17"/>
      <c r="FB17"/>
      <c r="FC17"/>
      <c r="FD17"/>
      <c r="FE17"/>
      <c r="FF17"/>
      <c r="FG17"/>
      <c r="FH17"/>
      <c r="FI17"/>
      <c r="FJ17"/>
      <c r="FK17"/>
      <c r="FL17"/>
      <c r="FM17"/>
      <c r="FN17"/>
      <c r="FO17"/>
      <c r="FP17"/>
      <c r="FQ17"/>
      <c r="FR17"/>
      <c r="FS17"/>
      <c r="FT17"/>
      <c r="FU17"/>
      <c r="FV17"/>
      <c r="FW17"/>
      <c r="FX17"/>
      <c r="FY17"/>
      <c r="FZ17"/>
      <c r="GA17"/>
      <c r="GB17"/>
      <c r="GC17"/>
      <c r="GD17"/>
      <c r="GE17"/>
      <c r="GF17"/>
      <c r="GG17"/>
      <c r="GH17"/>
      <c r="GI17"/>
      <c r="GJ17"/>
      <c r="GK17"/>
      <c r="GL17"/>
      <c r="GM17"/>
      <c r="GN17"/>
      <c r="GO17"/>
      <c r="GP17"/>
      <c r="GQ17"/>
      <c r="GR17"/>
      <c r="GS17"/>
      <c r="GT17"/>
      <c r="GU17"/>
      <c r="GV17"/>
      <c r="GW17"/>
      <c r="GX17"/>
      <c r="GY17"/>
      <c r="GZ17"/>
      <c r="HA17"/>
      <c r="HB17"/>
      <c r="HC17"/>
      <c r="HD17"/>
      <c r="HE17"/>
      <c r="HF17"/>
      <c r="HG17"/>
      <c r="HH17"/>
      <c r="HI17"/>
      <c r="HJ17"/>
      <c r="HK17"/>
      <c r="HL17"/>
      <c r="HM17"/>
      <c r="HN17"/>
      <c r="HO17"/>
      <c r="HP17"/>
      <c r="HQ17"/>
      <c r="HR17"/>
      <c r="HS17"/>
      <c r="HT17"/>
      <c r="HU17"/>
      <c r="HV17"/>
      <c r="HW17"/>
      <c r="HX17"/>
      <c r="HY17"/>
      <c r="HZ17"/>
      <c r="IA17"/>
      <c r="IB17"/>
      <c r="IC17"/>
      <c r="ID17"/>
      <c r="IE17"/>
      <c r="IF17"/>
      <c r="IG17"/>
      <c r="IH17"/>
      <c r="II17"/>
      <c r="IJ17"/>
      <c r="IK17"/>
      <c r="IL17"/>
      <c r="IM17"/>
      <c r="IN17"/>
      <c r="IO17"/>
      <c r="IP17"/>
      <c r="IQ17"/>
      <c r="IR17"/>
      <c r="IS17"/>
      <c r="IT17"/>
      <c r="IU17"/>
      <c r="IV17"/>
    </row>
    <row r="18" spans="1:256" s="201" customFormat="1" ht="14.25" x14ac:dyDescent="0.2">
      <c r="A18" s="10">
        <v>1954</v>
      </c>
      <c r="B18" s="11" t="s">
        <v>185</v>
      </c>
      <c r="C18" s="105" t="s">
        <v>186</v>
      </c>
      <c r="D18" s="11" t="s">
        <v>187</v>
      </c>
      <c r="E18" s="12">
        <v>10045</v>
      </c>
      <c r="F18" s="202">
        <v>67</v>
      </c>
      <c r="G18" s="11">
        <v>50000</v>
      </c>
      <c r="H18" s="116">
        <v>-30000</v>
      </c>
      <c r="I18" s="192"/>
      <c r="J18" s="204"/>
      <c r="K18" s="193"/>
      <c r="L18" s="193"/>
      <c r="M18" s="193"/>
      <c r="N18" s="203">
        <f t="shared" si="0"/>
        <v>50000</v>
      </c>
      <c r="O18" s="203">
        <f t="shared" si="1"/>
        <v>20000</v>
      </c>
      <c r="P18" s="203">
        <f t="shared" si="2"/>
        <v>20000</v>
      </c>
      <c r="Q18" s="214"/>
      <c r="R18" s="219"/>
      <c r="S18" s="217">
        <v>46204</v>
      </c>
      <c r="T18" s="205"/>
      <c r="U18" s="205"/>
      <c r="V18" s="215"/>
      <c r="W18" s="212"/>
      <c r="X18" s="10">
        <v>7</v>
      </c>
      <c r="Y18" s="10">
        <v>7</v>
      </c>
      <c r="Z18" s="213">
        <f t="shared" si="3"/>
        <v>50000</v>
      </c>
      <c r="AA18" s="62"/>
      <c r="AB18" s="62"/>
      <c r="AC18" s="62"/>
      <c r="AD18" s="62"/>
      <c r="AE18" s="62"/>
      <c r="AF18" s="63"/>
      <c r="AG18" s="64"/>
      <c r="AH18" s="6">
        <v>1</v>
      </c>
      <c r="AI18">
        <f t="shared" si="4"/>
        <v>25</v>
      </c>
      <c r="AJ18">
        <f t="shared" si="5"/>
        <v>25</v>
      </c>
      <c r="AK18">
        <f t="shared" si="6"/>
        <v>0</v>
      </c>
      <c r="AL18">
        <f t="shared" si="7"/>
        <v>0</v>
      </c>
      <c r="AM18">
        <f t="shared" si="8"/>
        <v>0</v>
      </c>
      <c r="AN18">
        <f t="shared" si="9"/>
        <v>0</v>
      </c>
      <c r="AO18">
        <f t="shared" si="10"/>
        <v>0</v>
      </c>
      <c r="AP18">
        <f t="shared" si="11"/>
        <v>0</v>
      </c>
      <c r="AQ18">
        <f t="shared" si="12"/>
        <v>0</v>
      </c>
      <c r="AR18">
        <f t="shared" si="13"/>
        <v>0</v>
      </c>
      <c r="AS18">
        <f t="shared" si="14"/>
        <v>0</v>
      </c>
      <c r="AT18">
        <f t="shared" si="15"/>
        <v>0</v>
      </c>
      <c r="AU18">
        <f t="shared" si="16"/>
        <v>1</v>
      </c>
      <c r="AV18">
        <f t="shared" si="17"/>
        <v>1</v>
      </c>
      <c r="AW18">
        <f t="shared" si="18"/>
        <v>1</v>
      </c>
      <c r="AX18">
        <f t="shared" si="19"/>
        <v>1</v>
      </c>
      <c r="AY18">
        <f t="shared" si="20"/>
        <v>20000</v>
      </c>
      <c r="AZ18">
        <f t="shared" si="21"/>
        <v>20000</v>
      </c>
      <c r="BA18">
        <f t="shared" si="22"/>
        <v>0</v>
      </c>
      <c r="BB18">
        <f t="shared" si="23"/>
        <v>0</v>
      </c>
      <c r="BC18">
        <f t="shared" si="24"/>
        <v>0</v>
      </c>
      <c r="BD18">
        <f t="shared" si="25"/>
        <v>0</v>
      </c>
      <c r="BE18">
        <f t="shared" si="26"/>
        <v>0</v>
      </c>
      <c r="BF18">
        <f t="shared" si="27"/>
        <v>0</v>
      </c>
      <c r="BG18"/>
      <c r="BH18"/>
      <c r="BI18"/>
      <c r="BJ18"/>
      <c r="BK18"/>
      <c r="BL18"/>
      <c r="BM18"/>
      <c r="BN18"/>
      <c r="BO18"/>
      <c r="BP18"/>
      <c r="BQ18"/>
      <c r="BR18"/>
      <c r="BS18"/>
      <c r="BT18"/>
      <c r="BU18"/>
      <c r="BV18"/>
      <c r="BW18"/>
      <c r="BX18"/>
      <c r="BY18"/>
      <c r="BZ18"/>
      <c r="CA18"/>
      <c r="CB18"/>
      <c r="CC18"/>
      <c r="CD18"/>
      <c r="CE18"/>
      <c r="CF18"/>
      <c r="CG18"/>
      <c r="CH18"/>
      <c r="CI18"/>
      <c r="CJ18"/>
      <c r="CK18"/>
      <c r="CL18"/>
      <c r="CM18"/>
      <c r="CN18"/>
      <c r="CO18"/>
      <c r="CP18"/>
      <c r="CQ18"/>
      <c r="CR18"/>
      <c r="CS18"/>
      <c r="CT18"/>
      <c r="CU18"/>
      <c r="CV18"/>
      <c r="CW18"/>
      <c r="CX18"/>
      <c r="CY18"/>
      <c r="CZ18"/>
      <c r="DA18"/>
      <c r="DB18"/>
      <c r="DC18"/>
      <c r="DD18"/>
      <c r="DE18"/>
      <c r="DF18"/>
      <c r="DG18"/>
      <c r="DH18"/>
      <c r="DI18"/>
      <c r="DJ18"/>
      <c r="DK18"/>
      <c r="DL18"/>
      <c r="DM18"/>
      <c r="DN18"/>
      <c r="DO18"/>
      <c r="DP18"/>
      <c r="DQ18"/>
      <c r="DR18"/>
      <c r="DS18"/>
      <c r="DT18"/>
      <c r="DU18"/>
      <c r="DV18"/>
      <c r="DW18"/>
      <c r="DX18"/>
      <c r="DY18"/>
      <c r="DZ18"/>
      <c r="EA18"/>
      <c r="EB18"/>
      <c r="EC18"/>
      <c r="ED18"/>
      <c r="EE18"/>
      <c r="EF18"/>
      <c r="EG18"/>
      <c r="EH18"/>
      <c r="EI18"/>
      <c r="EJ18"/>
      <c r="EK18"/>
      <c r="EL18"/>
      <c r="EM18"/>
      <c r="EN18"/>
      <c r="EO18"/>
      <c r="EP18"/>
      <c r="EQ18"/>
      <c r="ER18"/>
      <c r="ES18"/>
      <c r="ET18"/>
      <c r="EU18"/>
      <c r="EV18"/>
      <c r="EW18"/>
      <c r="EX18"/>
      <c r="EY18"/>
      <c r="EZ18"/>
      <c r="FA18"/>
      <c r="FB18"/>
      <c r="FC18"/>
      <c r="FD18"/>
      <c r="FE18"/>
      <c r="FF18"/>
      <c r="FG18"/>
      <c r="FH18"/>
      <c r="FI18"/>
      <c r="FJ18"/>
      <c r="FK18"/>
      <c r="FL18"/>
      <c r="FM18"/>
      <c r="FN18"/>
      <c r="FO18"/>
      <c r="FP18"/>
      <c r="FQ18"/>
      <c r="FR18"/>
      <c r="FS18"/>
      <c r="FT18"/>
      <c r="FU18"/>
      <c r="FV18"/>
      <c r="FW18"/>
      <c r="FX18"/>
      <c r="FY18"/>
      <c r="FZ18"/>
      <c r="GA18"/>
      <c r="GB18"/>
      <c r="GC18"/>
      <c r="GD18"/>
      <c r="GE18"/>
      <c r="GF18"/>
      <c r="GG18"/>
      <c r="GH18"/>
      <c r="GI18"/>
      <c r="GJ18"/>
      <c r="GK18"/>
      <c r="GL18"/>
      <c r="GM18"/>
      <c r="GN18"/>
      <c r="GO18"/>
      <c r="GP18"/>
      <c r="GQ18"/>
      <c r="GR18"/>
      <c r="GS18"/>
      <c r="GT18"/>
      <c r="GU18"/>
      <c r="GV18"/>
      <c r="GW18"/>
      <c r="GX18"/>
      <c r="GY18"/>
      <c r="GZ18"/>
      <c r="HA18"/>
      <c r="HB18"/>
      <c r="HC18"/>
      <c r="HD18"/>
      <c r="HE18"/>
      <c r="HF18"/>
      <c r="HG18"/>
      <c r="HH18"/>
      <c r="HI18"/>
      <c r="HJ18"/>
      <c r="HK18"/>
      <c r="HL18"/>
      <c r="HM18"/>
      <c r="HN18"/>
      <c r="HO18"/>
      <c r="HP18"/>
      <c r="HQ18"/>
      <c r="HR18"/>
      <c r="HS18"/>
      <c r="HT18"/>
      <c r="HU18"/>
      <c r="HV18"/>
      <c r="HW18"/>
      <c r="HX18"/>
      <c r="HY18"/>
      <c r="HZ18"/>
      <c r="IA18"/>
      <c r="IB18"/>
      <c r="IC18"/>
      <c r="ID18"/>
      <c r="IE18"/>
      <c r="IF18"/>
      <c r="IG18"/>
      <c r="IH18"/>
      <c r="II18"/>
      <c r="IJ18"/>
      <c r="IK18"/>
      <c r="IL18"/>
      <c r="IM18"/>
      <c r="IN18"/>
      <c r="IO18"/>
      <c r="IP18"/>
      <c r="IQ18"/>
      <c r="IR18"/>
      <c r="IS18"/>
      <c r="IT18"/>
      <c r="IU18"/>
      <c r="IV18"/>
    </row>
    <row r="19" spans="1:256" s="201" customFormat="1" ht="14.25" x14ac:dyDescent="0.2">
      <c r="A19" s="10">
        <v>1999</v>
      </c>
      <c r="B19" s="11" t="s">
        <v>321</v>
      </c>
      <c r="C19" s="105" t="s">
        <v>322</v>
      </c>
      <c r="D19" s="11" t="s">
        <v>106</v>
      </c>
      <c r="E19" s="12">
        <v>10192</v>
      </c>
      <c r="F19" s="202">
        <v>66</v>
      </c>
      <c r="G19" s="11">
        <v>60000</v>
      </c>
      <c r="H19" s="116">
        <v>-75000</v>
      </c>
      <c r="I19" s="192"/>
      <c r="J19" s="204"/>
      <c r="K19" s="193"/>
      <c r="L19" s="193"/>
      <c r="M19" s="193"/>
      <c r="N19" s="203">
        <f t="shared" si="0"/>
        <v>60000</v>
      </c>
      <c r="O19" s="203">
        <f t="shared" si="1"/>
        <v>-15000</v>
      </c>
      <c r="P19" s="203">
        <f t="shared" si="2"/>
        <v>0</v>
      </c>
      <c r="Q19" s="214"/>
      <c r="R19" s="219"/>
      <c r="S19" s="217">
        <v>46213</v>
      </c>
      <c r="T19" s="205"/>
      <c r="U19" s="205"/>
      <c r="V19" s="215"/>
      <c r="W19" s="212"/>
      <c r="X19" s="10">
        <v>7</v>
      </c>
      <c r="Y19" s="10">
        <v>7</v>
      </c>
      <c r="Z19" s="213">
        <f t="shared" si="3"/>
        <v>60000</v>
      </c>
      <c r="AA19" s="62"/>
      <c r="AB19" s="62"/>
      <c r="AC19" s="62"/>
      <c r="AD19" s="62"/>
      <c r="AE19" s="62"/>
      <c r="AF19" s="63"/>
      <c r="AG19" s="64"/>
      <c r="AH19" s="6">
        <v>1</v>
      </c>
      <c r="AI19">
        <f t="shared" si="4"/>
        <v>25</v>
      </c>
      <c r="AJ19">
        <f t="shared" si="5"/>
        <v>25</v>
      </c>
      <c r="AK19">
        <f t="shared" si="6"/>
        <v>0</v>
      </c>
      <c r="AL19">
        <f t="shared" si="7"/>
        <v>0</v>
      </c>
      <c r="AM19">
        <f t="shared" si="8"/>
        <v>0</v>
      </c>
      <c r="AN19">
        <f t="shared" si="9"/>
        <v>0</v>
      </c>
      <c r="AO19">
        <f t="shared" si="10"/>
        <v>0</v>
      </c>
      <c r="AP19">
        <f t="shared" si="11"/>
        <v>0</v>
      </c>
      <c r="AQ19">
        <f t="shared" si="12"/>
        <v>0</v>
      </c>
      <c r="AR19">
        <f t="shared" si="13"/>
        <v>0</v>
      </c>
      <c r="AS19">
        <f t="shared" si="14"/>
        <v>0</v>
      </c>
      <c r="AT19">
        <f t="shared" si="15"/>
        <v>0</v>
      </c>
      <c r="AU19">
        <f t="shared" si="16"/>
        <v>0</v>
      </c>
      <c r="AV19">
        <f t="shared" si="17"/>
        <v>0</v>
      </c>
      <c r="AW19">
        <f t="shared" si="18"/>
        <v>0</v>
      </c>
      <c r="AX19">
        <f t="shared" si="19"/>
        <v>0</v>
      </c>
      <c r="AY19">
        <f t="shared" si="20"/>
        <v>0</v>
      </c>
      <c r="AZ19">
        <f t="shared" si="21"/>
        <v>0</v>
      </c>
      <c r="BA19">
        <f t="shared" si="22"/>
        <v>0</v>
      </c>
      <c r="BB19">
        <f t="shared" si="23"/>
        <v>0</v>
      </c>
      <c r="BC19">
        <f t="shared" si="24"/>
        <v>0</v>
      </c>
      <c r="BD19">
        <f t="shared" si="25"/>
        <v>0</v>
      </c>
      <c r="BE19">
        <f t="shared" si="26"/>
        <v>0</v>
      </c>
      <c r="BF19">
        <f t="shared" si="27"/>
        <v>0</v>
      </c>
      <c r="BG19"/>
      <c r="BH19"/>
      <c r="BI19"/>
      <c r="BJ19"/>
      <c r="BK19"/>
      <c r="BL19"/>
      <c r="BM19"/>
      <c r="BN19"/>
      <c r="BO19"/>
      <c r="BP19"/>
      <c r="BQ19"/>
      <c r="BR19"/>
      <c r="BS19"/>
      <c r="BT19"/>
      <c r="BU19"/>
      <c r="BV19"/>
      <c r="BW19"/>
      <c r="BX19"/>
      <c r="BY19"/>
      <c r="BZ19"/>
      <c r="CA19"/>
      <c r="CB19"/>
      <c r="CC19"/>
      <c r="CD19"/>
      <c r="CE19"/>
      <c r="CF19"/>
      <c r="CG19"/>
      <c r="CH19"/>
      <c r="CI19"/>
      <c r="CJ19"/>
      <c r="CK19"/>
      <c r="CL19"/>
      <c r="CM19"/>
      <c r="CN19"/>
      <c r="CO19"/>
      <c r="CP19"/>
      <c r="CQ19"/>
      <c r="CR19"/>
      <c r="CS19"/>
      <c r="CT19"/>
      <c r="CU19"/>
      <c r="CV19"/>
      <c r="CW19"/>
      <c r="CX19"/>
      <c r="CY19"/>
      <c r="CZ19"/>
      <c r="DA19"/>
      <c r="DB19"/>
      <c r="DC19"/>
      <c r="DD19"/>
      <c r="DE19"/>
      <c r="DF19"/>
      <c r="DG19"/>
      <c r="DH19"/>
      <c r="DI19"/>
      <c r="DJ19"/>
      <c r="DK19"/>
      <c r="DL19"/>
      <c r="DM19"/>
      <c r="DN19"/>
      <c r="DO19"/>
      <c r="DP19"/>
      <c r="DQ19"/>
      <c r="DR19"/>
      <c r="DS19"/>
      <c r="DT19"/>
      <c r="DU19"/>
      <c r="DV19"/>
      <c r="DW19"/>
      <c r="DX19"/>
      <c r="DY19"/>
      <c r="DZ19"/>
      <c r="EA19"/>
      <c r="EB19"/>
      <c r="EC19"/>
      <c r="ED19"/>
      <c r="EE19"/>
      <c r="EF19"/>
      <c r="EG19"/>
      <c r="EH19"/>
      <c r="EI19"/>
      <c r="EJ19"/>
      <c r="EK19"/>
      <c r="EL19"/>
      <c r="EM19"/>
      <c r="EN19"/>
      <c r="EO19"/>
      <c r="EP19"/>
      <c r="EQ19"/>
      <c r="ER19"/>
      <c r="ES19"/>
      <c r="ET19"/>
      <c r="EU19"/>
      <c r="EV19"/>
      <c r="EW19"/>
      <c r="EX19"/>
      <c r="EY19"/>
      <c r="EZ19"/>
      <c r="FA19"/>
      <c r="FB19"/>
      <c r="FC19"/>
      <c r="FD19"/>
      <c r="FE19"/>
      <c r="FF19"/>
      <c r="FG19"/>
      <c r="FH19"/>
      <c r="FI19"/>
      <c r="FJ19"/>
      <c r="FK19"/>
      <c r="FL19"/>
      <c r="FM19"/>
      <c r="FN19"/>
      <c r="FO19"/>
      <c r="FP19"/>
      <c r="FQ19"/>
      <c r="FR19"/>
      <c r="FS19"/>
      <c r="FT19"/>
      <c r="FU19"/>
      <c r="FV19"/>
      <c r="FW19"/>
      <c r="FX19"/>
      <c r="FY19"/>
      <c r="FZ19"/>
      <c r="GA19"/>
      <c r="GB19"/>
      <c r="GC19"/>
      <c r="GD19"/>
      <c r="GE19"/>
      <c r="GF19"/>
      <c r="GG19"/>
      <c r="GH19"/>
      <c r="GI19"/>
      <c r="GJ19"/>
      <c r="GK19"/>
      <c r="GL19"/>
      <c r="GM19"/>
      <c r="GN19"/>
      <c r="GO19"/>
      <c r="GP19"/>
      <c r="GQ19"/>
      <c r="GR19"/>
      <c r="GS19"/>
      <c r="GT19"/>
      <c r="GU19"/>
      <c r="GV19"/>
      <c r="GW19"/>
      <c r="GX19"/>
      <c r="GY19"/>
      <c r="GZ19"/>
      <c r="HA19"/>
      <c r="HB19"/>
      <c r="HC19"/>
      <c r="HD19"/>
      <c r="HE19"/>
      <c r="HF19"/>
      <c r="HG19"/>
      <c r="HH19"/>
      <c r="HI19"/>
      <c r="HJ19"/>
      <c r="HK19"/>
      <c r="HL19"/>
      <c r="HM19"/>
      <c r="HN19"/>
      <c r="HO19"/>
      <c r="HP19"/>
      <c r="HQ19"/>
      <c r="HR19"/>
      <c r="HS19"/>
      <c r="HT19"/>
      <c r="HU19"/>
      <c r="HV19"/>
      <c r="HW19"/>
      <c r="HX19"/>
      <c r="HY19"/>
      <c r="HZ19"/>
      <c r="IA19"/>
      <c r="IB19"/>
      <c r="IC19"/>
      <c r="ID19"/>
      <c r="IE19"/>
      <c r="IF19"/>
      <c r="IG19"/>
      <c r="IH19"/>
      <c r="II19"/>
      <c r="IJ19"/>
      <c r="IK19"/>
      <c r="IL19"/>
      <c r="IM19"/>
      <c r="IN19"/>
      <c r="IO19"/>
      <c r="IP19"/>
      <c r="IQ19"/>
      <c r="IR19"/>
      <c r="IS19"/>
      <c r="IT19"/>
      <c r="IU19"/>
      <c r="IV19"/>
    </row>
    <row r="20" spans="1:256" s="201" customFormat="1" ht="14.25" x14ac:dyDescent="0.2">
      <c r="A20" s="10">
        <v>2010</v>
      </c>
      <c r="B20" s="11" t="s">
        <v>211</v>
      </c>
      <c r="C20" s="105" t="s">
        <v>212</v>
      </c>
      <c r="D20" s="11" t="s">
        <v>170</v>
      </c>
      <c r="E20" s="12">
        <v>10206</v>
      </c>
      <c r="F20" s="202">
        <v>66</v>
      </c>
      <c r="G20" s="11">
        <v>30000</v>
      </c>
      <c r="H20" s="116">
        <v>-28000</v>
      </c>
      <c r="I20" s="192"/>
      <c r="J20" s="204"/>
      <c r="K20" s="193"/>
      <c r="L20" s="193"/>
      <c r="M20" s="193"/>
      <c r="N20" s="203">
        <f t="shared" si="0"/>
        <v>30000</v>
      </c>
      <c r="O20" s="203">
        <f t="shared" si="1"/>
        <v>2000</v>
      </c>
      <c r="P20" s="203">
        <f t="shared" si="2"/>
        <v>2000</v>
      </c>
      <c r="Q20" s="214"/>
      <c r="R20" s="219"/>
      <c r="S20" s="217">
        <v>46234</v>
      </c>
      <c r="T20" s="205"/>
      <c r="U20" s="205"/>
      <c r="V20" s="215"/>
      <c r="W20" s="212"/>
      <c r="X20" s="10">
        <v>7</v>
      </c>
      <c r="Y20" s="10">
        <v>7</v>
      </c>
      <c r="Z20" s="213">
        <f t="shared" si="3"/>
        <v>30000</v>
      </c>
      <c r="AA20" s="62"/>
      <c r="AB20" s="62"/>
      <c r="AC20" s="62"/>
      <c r="AD20" s="62"/>
      <c r="AE20" s="62"/>
      <c r="AF20" s="63"/>
      <c r="AG20" s="64"/>
      <c r="AH20" s="6">
        <v>1</v>
      </c>
      <c r="AI20">
        <f t="shared" si="4"/>
        <v>25</v>
      </c>
      <c r="AJ20">
        <f t="shared" si="5"/>
        <v>25</v>
      </c>
      <c r="AK20">
        <f t="shared" si="6"/>
        <v>0</v>
      </c>
      <c r="AL20">
        <f t="shared" si="7"/>
        <v>0</v>
      </c>
      <c r="AM20">
        <f t="shared" si="8"/>
        <v>0</v>
      </c>
      <c r="AN20">
        <f t="shared" si="9"/>
        <v>0</v>
      </c>
      <c r="AO20">
        <f t="shared" si="10"/>
        <v>0</v>
      </c>
      <c r="AP20">
        <f t="shared" si="11"/>
        <v>0</v>
      </c>
      <c r="AQ20">
        <f t="shared" si="12"/>
        <v>0</v>
      </c>
      <c r="AR20">
        <f t="shared" si="13"/>
        <v>0</v>
      </c>
      <c r="AS20">
        <f t="shared" si="14"/>
        <v>0</v>
      </c>
      <c r="AT20">
        <f t="shared" si="15"/>
        <v>0</v>
      </c>
      <c r="AU20">
        <f t="shared" si="16"/>
        <v>1</v>
      </c>
      <c r="AV20">
        <f t="shared" si="17"/>
        <v>1</v>
      </c>
      <c r="AW20">
        <f t="shared" si="18"/>
        <v>1</v>
      </c>
      <c r="AX20">
        <f t="shared" si="19"/>
        <v>1</v>
      </c>
      <c r="AY20">
        <f t="shared" si="20"/>
        <v>2000</v>
      </c>
      <c r="AZ20">
        <f t="shared" si="21"/>
        <v>2000</v>
      </c>
      <c r="BA20">
        <f t="shared" si="22"/>
        <v>0</v>
      </c>
      <c r="BB20">
        <f t="shared" si="23"/>
        <v>0</v>
      </c>
      <c r="BC20">
        <f t="shared" si="24"/>
        <v>0</v>
      </c>
      <c r="BD20">
        <f t="shared" si="25"/>
        <v>0</v>
      </c>
      <c r="BE20">
        <f t="shared" si="26"/>
        <v>0</v>
      </c>
      <c r="BF20">
        <f t="shared" si="27"/>
        <v>0</v>
      </c>
      <c r="BG20"/>
      <c r="BH20"/>
      <c r="BI20"/>
      <c r="BJ20"/>
      <c r="BK20"/>
      <c r="BL20"/>
      <c r="BM20"/>
      <c r="BN20"/>
      <c r="BO20"/>
      <c r="BP20"/>
      <c r="BQ20"/>
      <c r="BR20"/>
      <c r="BS20"/>
      <c r="BT20"/>
      <c r="BU20"/>
      <c r="BV20"/>
      <c r="BW20"/>
      <c r="BX20"/>
      <c r="BY20"/>
      <c r="BZ20"/>
      <c r="CA20"/>
      <c r="CB20"/>
      <c r="CC20"/>
      <c r="CD20"/>
      <c r="CE20"/>
      <c r="CF20"/>
      <c r="CG20"/>
      <c r="CH20"/>
      <c r="CI20"/>
      <c r="CJ20"/>
      <c r="CK20"/>
      <c r="CL20"/>
      <c r="CM20"/>
      <c r="CN20"/>
      <c r="CO20"/>
      <c r="CP20"/>
      <c r="CQ20"/>
      <c r="CR20"/>
      <c r="CS20"/>
      <c r="CT20"/>
      <c r="CU20"/>
      <c r="CV20"/>
      <c r="CW20"/>
      <c r="CX20"/>
      <c r="CY20"/>
      <c r="CZ20"/>
      <c r="DA20"/>
      <c r="DB20"/>
      <c r="DC20"/>
      <c r="DD20"/>
      <c r="DE20"/>
      <c r="DF20"/>
      <c r="DG20"/>
      <c r="DH20"/>
      <c r="DI20"/>
      <c r="DJ20"/>
      <c r="DK20"/>
      <c r="DL20"/>
      <c r="DM20"/>
      <c r="DN20"/>
      <c r="DO20"/>
      <c r="DP20"/>
      <c r="DQ20"/>
      <c r="DR20"/>
      <c r="DS20"/>
      <c r="DT20"/>
      <c r="DU20"/>
      <c r="DV20"/>
      <c r="DW20"/>
      <c r="DX20"/>
      <c r="DY20"/>
      <c r="DZ20"/>
      <c r="EA20"/>
      <c r="EB20"/>
      <c r="EC20"/>
      <c r="ED20"/>
      <c r="EE20"/>
      <c r="EF20"/>
      <c r="EG20"/>
      <c r="EH20"/>
      <c r="EI20"/>
      <c r="EJ20"/>
      <c r="EK20"/>
      <c r="EL20"/>
      <c r="EM20"/>
      <c r="EN20"/>
      <c r="EO20"/>
      <c r="EP20"/>
      <c r="EQ20"/>
      <c r="ER20"/>
      <c r="ES20"/>
      <c r="ET20"/>
      <c r="EU20"/>
      <c r="EV20"/>
      <c r="EW20"/>
      <c r="EX20"/>
      <c r="EY20"/>
      <c r="EZ20"/>
      <c r="FA20"/>
      <c r="FB20"/>
      <c r="FC20"/>
      <c r="FD20"/>
      <c r="FE20"/>
      <c r="FF20"/>
      <c r="FG20"/>
      <c r="FH20"/>
      <c r="FI20"/>
      <c r="FJ20"/>
      <c r="FK20"/>
      <c r="FL20"/>
      <c r="FM20"/>
      <c r="FN20"/>
      <c r="FO20"/>
      <c r="FP20"/>
      <c r="FQ20"/>
      <c r="FR20"/>
      <c r="FS20"/>
      <c r="FT20"/>
      <c r="FU20"/>
      <c r="FV20"/>
      <c r="FW20"/>
      <c r="FX20"/>
      <c r="FY20"/>
      <c r="FZ20"/>
      <c r="GA20"/>
      <c r="GB20"/>
      <c r="GC20"/>
      <c r="GD20"/>
      <c r="GE20"/>
      <c r="GF20"/>
      <c r="GG20"/>
      <c r="GH20"/>
      <c r="GI20"/>
      <c r="GJ20"/>
      <c r="GK20"/>
      <c r="GL20"/>
      <c r="GM20"/>
      <c r="GN20"/>
      <c r="GO20"/>
      <c r="GP20"/>
      <c r="GQ20"/>
      <c r="GR20"/>
      <c r="GS20"/>
      <c r="GT20"/>
      <c r="GU20"/>
      <c r="GV20"/>
      <c r="GW20"/>
      <c r="GX20"/>
      <c r="GY20"/>
      <c r="GZ20"/>
      <c r="HA20"/>
      <c r="HB20"/>
      <c r="HC20"/>
      <c r="HD20"/>
      <c r="HE20"/>
      <c r="HF20"/>
      <c r="HG20"/>
      <c r="HH20"/>
      <c r="HI20"/>
      <c r="HJ20"/>
      <c r="HK20"/>
      <c r="HL20"/>
      <c r="HM20"/>
      <c r="HN20"/>
      <c r="HO20"/>
      <c r="HP20"/>
      <c r="HQ20"/>
      <c r="HR20"/>
      <c r="HS20"/>
      <c r="HT20"/>
      <c r="HU20"/>
      <c r="HV20"/>
      <c r="HW20"/>
      <c r="HX20"/>
      <c r="HY20"/>
      <c r="HZ20"/>
      <c r="IA20"/>
      <c r="IB20"/>
      <c r="IC20"/>
      <c r="ID20"/>
      <c r="IE20"/>
      <c r="IF20"/>
      <c r="IG20"/>
      <c r="IH20"/>
      <c r="II20"/>
      <c r="IJ20"/>
      <c r="IK20"/>
      <c r="IL20"/>
      <c r="IM20"/>
      <c r="IN20"/>
      <c r="IO20"/>
      <c r="IP20"/>
      <c r="IQ20"/>
      <c r="IR20"/>
      <c r="IS20"/>
      <c r="IT20"/>
      <c r="IU20"/>
      <c r="IV20"/>
    </row>
    <row r="21" spans="1:256" s="201" customFormat="1" ht="14.25" x14ac:dyDescent="0.2">
      <c r="A21" s="10">
        <v>2015</v>
      </c>
      <c r="B21" s="11" t="s">
        <v>213</v>
      </c>
      <c r="C21" s="105" t="s">
        <v>214</v>
      </c>
      <c r="D21" s="11" t="s">
        <v>215</v>
      </c>
      <c r="E21" s="12">
        <v>10189</v>
      </c>
      <c r="F21" s="202">
        <v>66</v>
      </c>
      <c r="G21" s="11">
        <v>70000</v>
      </c>
      <c r="H21" s="116">
        <v>-118000</v>
      </c>
      <c r="I21" s="192"/>
      <c r="J21" s="204"/>
      <c r="K21" s="193"/>
      <c r="L21" s="193"/>
      <c r="M21" s="193"/>
      <c r="N21" s="203">
        <f t="shared" si="0"/>
        <v>70000</v>
      </c>
      <c r="O21" s="203">
        <f t="shared" si="1"/>
        <v>-48000</v>
      </c>
      <c r="P21" s="203">
        <f t="shared" si="2"/>
        <v>0</v>
      </c>
      <c r="Q21" s="214"/>
      <c r="R21" s="219"/>
      <c r="S21" s="217">
        <v>70000</v>
      </c>
      <c r="T21" s="205"/>
      <c r="U21" s="205"/>
      <c r="V21" s="215"/>
      <c r="W21" s="212"/>
      <c r="X21" s="10">
        <v>7</v>
      </c>
      <c r="Y21" s="10">
        <v>7</v>
      </c>
      <c r="Z21" s="213">
        <f t="shared" si="3"/>
        <v>70000</v>
      </c>
      <c r="AA21" s="62"/>
      <c r="AB21" s="62"/>
      <c r="AC21" s="62"/>
      <c r="AD21" s="62"/>
      <c r="AE21" s="62"/>
      <c r="AF21" s="63"/>
      <c r="AG21" s="64"/>
      <c r="AH21" s="6">
        <v>1</v>
      </c>
      <c r="AI21">
        <f t="shared" si="4"/>
        <v>25</v>
      </c>
      <c r="AJ21">
        <f t="shared" si="5"/>
        <v>25</v>
      </c>
      <c r="AK21">
        <f t="shared" si="6"/>
        <v>0</v>
      </c>
      <c r="AL21">
        <f t="shared" si="7"/>
        <v>0</v>
      </c>
      <c r="AM21">
        <f t="shared" si="8"/>
        <v>0</v>
      </c>
      <c r="AN21">
        <f t="shared" si="9"/>
        <v>0</v>
      </c>
      <c r="AO21">
        <f t="shared" si="10"/>
        <v>0</v>
      </c>
      <c r="AP21">
        <f t="shared" si="11"/>
        <v>0</v>
      </c>
      <c r="AQ21">
        <f t="shared" si="12"/>
        <v>0</v>
      </c>
      <c r="AR21">
        <f t="shared" si="13"/>
        <v>0</v>
      </c>
      <c r="AS21">
        <f t="shared" si="14"/>
        <v>0</v>
      </c>
      <c r="AT21">
        <f t="shared" si="15"/>
        <v>0</v>
      </c>
      <c r="AU21">
        <f t="shared" si="16"/>
        <v>0</v>
      </c>
      <c r="AV21">
        <f t="shared" si="17"/>
        <v>0</v>
      </c>
      <c r="AW21">
        <f t="shared" si="18"/>
        <v>0</v>
      </c>
      <c r="AX21">
        <f t="shared" si="19"/>
        <v>0</v>
      </c>
      <c r="AY21">
        <f t="shared" si="20"/>
        <v>0</v>
      </c>
      <c r="AZ21">
        <f t="shared" si="21"/>
        <v>0</v>
      </c>
      <c r="BA21">
        <f t="shared" si="22"/>
        <v>0</v>
      </c>
      <c r="BB21">
        <f t="shared" si="23"/>
        <v>0</v>
      </c>
      <c r="BC21">
        <f t="shared" si="24"/>
        <v>0</v>
      </c>
      <c r="BD21">
        <f t="shared" si="25"/>
        <v>0</v>
      </c>
      <c r="BE21">
        <f t="shared" si="26"/>
        <v>0</v>
      </c>
      <c r="BF21">
        <f t="shared" si="27"/>
        <v>0</v>
      </c>
      <c r="BG21"/>
      <c r="BH21"/>
      <c r="BI21"/>
      <c r="BJ21"/>
      <c r="BK21"/>
      <c r="BL21"/>
      <c r="BM21"/>
      <c r="BN21"/>
      <c r="BO21"/>
      <c r="BP21"/>
      <c r="BQ21"/>
      <c r="BR21"/>
      <c r="BS21"/>
      <c r="BT21"/>
      <c r="BU21"/>
      <c r="BV21"/>
      <c r="BW21"/>
      <c r="BX21"/>
      <c r="BY21"/>
      <c r="BZ21"/>
      <c r="CA21"/>
      <c r="CB21"/>
      <c r="CC21"/>
      <c r="CD21"/>
      <c r="CE21"/>
      <c r="CF21"/>
      <c r="CG21"/>
      <c r="CH21"/>
      <c r="CI21"/>
      <c r="CJ21"/>
      <c r="CK21"/>
      <c r="CL21"/>
      <c r="CM21"/>
      <c r="CN21"/>
      <c r="CO21"/>
      <c r="CP21"/>
      <c r="CQ21"/>
      <c r="CR21"/>
      <c r="CS21"/>
      <c r="CT21"/>
      <c r="CU21"/>
      <c r="CV21"/>
      <c r="CW21"/>
      <c r="CX21"/>
      <c r="CY21"/>
      <c r="CZ21"/>
      <c r="DA21"/>
      <c r="DB21"/>
      <c r="DC21"/>
      <c r="DD21"/>
      <c r="DE21"/>
      <c r="DF21"/>
      <c r="DG21"/>
      <c r="DH21"/>
      <c r="DI21"/>
      <c r="DJ21"/>
      <c r="DK21"/>
      <c r="DL21"/>
      <c r="DM21"/>
      <c r="DN21"/>
      <c r="DO21"/>
      <c r="DP21"/>
      <c r="DQ21"/>
      <c r="DR21"/>
      <c r="DS21"/>
      <c r="DT21"/>
      <c r="DU21"/>
      <c r="DV21"/>
      <c r="DW21"/>
      <c r="DX21"/>
      <c r="DY21"/>
      <c r="DZ21"/>
      <c r="EA21"/>
      <c r="EB21"/>
      <c r="EC21"/>
      <c r="ED21"/>
      <c r="EE21"/>
      <c r="EF21"/>
      <c r="EG21"/>
      <c r="EH21"/>
      <c r="EI21"/>
      <c r="EJ21"/>
      <c r="EK21"/>
      <c r="EL21"/>
      <c r="EM21"/>
      <c r="EN21"/>
      <c r="EO21"/>
      <c r="EP21"/>
      <c r="EQ21"/>
      <c r="ER21"/>
      <c r="ES21"/>
      <c r="ET21"/>
      <c r="EU21"/>
      <c r="EV21"/>
      <c r="EW21"/>
      <c r="EX21"/>
      <c r="EY21"/>
      <c r="EZ21"/>
      <c r="FA21"/>
      <c r="FB21"/>
      <c r="FC21"/>
      <c r="FD21"/>
      <c r="FE21"/>
      <c r="FF21"/>
      <c r="FG21"/>
      <c r="FH21"/>
      <c r="FI21"/>
      <c r="FJ21"/>
      <c r="FK21"/>
      <c r="FL21"/>
      <c r="FM21"/>
      <c r="FN21"/>
      <c r="FO21"/>
      <c r="FP21"/>
      <c r="FQ21"/>
      <c r="FR21"/>
      <c r="FS21"/>
      <c r="FT21"/>
      <c r="FU21"/>
      <c r="FV21"/>
      <c r="FW21"/>
      <c r="FX21"/>
      <c r="FY21"/>
      <c r="FZ21"/>
      <c r="GA21"/>
      <c r="GB21"/>
      <c r="GC21"/>
      <c r="GD21"/>
      <c r="GE21"/>
      <c r="GF21"/>
      <c r="GG21"/>
      <c r="GH21"/>
      <c r="GI21"/>
      <c r="GJ21"/>
      <c r="GK21"/>
      <c r="GL21"/>
      <c r="GM21"/>
      <c r="GN21"/>
      <c r="GO21"/>
      <c r="GP21"/>
      <c r="GQ21"/>
      <c r="GR21"/>
      <c r="GS21"/>
      <c r="GT21"/>
      <c r="GU21"/>
      <c r="GV21"/>
      <c r="GW21"/>
      <c r="GX21"/>
      <c r="GY21"/>
      <c r="GZ21"/>
      <c r="HA21"/>
      <c r="HB21"/>
      <c r="HC21"/>
      <c r="HD21"/>
      <c r="HE21"/>
      <c r="HF21"/>
      <c r="HG21"/>
      <c r="HH21"/>
      <c r="HI21"/>
      <c r="HJ21"/>
      <c r="HK21"/>
      <c r="HL21"/>
      <c r="HM21"/>
      <c r="HN21"/>
      <c r="HO21"/>
      <c r="HP21"/>
      <c r="HQ21"/>
      <c r="HR21"/>
      <c r="HS21"/>
      <c r="HT21"/>
      <c r="HU21"/>
      <c r="HV21"/>
      <c r="HW21"/>
      <c r="HX21"/>
      <c r="HY21"/>
      <c r="HZ21"/>
      <c r="IA21"/>
      <c r="IB21"/>
      <c r="IC21"/>
      <c r="ID21"/>
      <c r="IE21"/>
      <c r="IF21"/>
      <c r="IG21"/>
      <c r="IH21"/>
      <c r="II21"/>
      <c r="IJ21"/>
      <c r="IK21"/>
      <c r="IL21"/>
      <c r="IM21"/>
      <c r="IN21"/>
      <c r="IO21"/>
      <c r="IP21"/>
      <c r="IQ21"/>
      <c r="IR21"/>
      <c r="IS21"/>
      <c r="IT21"/>
      <c r="IU21"/>
      <c r="IV21"/>
    </row>
    <row r="22" spans="1:256" s="201" customFormat="1" ht="14.25" x14ac:dyDescent="0.2">
      <c r="A22" s="10">
        <v>2024</v>
      </c>
      <c r="B22" s="11" t="s">
        <v>242</v>
      </c>
      <c r="C22" s="105" t="s">
        <v>243</v>
      </c>
      <c r="D22" s="11" t="s">
        <v>105</v>
      </c>
      <c r="E22" s="12">
        <v>10095</v>
      </c>
      <c r="F22" s="202">
        <v>66</v>
      </c>
      <c r="G22" s="11">
        <v>30000</v>
      </c>
      <c r="H22" s="116">
        <v>-24000</v>
      </c>
      <c r="I22" s="192"/>
      <c r="J22" s="204"/>
      <c r="K22" s="193"/>
      <c r="L22" s="193"/>
      <c r="M22" s="193"/>
      <c r="N22" s="203">
        <f t="shared" si="0"/>
        <v>30000</v>
      </c>
      <c r="O22" s="203">
        <f t="shared" si="1"/>
        <v>6000</v>
      </c>
      <c r="P22" s="203">
        <f t="shared" si="2"/>
        <v>6000</v>
      </c>
      <c r="Q22" s="214"/>
      <c r="R22" s="219"/>
      <c r="S22" s="217">
        <v>46209</v>
      </c>
      <c r="T22" s="205"/>
      <c r="U22" s="205"/>
      <c r="V22" s="215"/>
      <c r="W22" s="212"/>
      <c r="X22" s="10">
        <v>7</v>
      </c>
      <c r="Y22" s="10">
        <v>7</v>
      </c>
      <c r="Z22" s="213">
        <f t="shared" si="3"/>
        <v>30000</v>
      </c>
      <c r="AA22" s="62"/>
      <c r="AB22" s="62"/>
      <c r="AC22" s="62"/>
      <c r="AD22" s="62"/>
      <c r="AE22" s="62"/>
      <c r="AF22" s="63"/>
      <c r="AG22" s="64"/>
      <c r="AH22" s="6">
        <v>1</v>
      </c>
      <c r="AI22">
        <f t="shared" si="4"/>
        <v>25</v>
      </c>
      <c r="AJ22">
        <f t="shared" si="5"/>
        <v>25</v>
      </c>
      <c r="AK22">
        <f t="shared" si="6"/>
        <v>0</v>
      </c>
      <c r="AL22">
        <f t="shared" si="7"/>
        <v>0</v>
      </c>
      <c r="AM22">
        <f t="shared" si="8"/>
        <v>0</v>
      </c>
      <c r="AN22">
        <f t="shared" si="9"/>
        <v>0</v>
      </c>
      <c r="AO22">
        <f t="shared" si="10"/>
        <v>0</v>
      </c>
      <c r="AP22">
        <f t="shared" si="11"/>
        <v>0</v>
      </c>
      <c r="AQ22">
        <f t="shared" si="12"/>
        <v>0</v>
      </c>
      <c r="AR22">
        <f t="shared" si="13"/>
        <v>0</v>
      </c>
      <c r="AS22">
        <f t="shared" si="14"/>
        <v>0</v>
      </c>
      <c r="AT22">
        <f t="shared" si="15"/>
        <v>0</v>
      </c>
      <c r="AU22">
        <f t="shared" si="16"/>
        <v>1</v>
      </c>
      <c r="AV22">
        <f t="shared" si="17"/>
        <v>1</v>
      </c>
      <c r="AW22">
        <f t="shared" si="18"/>
        <v>1</v>
      </c>
      <c r="AX22">
        <f t="shared" si="19"/>
        <v>1</v>
      </c>
      <c r="AY22">
        <f t="shared" si="20"/>
        <v>6000</v>
      </c>
      <c r="AZ22">
        <f t="shared" si="21"/>
        <v>6000</v>
      </c>
      <c r="BA22">
        <f t="shared" si="22"/>
        <v>0</v>
      </c>
      <c r="BB22">
        <f t="shared" si="23"/>
        <v>0</v>
      </c>
      <c r="BC22">
        <f t="shared" si="24"/>
        <v>0</v>
      </c>
      <c r="BD22">
        <f t="shared" si="25"/>
        <v>0</v>
      </c>
      <c r="BE22">
        <f t="shared" si="26"/>
        <v>0</v>
      </c>
      <c r="BF22">
        <f t="shared" si="27"/>
        <v>0</v>
      </c>
      <c r="BG22"/>
      <c r="BH22"/>
      <c r="BI22"/>
      <c r="BJ22"/>
      <c r="BK22"/>
      <c r="BL22"/>
      <c r="BM22"/>
      <c r="BN22"/>
      <c r="BO22"/>
      <c r="BP22"/>
      <c r="BQ22"/>
      <c r="BR22"/>
      <c r="BS22"/>
      <c r="BT22"/>
      <c r="BU22"/>
      <c r="BV22"/>
      <c r="BW22"/>
      <c r="BX22"/>
      <c r="BY22"/>
      <c r="BZ22"/>
      <c r="CA22"/>
      <c r="CB22"/>
      <c r="CC22"/>
      <c r="CD22"/>
      <c r="CE22"/>
      <c r="CF22"/>
      <c r="CG22"/>
      <c r="CH22"/>
      <c r="CI22"/>
      <c r="CJ22"/>
      <c r="CK22"/>
      <c r="CL22"/>
      <c r="CM22"/>
      <c r="CN22"/>
      <c r="CO22"/>
      <c r="CP22"/>
      <c r="CQ22"/>
      <c r="CR22"/>
      <c r="CS22"/>
      <c r="CT22"/>
      <c r="CU22"/>
      <c r="CV22"/>
      <c r="CW22"/>
      <c r="CX22"/>
      <c r="CY22"/>
      <c r="CZ22"/>
      <c r="DA22"/>
      <c r="DB22"/>
      <c r="DC22"/>
      <c r="DD22"/>
      <c r="DE22"/>
      <c r="DF22"/>
      <c r="DG22"/>
      <c r="DH22"/>
      <c r="DI22"/>
      <c r="DJ22"/>
      <c r="DK22"/>
      <c r="DL22"/>
      <c r="DM22"/>
      <c r="DN22"/>
      <c r="DO22"/>
      <c r="DP22"/>
      <c r="DQ22"/>
      <c r="DR22"/>
      <c r="DS22"/>
      <c r="DT22"/>
      <c r="DU22"/>
      <c r="DV22"/>
      <c r="DW22"/>
      <c r="DX22"/>
      <c r="DY22"/>
      <c r="DZ22"/>
      <c r="EA22"/>
      <c r="EB22"/>
      <c r="EC22"/>
      <c r="ED22"/>
      <c r="EE22"/>
      <c r="EF22"/>
      <c r="EG22"/>
      <c r="EH22"/>
      <c r="EI22"/>
      <c r="EJ22"/>
      <c r="EK22"/>
      <c r="EL22"/>
      <c r="EM22"/>
      <c r="EN22"/>
      <c r="EO22"/>
      <c r="EP22"/>
      <c r="EQ22"/>
      <c r="ER22"/>
      <c r="ES22"/>
      <c r="ET22"/>
      <c r="EU22"/>
      <c r="EV22"/>
      <c r="EW22"/>
      <c r="EX22"/>
      <c r="EY22"/>
      <c r="EZ22"/>
      <c r="FA22"/>
      <c r="FB22"/>
      <c r="FC22"/>
      <c r="FD22"/>
      <c r="FE22"/>
      <c r="FF22"/>
      <c r="FG22"/>
      <c r="FH22"/>
      <c r="FI22"/>
      <c r="FJ22"/>
      <c r="FK22"/>
      <c r="FL22"/>
      <c r="FM22"/>
      <c r="FN22"/>
      <c r="FO22"/>
      <c r="FP22"/>
      <c r="FQ22"/>
      <c r="FR22"/>
      <c r="FS22"/>
      <c r="FT22"/>
      <c r="FU22"/>
      <c r="FV22"/>
      <c r="FW22"/>
      <c r="FX22"/>
      <c r="FY22"/>
      <c r="FZ22"/>
      <c r="GA22"/>
      <c r="GB22"/>
      <c r="GC22"/>
      <c r="GD22"/>
      <c r="GE22"/>
      <c r="GF22"/>
      <c r="GG22"/>
      <c r="GH22"/>
      <c r="GI22"/>
      <c r="GJ22"/>
      <c r="GK22"/>
      <c r="GL22"/>
      <c r="GM22"/>
      <c r="GN22"/>
      <c r="GO22"/>
      <c r="GP22"/>
      <c r="GQ22"/>
      <c r="GR22"/>
      <c r="GS22"/>
      <c r="GT22"/>
      <c r="GU22"/>
      <c r="GV22"/>
      <c r="GW22"/>
      <c r="GX22"/>
      <c r="GY22"/>
      <c r="GZ22"/>
      <c r="HA22"/>
      <c r="HB22"/>
      <c r="HC22"/>
      <c r="HD22"/>
      <c r="HE22"/>
      <c r="HF22"/>
      <c r="HG22"/>
      <c r="HH22"/>
      <c r="HI22"/>
      <c r="HJ22"/>
      <c r="HK22"/>
      <c r="HL22"/>
      <c r="HM22"/>
      <c r="HN22"/>
      <c r="HO22"/>
      <c r="HP22"/>
      <c r="HQ22"/>
      <c r="HR22"/>
      <c r="HS22"/>
      <c r="HT22"/>
      <c r="HU22"/>
      <c r="HV22"/>
      <c r="HW22"/>
      <c r="HX22"/>
      <c r="HY22"/>
      <c r="HZ22"/>
      <c r="IA22"/>
      <c r="IB22"/>
      <c r="IC22"/>
      <c r="ID22"/>
      <c r="IE22"/>
      <c r="IF22"/>
      <c r="IG22"/>
      <c r="IH22"/>
      <c r="II22"/>
      <c r="IJ22"/>
      <c r="IK22"/>
      <c r="IL22"/>
      <c r="IM22"/>
      <c r="IN22"/>
      <c r="IO22"/>
      <c r="IP22"/>
      <c r="IQ22"/>
      <c r="IR22"/>
      <c r="IS22"/>
      <c r="IT22"/>
      <c r="IU22"/>
      <c r="IV22"/>
    </row>
    <row r="23" spans="1:256" s="201" customFormat="1" ht="14.25" x14ac:dyDescent="0.2">
      <c r="A23" s="10">
        <v>2095</v>
      </c>
      <c r="B23" s="11" t="s">
        <v>323</v>
      </c>
      <c r="C23" s="105" t="s">
        <v>324</v>
      </c>
      <c r="D23" s="11" t="s">
        <v>325</v>
      </c>
      <c r="E23" s="12">
        <v>10288</v>
      </c>
      <c r="F23" s="202">
        <v>64</v>
      </c>
      <c r="G23" s="11">
        <v>65000</v>
      </c>
      <c r="H23" s="116">
        <v>0</v>
      </c>
      <c r="I23" s="192"/>
      <c r="J23" s="204"/>
      <c r="K23" s="193"/>
      <c r="L23" s="193"/>
      <c r="M23" s="193"/>
      <c r="N23" s="203">
        <f t="shared" si="0"/>
        <v>65000</v>
      </c>
      <c r="O23" s="203">
        <f t="shared" si="1"/>
        <v>65000</v>
      </c>
      <c r="P23" s="203">
        <f t="shared" si="2"/>
        <v>65000</v>
      </c>
      <c r="Q23" s="214"/>
      <c r="R23" s="219"/>
      <c r="S23" s="217">
        <v>46211</v>
      </c>
      <c r="T23" s="205"/>
      <c r="U23" s="205"/>
      <c r="V23" s="215"/>
      <c r="W23" s="212"/>
      <c r="X23" s="10">
        <v>7</v>
      </c>
      <c r="Y23" s="10">
        <v>7</v>
      </c>
      <c r="Z23" s="213">
        <f t="shared" si="3"/>
        <v>65000</v>
      </c>
      <c r="AA23" s="62"/>
      <c r="AB23" s="62"/>
      <c r="AC23" s="62"/>
      <c r="AD23" s="62"/>
      <c r="AE23" s="62"/>
      <c r="AF23" s="63"/>
      <c r="AG23" s="64"/>
      <c r="AH23" s="6">
        <v>1</v>
      </c>
      <c r="AI23">
        <f t="shared" si="4"/>
        <v>25</v>
      </c>
      <c r="AJ23">
        <f t="shared" si="5"/>
        <v>25</v>
      </c>
      <c r="AK23">
        <f t="shared" si="6"/>
        <v>0</v>
      </c>
      <c r="AL23">
        <f t="shared" si="7"/>
        <v>0</v>
      </c>
      <c r="AM23">
        <f t="shared" si="8"/>
        <v>0</v>
      </c>
      <c r="AN23">
        <f t="shared" si="9"/>
        <v>0</v>
      </c>
      <c r="AO23">
        <f t="shared" si="10"/>
        <v>0</v>
      </c>
      <c r="AP23">
        <f t="shared" si="11"/>
        <v>0</v>
      </c>
      <c r="AQ23">
        <f t="shared" si="12"/>
        <v>0</v>
      </c>
      <c r="AR23">
        <f t="shared" si="13"/>
        <v>0</v>
      </c>
      <c r="AS23">
        <f t="shared" si="14"/>
        <v>0</v>
      </c>
      <c r="AT23">
        <f t="shared" si="15"/>
        <v>0</v>
      </c>
      <c r="AU23">
        <f t="shared" si="16"/>
        <v>1</v>
      </c>
      <c r="AV23">
        <f t="shared" si="17"/>
        <v>1</v>
      </c>
      <c r="AW23">
        <f t="shared" si="18"/>
        <v>1</v>
      </c>
      <c r="AX23">
        <f t="shared" si="19"/>
        <v>1</v>
      </c>
      <c r="AY23">
        <f t="shared" si="20"/>
        <v>65000</v>
      </c>
      <c r="AZ23">
        <f t="shared" si="21"/>
        <v>65000</v>
      </c>
      <c r="BA23">
        <f t="shared" si="22"/>
        <v>0</v>
      </c>
      <c r="BB23">
        <f t="shared" si="23"/>
        <v>0</v>
      </c>
      <c r="BC23">
        <f t="shared" si="24"/>
        <v>0</v>
      </c>
      <c r="BD23">
        <f t="shared" si="25"/>
        <v>0</v>
      </c>
      <c r="BE23">
        <f t="shared" si="26"/>
        <v>0</v>
      </c>
      <c r="BF23">
        <f t="shared" si="27"/>
        <v>0</v>
      </c>
      <c r="BG23"/>
      <c r="BH23"/>
      <c r="BI23"/>
      <c r="BJ23"/>
      <c r="BK23"/>
      <c r="BL23"/>
      <c r="BM23"/>
      <c r="BN23"/>
      <c r="BO23"/>
      <c r="BP23"/>
      <c r="BQ23"/>
      <c r="BR23"/>
      <c r="BS23"/>
      <c r="BT23"/>
      <c r="BU23"/>
      <c r="BV23"/>
      <c r="BW23"/>
      <c r="BX23"/>
      <c r="BY23"/>
      <c r="BZ23"/>
      <c r="CA23"/>
      <c r="CB23"/>
      <c r="CC23"/>
      <c r="CD23"/>
      <c r="CE23"/>
      <c r="CF23"/>
      <c r="CG23"/>
      <c r="CH23"/>
      <c r="CI23"/>
      <c r="CJ23"/>
      <c r="CK23"/>
      <c r="CL23"/>
      <c r="CM23"/>
      <c r="CN23"/>
      <c r="CO23"/>
      <c r="CP23"/>
      <c r="CQ23"/>
      <c r="CR23"/>
      <c r="CS23"/>
      <c r="CT23"/>
      <c r="CU23"/>
      <c r="CV23"/>
      <c r="CW23"/>
      <c r="CX23"/>
      <c r="CY23"/>
      <c r="CZ23"/>
      <c r="DA23"/>
      <c r="DB23"/>
      <c r="DC23"/>
      <c r="DD23"/>
      <c r="DE23"/>
      <c r="DF23"/>
      <c r="DG23"/>
      <c r="DH23"/>
      <c r="DI23"/>
      <c r="DJ23"/>
      <c r="DK23"/>
      <c r="DL23"/>
      <c r="DM23"/>
      <c r="DN23"/>
      <c r="DO23"/>
      <c r="DP23"/>
      <c r="DQ23"/>
      <c r="DR23"/>
      <c r="DS23"/>
      <c r="DT23"/>
      <c r="DU23"/>
      <c r="DV23"/>
      <c r="DW23"/>
      <c r="DX23"/>
      <c r="DY23"/>
      <c r="DZ23"/>
      <c r="EA23"/>
      <c r="EB23"/>
      <c r="EC23"/>
      <c r="ED23"/>
      <c r="EE23"/>
      <c r="EF23"/>
      <c r="EG23"/>
      <c r="EH23"/>
      <c r="EI23"/>
      <c r="EJ23"/>
      <c r="EK23"/>
      <c r="EL23"/>
      <c r="EM23"/>
      <c r="EN23"/>
      <c r="EO23"/>
      <c r="EP23"/>
      <c r="EQ23"/>
      <c r="ER23"/>
      <c r="ES23"/>
      <c r="ET23"/>
      <c r="EU23"/>
      <c r="EV23"/>
      <c r="EW23"/>
      <c r="EX23"/>
      <c r="EY23"/>
      <c r="EZ23"/>
      <c r="FA23"/>
      <c r="FB23"/>
      <c r="FC23"/>
      <c r="FD23"/>
      <c r="FE23"/>
      <c r="FF23"/>
      <c r="FG23"/>
      <c r="FH23"/>
      <c r="FI23"/>
      <c r="FJ23"/>
      <c r="FK23"/>
      <c r="FL23"/>
      <c r="FM23"/>
      <c r="FN23"/>
      <c r="FO23"/>
      <c r="FP23"/>
      <c r="FQ23"/>
      <c r="FR23"/>
      <c r="FS23"/>
      <c r="FT23"/>
      <c r="FU23"/>
      <c r="FV23"/>
      <c r="FW23"/>
      <c r="FX23"/>
      <c r="FY23"/>
      <c r="FZ23"/>
      <c r="GA23"/>
      <c r="GB23"/>
      <c r="GC23"/>
      <c r="GD23"/>
      <c r="GE23"/>
      <c r="GF23"/>
      <c r="GG23"/>
      <c r="GH23"/>
      <c r="GI23"/>
      <c r="GJ23"/>
      <c r="GK23"/>
      <c r="GL23"/>
      <c r="GM23"/>
      <c r="GN23"/>
      <c r="GO23"/>
      <c r="GP23"/>
      <c r="GQ23"/>
      <c r="GR23"/>
      <c r="GS23"/>
      <c r="GT23"/>
      <c r="GU23"/>
      <c r="GV23"/>
      <c r="GW23"/>
      <c r="GX23"/>
      <c r="GY23"/>
      <c r="GZ23"/>
      <c r="HA23"/>
      <c r="HB23"/>
      <c r="HC23"/>
      <c r="HD23"/>
      <c r="HE23"/>
      <c r="HF23"/>
      <c r="HG23"/>
      <c r="HH23"/>
      <c r="HI23"/>
      <c r="HJ23"/>
      <c r="HK23"/>
      <c r="HL23"/>
      <c r="HM23"/>
      <c r="HN23"/>
      <c r="HO23"/>
      <c r="HP23"/>
      <c r="HQ23"/>
      <c r="HR23"/>
      <c r="HS23"/>
      <c r="HT23"/>
      <c r="HU23"/>
      <c r="HV23"/>
      <c r="HW23"/>
      <c r="HX23"/>
      <c r="HY23"/>
      <c r="HZ23"/>
      <c r="IA23"/>
      <c r="IB23"/>
      <c r="IC23"/>
      <c r="ID23"/>
      <c r="IE23"/>
      <c r="IF23"/>
      <c r="IG23"/>
      <c r="IH23"/>
      <c r="II23"/>
      <c r="IJ23"/>
      <c r="IK23"/>
      <c r="IL23"/>
      <c r="IM23"/>
      <c r="IN23"/>
      <c r="IO23"/>
      <c r="IP23"/>
      <c r="IQ23"/>
      <c r="IR23"/>
      <c r="IS23"/>
      <c r="IT23"/>
      <c r="IU23"/>
      <c r="IV23"/>
    </row>
    <row r="24" spans="1:256" s="201" customFormat="1" ht="14.25" x14ac:dyDescent="0.2">
      <c r="A24" s="10">
        <v>2119</v>
      </c>
      <c r="B24" s="11" t="s">
        <v>231</v>
      </c>
      <c r="C24" s="105" t="s">
        <v>232</v>
      </c>
      <c r="D24" s="11" t="s">
        <v>154</v>
      </c>
      <c r="E24" s="12">
        <v>10430</v>
      </c>
      <c r="F24" s="202">
        <v>63</v>
      </c>
      <c r="G24" s="11">
        <v>30000</v>
      </c>
      <c r="H24" s="116">
        <v>0</v>
      </c>
      <c r="I24" s="192"/>
      <c r="J24" s="204"/>
      <c r="K24" s="193"/>
      <c r="L24" s="193"/>
      <c r="M24" s="193"/>
      <c r="N24" s="203">
        <f t="shared" si="0"/>
        <v>30000</v>
      </c>
      <c r="O24" s="203">
        <f t="shared" si="1"/>
        <v>30000</v>
      </c>
      <c r="P24" s="203">
        <f t="shared" si="2"/>
        <v>30000</v>
      </c>
      <c r="Q24" s="214"/>
      <c r="R24" s="219"/>
      <c r="S24" s="217">
        <v>46176</v>
      </c>
      <c r="T24" s="205"/>
      <c r="U24" s="205"/>
      <c r="V24" s="215"/>
      <c r="W24" s="212"/>
      <c r="X24" s="10">
        <v>7</v>
      </c>
      <c r="Y24" s="10">
        <v>7</v>
      </c>
      <c r="Z24" s="213">
        <f t="shared" si="3"/>
        <v>30000</v>
      </c>
      <c r="AA24" s="62"/>
      <c r="AB24" s="62"/>
      <c r="AC24" s="62"/>
      <c r="AD24" s="62"/>
      <c r="AE24" s="62"/>
      <c r="AF24" s="63"/>
      <c r="AG24" s="64"/>
      <c r="AH24" s="6">
        <v>1</v>
      </c>
      <c r="AI24">
        <f t="shared" si="4"/>
        <v>25</v>
      </c>
      <c r="AJ24">
        <f t="shared" si="5"/>
        <v>25</v>
      </c>
      <c r="AK24">
        <f t="shared" si="6"/>
        <v>0</v>
      </c>
      <c r="AL24">
        <f t="shared" si="7"/>
        <v>0</v>
      </c>
      <c r="AM24">
        <f t="shared" si="8"/>
        <v>0</v>
      </c>
      <c r="AN24">
        <f t="shared" si="9"/>
        <v>0</v>
      </c>
      <c r="AO24">
        <f t="shared" si="10"/>
        <v>0</v>
      </c>
      <c r="AP24">
        <f t="shared" si="11"/>
        <v>0</v>
      </c>
      <c r="AQ24">
        <f t="shared" si="12"/>
        <v>0</v>
      </c>
      <c r="AR24">
        <f t="shared" si="13"/>
        <v>0</v>
      </c>
      <c r="AS24">
        <f t="shared" si="14"/>
        <v>0</v>
      </c>
      <c r="AT24">
        <f t="shared" si="15"/>
        <v>0</v>
      </c>
      <c r="AU24">
        <f t="shared" si="16"/>
        <v>1</v>
      </c>
      <c r="AV24">
        <f t="shared" si="17"/>
        <v>1</v>
      </c>
      <c r="AW24">
        <f t="shared" si="18"/>
        <v>1</v>
      </c>
      <c r="AX24">
        <f t="shared" si="19"/>
        <v>1</v>
      </c>
      <c r="AY24">
        <f t="shared" si="20"/>
        <v>30000</v>
      </c>
      <c r="AZ24">
        <f t="shared" si="21"/>
        <v>30000</v>
      </c>
      <c r="BA24">
        <f t="shared" si="22"/>
        <v>0</v>
      </c>
      <c r="BB24">
        <f t="shared" si="23"/>
        <v>0</v>
      </c>
      <c r="BC24">
        <f t="shared" si="24"/>
        <v>0</v>
      </c>
      <c r="BD24">
        <f t="shared" si="25"/>
        <v>0</v>
      </c>
      <c r="BE24">
        <f t="shared" si="26"/>
        <v>0</v>
      </c>
      <c r="BF24">
        <f t="shared" si="27"/>
        <v>0</v>
      </c>
      <c r="BG24"/>
      <c r="BH24"/>
      <c r="BI24"/>
      <c r="BJ24"/>
      <c r="BK24"/>
      <c r="BL24"/>
      <c r="BM24"/>
      <c r="BN24"/>
      <c r="BO24"/>
      <c r="BP24"/>
      <c r="BQ24"/>
      <c r="BR24"/>
      <c r="BS24"/>
      <c r="BT24"/>
      <c r="BU24"/>
      <c r="BV24"/>
      <c r="BW24"/>
      <c r="BX24"/>
      <c r="BY24"/>
      <c r="BZ24"/>
      <c r="CA24"/>
      <c r="CB24"/>
      <c r="CC24"/>
      <c r="CD24"/>
      <c r="CE24"/>
      <c r="CF24"/>
      <c r="CG24"/>
      <c r="CH24"/>
      <c r="CI24"/>
      <c r="CJ24"/>
      <c r="CK24"/>
      <c r="CL24"/>
      <c r="CM24"/>
      <c r="CN24"/>
      <c r="CO24"/>
      <c r="CP24"/>
      <c r="CQ24"/>
      <c r="CR24"/>
      <c r="CS24"/>
      <c r="CT24"/>
      <c r="CU24"/>
      <c r="CV24"/>
      <c r="CW24"/>
      <c r="CX24"/>
      <c r="CY24"/>
      <c r="CZ24"/>
      <c r="DA24"/>
      <c r="DB24"/>
      <c r="DC24"/>
      <c r="DD24"/>
      <c r="DE24"/>
      <c r="DF24"/>
      <c r="DG24"/>
      <c r="DH24"/>
      <c r="DI24"/>
      <c r="DJ24"/>
      <c r="DK24"/>
      <c r="DL24"/>
      <c r="DM24"/>
      <c r="DN24"/>
      <c r="DO24"/>
      <c r="DP24"/>
      <c r="DQ24"/>
      <c r="DR24"/>
      <c r="DS24"/>
      <c r="DT24"/>
      <c r="DU24"/>
      <c r="DV24"/>
      <c r="DW24"/>
      <c r="DX24"/>
      <c r="DY24"/>
      <c r="DZ24"/>
      <c r="EA24"/>
      <c r="EB24"/>
      <c r="EC24"/>
      <c r="ED24"/>
      <c r="EE24"/>
      <c r="EF24"/>
      <c r="EG24"/>
      <c r="EH24"/>
      <c r="EI24"/>
      <c r="EJ24"/>
      <c r="EK24"/>
      <c r="EL24"/>
      <c r="EM24"/>
      <c r="EN24"/>
      <c r="EO24"/>
      <c r="EP24"/>
      <c r="EQ24"/>
      <c r="ER24"/>
      <c r="ES24"/>
      <c r="ET24"/>
      <c r="EU24"/>
      <c r="EV24"/>
      <c r="EW24"/>
      <c r="EX24"/>
      <c r="EY24"/>
      <c r="EZ24"/>
      <c r="FA24"/>
      <c r="FB24"/>
      <c r="FC24"/>
      <c r="FD24"/>
      <c r="FE24"/>
      <c r="FF24"/>
      <c r="FG24"/>
      <c r="FH24"/>
      <c r="FI24"/>
      <c r="FJ24"/>
      <c r="FK24"/>
      <c r="FL24"/>
      <c r="FM24"/>
      <c r="FN24"/>
      <c r="FO24"/>
      <c r="FP24"/>
      <c r="FQ24"/>
      <c r="FR24"/>
      <c r="FS24"/>
      <c r="FT24"/>
      <c r="FU24"/>
      <c r="FV24"/>
      <c r="FW24"/>
      <c r="FX24"/>
      <c r="FY24"/>
      <c r="FZ24"/>
      <c r="GA24"/>
      <c r="GB24"/>
      <c r="GC24"/>
      <c r="GD24"/>
      <c r="GE24"/>
      <c r="GF24"/>
      <c r="GG24"/>
      <c r="GH24"/>
      <c r="GI24"/>
      <c r="GJ24"/>
      <c r="GK24"/>
      <c r="GL24"/>
      <c r="GM24"/>
      <c r="GN24"/>
      <c r="GO24"/>
      <c r="GP24"/>
      <c r="GQ24"/>
      <c r="GR24"/>
      <c r="GS24"/>
      <c r="GT24"/>
      <c r="GU24"/>
      <c r="GV24"/>
      <c r="GW24"/>
      <c r="GX24"/>
      <c r="GY24"/>
      <c r="GZ24"/>
      <c r="HA24"/>
      <c r="HB24"/>
      <c r="HC24"/>
      <c r="HD24"/>
      <c r="HE24"/>
      <c r="HF24"/>
      <c r="HG24"/>
      <c r="HH24"/>
      <c r="HI24"/>
      <c r="HJ24"/>
      <c r="HK24"/>
      <c r="HL24"/>
      <c r="HM24"/>
      <c r="HN24"/>
      <c r="HO24"/>
      <c r="HP24"/>
      <c r="HQ24"/>
      <c r="HR24"/>
      <c r="HS24"/>
      <c r="HT24"/>
      <c r="HU24"/>
      <c r="HV24"/>
      <c r="HW24"/>
      <c r="HX24"/>
      <c r="HY24"/>
      <c r="HZ24"/>
      <c r="IA24"/>
      <c r="IB24"/>
      <c r="IC24"/>
      <c r="ID24"/>
      <c r="IE24"/>
      <c r="IF24"/>
      <c r="IG24"/>
      <c r="IH24"/>
      <c r="II24"/>
      <c r="IJ24"/>
      <c r="IK24"/>
      <c r="IL24"/>
      <c r="IM24"/>
      <c r="IN24"/>
      <c r="IO24"/>
      <c r="IP24"/>
      <c r="IQ24"/>
      <c r="IR24"/>
      <c r="IS24"/>
      <c r="IT24"/>
      <c r="IU24"/>
      <c r="IV24"/>
    </row>
    <row r="25" spans="1:256" s="201" customFormat="1" ht="14.25" x14ac:dyDescent="0.2">
      <c r="A25" s="10">
        <v>2120</v>
      </c>
      <c r="B25" s="11" t="s">
        <v>265</v>
      </c>
      <c r="C25" s="105" t="s">
        <v>266</v>
      </c>
      <c r="D25" s="11" t="s">
        <v>154</v>
      </c>
      <c r="E25" s="12">
        <v>10281</v>
      </c>
      <c r="F25" s="202">
        <v>63</v>
      </c>
      <c r="G25" s="11">
        <v>500000</v>
      </c>
      <c r="H25" s="116">
        <v>-80000</v>
      </c>
      <c r="I25" s="192"/>
      <c r="J25" s="204"/>
      <c r="K25" s="193"/>
      <c r="L25" s="193"/>
      <c r="M25" s="193"/>
      <c r="N25" s="203">
        <f t="shared" si="0"/>
        <v>500000</v>
      </c>
      <c r="O25" s="203">
        <f t="shared" si="1"/>
        <v>420000</v>
      </c>
      <c r="P25" s="203">
        <f t="shared" si="2"/>
        <v>420000</v>
      </c>
      <c r="Q25" s="214"/>
      <c r="R25" s="219"/>
      <c r="S25" s="217">
        <v>46176</v>
      </c>
      <c r="T25" s="205"/>
      <c r="U25" s="205"/>
      <c r="V25" s="215"/>
      <c r="W25" s="212"/>
      <c r="X25" s="10">
        <v>7</v>
      </c>
      <c r="Y25" s="10">
        <v>7</v>
      </c>
      <c r="Z25" s="213">
        <f t="shared" si="3"/>
        <v>500000</v>
      </c>
      <c r="AA25" s="62"/>
      <c r="AB25" s="62"/>
      <c r="AC25" s="62"/>
      <c r="AD25" s="62"/>
      <c r="AE25" s="62"/>
      <c r="AF25" s="63"/>
      <c r="AG25" s="64"/>
      <c r="AH25" s="6">
        <v>1</v>
      </c>
      <c r="AI25">
        <f t="shared" si="4"/>
        <v>25</v>
      </c>
      <c r="AJ25">
        <f t="shared" si="5"/>
        <v>25</v>
      </c>
      <c r="AK25">
        <f t="shared" si="6"/>
        <v>0</v>
      </c>
      <c r="AL25">
        <f t="shared" si="7"/>
        <v>0</v>
      </c>
      <c r="AM25">
        <f t="shared" si="8"/>
        <v>0</v>
      </c>
      <c r="AN25">
        <f t="shared" si="9"/>
        <v>0</v>
      </c>
      <c r="AO25">
        <f t="shared" si="10"/>
        <v>0</v>
      </c>
      <c r="AP25">
        <f t="shared" si="11"/>
        <v>0</v>
      </c>
      <c r="AQ25">
        <f t="shared" si="12"/>
        <v>0</v>
      </c>
      <c r="AR25">
        <f t="shared" si="13"/>
        <v>0</v>
      </c>
      <c r="AS25">
        <f t="shared" si="14"/>
        <v>0</v>
      </c>
      <c r="AT25">
        <f t="shared" si="15"/>
        <v>0</v>
      </c>
      <c r="AU25">
        <f t="shared" si="16"/>
        <v>1</v>
      </c>
      <c r="AV25">
        <f t="shared" si="17"/>
        <v>1</v>
      </c>
      <c r="AW25">
        <f t="shared" si="18"/>
        <v>1</v>
      </c>
      <c r="AX25">
        <f t="shared" si="19"/>
        <v>1</v>
      </c>
      <c r="AY25">
        <f t="shared" si="20"/>
        <v>420000</v>
      </c>
      <c r="AZ25">
        <f t="shared" si="21"/>
        <v>420000</v>
      </c>
      <c r="BA25">
        <f t="shared" si="22"/>
        <v>0</v>
      </c>
      <c r="BB25">
        <f t="shared" si="23"/>
        <v>0</v>
      </c>
      <c r="BC25">
        <f t="shared" si="24"/>
        <v>0</v>
      </c>
      <c r="BD25">
        <f t="shared" si="25"/>
        <v>0</v>
      </c>
      <c r="BE25">
        <f t="shared" si="26"/>
        <v>0</v>
      </c>
      <c r="BF25">
        <f t="shared" si="27"/>
        <v>0</v>
      </c>
      <c r="BG25"/>
      <c r="BH25"/>
      <c r="BI25"/>
      <c r="BJ25"/>
      <c r="BK25"/>
      <c r="BL25"/>
      <c r="BM25"/>
      <c r="BN25"/>
      <c r="BO25"/>
      <c r="BP25"/>
      <c r="BQ25"/>
      <c r="BR25"/>
      <c r="BS25"/>
      <c r="BT25"/>
      <c r="BU25"/>
      <c r="BV25"/>
      <c r="BW25"/>
      <c r="BX25"/>
      <c r="BY25"/>
      <c r="BZ25"/>
      <c r="CA25"/>
      <c r="CB25"/>
      <c r="CC25"/>
      <c r="CD25"/>
      <c r="CE25"/>
      <c r="CF25"/>
      <c r="CG25"/>
      <c r="CH25"/>
      <c r="CI25"/>
      <c r="CJ25"/>
      <c r="CK25"/>
      <c r="CL25"/>
      <c r="CM25"/>
      <c r="CN25"/>
      <c r="CO25"/>
      <c r="CP25"/>
      <c r="CQ25"/>
      <c r="CR25"/>
      <c r="CS25"/>
      <c r="CT25"/>
      <c r="CU25"/>
      <c r="CV25"/>
      <c r="CW25"/>
      <c r="CX25"/>
      <c r="CY25"/>
      <c r="CZ25"/>
      <c r="DA25"/>
      <c r="DB25"/>
      <c r="DC25"/>
      <c r="DD25"/>
      <c r="DE25"/>
      <c r="DF25"/>
      <c r="DG25"/>
      <c r="DH25"/>
      <c r="DI25"/>
      <c r="DJ25"/>
      <c r="DK25"/>
      <c r="DL25"/>
      <c r="DM25"/>
      <c r="DN25"/>
      <c r="DO25"/>
      <c r="DP25"/>
      <c r="DQ25"/>
      <c r="DR25"/>
      <c r="DS25"/>
      <c r="DT25"/>
      <c r="DU25"/>
      <c r="DV25"/>
      <c r="DW25"/>
      <c r="DX25"/>
      <c r="DY25"/>
      <c r="DZ25"/>
      <c r="EA25"/>
      <c r="EB25"/>
      <c r="EC25"/>
      <c r="ED25"/>
      <c r="EE25"/>
      <c r="EF25"/>
      <c r="EG25"/>
      <c r="EH25"/>
      <c r="EI25"/>
      <c r="EJ25"/>
      <c r="EK25"/>
      <c r="EL25"/>
      <c r="EM25"/>
      <c r="EN25"/>
      <c r="EO25"/>
      <c r="EP25"/>
      <c r="EQ25"/>
      <c r="ER25"/>
      <c r="ES25"/>
      <c r="ET25"/>
      <c r="EU25"/>
      <c r="EV25"/>
      <c r="EW25"/>
      <c r="EX25"/>
      <c r="EY25"/>
      <c r="EZ25"/>
      <c r="FA25"/>
      <c r="FB25"/>
      <c r="FC25"/>
      <c r="FD25"/>
      <c r="FE25"/>
      <c r="FF25"/>
      <c r="FG25"/>
      <c r="FH25"/>
      <c r="FI25"/>
      <c r="FJ25"/>
      <c r="FK25"/>
      <c r="FL25"/>
      <c r="FM25"/>
      <c r="FN25"/>
      <c r="FO25"/>
      <c r="FP25"/>
      <c r="FQ25"/>
      <c r="FR25"/>
      <c r="FS25"/>
      <c r="FT25"/>
      <c r="FU25"/>
      <c r="FV25"/>
      <c r="FW25"/>
      <c r="FX25"/>
      <c r="FY25"/>
      <c r="FZ25"/>
      <c r="GA25"/>
      <c r="GB25"/>
      <c r="GC25"/>
      <c r="GD25"/>
      <c r="GE25"/>
      <c r="GF25"/>
      <c r="GG25"/>
      <c r="GH25"/>
      <c r="GI25"/>
      <c r="GJ25"/>
      <c r="GK25"/>
      <c r="GL25"/>
      <c r="GM25"/>
      <c r="GN25"/>
      <c r="GO25"/>
      <c r="GP25"/>
      <c r="GQ25"/>
      <c r="GR25"/>
      <c r="GS25"/>
      <c r="GT25"/>
      <c r="GU25"/>
      <c r="GV25"/>
      <c r="GW25"/>
      <c r="GX25"/>
      <c r="GY25"/>
      <c r="GZ25"/>
      <c r="HA25"/>
      <c r="HB25"/>
      <c r="HC25"/>
      <c r="HD25"/>
      <c r="HE25"/>
      <c r="HF25"/>
      <c r="HG25"/>
      <c r="HH25"/>
      <c r="HI25"/>
      <c r="HJ25"/>
      <c r="HK25"/>
      <c r="HL25"/>
      <c r="HM25"/>
      <c r="HN25"/>
      <c r="HO25"/>
      <c r="HP25"/>
      <c r="HQ25"/>
      <c r="HR25"/>
      <c r="HS25"/>
      <c r="HT25"/>
      <c r="HU25"/>
      <c r="HV25"/>
      <c r="HW25"/>
      <c r="HX25"/>
      <c r="HY25"/>
      <c r="HZ25"/>
      <c r="IA25"/>
      <c r="IB25"/>
      <c r="IC25"/>
      <c r="ID25"/>
      <c r="IE25"/>
      <c r="IF25"/>
      <c r="IG25"/>
      <c r="IH25"/>
      <c r="II25"/>
      <c r="IJ25"/>
      <c r="IK25"/>
      <c r="IL25"/>
      <c r="IM25"/>
      <c r="IN25"/>
      <c r="IO25"/>
      <c r="IP25"/>
      <c r="IQ25"/>
      <c r="IR25"/>
      <c r="IS25"/>
      <c r="IT25"/>
      <c r="IU25"/>
      <c r="IV25"/>
    </row>
    <row r="26" spans="1:256" s="201" customFormat="1" ht="14.25" x14ac:dyDescent="0.2">
      <c r="A26" s="10">
        <v>2207</v>
      </c>
      <c r="B26" s="11" t="s">
        <v>326</v>
      </c>
      <c r="C26" s="105">
        <v>2644656518</v>
      </c>
      <c r="D26" s="11" t="s">
        <v>105</v>
      </c>
      <c r="E26" s="12">
        <v>10449</v>
      </c>
      <c r="F26" s="202">
        <v>61</v>
      </c>
      <c r="G26" s="11">
        <v>60000</v>
      </c>
      <c r="H26" s="116">
        <v>0</v>
      </c>
      <c r="I26" s="192"/>
      <c r="J26" s="204"/>
      <c r="K26" s="193"/>
      <c r="L26" s="193"/>
      <c r="M26" s="193"/>
      <c r="N26" s="203">
        <f t="shared" si="0"/>
        <v>60000</v>
      </c>
      <c r="O26" s="203">
        <f t="shared" si="1"/>
        <v>60000</v>
      </c>
      <c r="P26" s="203">
        <f t="shared" si="2"/>
        <v>60000</v>
      </c>
      <c r="Q26" s="214"/>
      <c r="R26" s="219"/>
      <c r="S26" s="217">
        <v>46209</v>
      </c>
      <c r="T26" s="205"/>
      <c r="U26" s="205"/>
      <c r="V26" s="215"/>
      <c r="W26" s="212"/>
      <c r="X26" s="10">
        <v>7</v>
      </c>
      <c r="Y26" s="10">
        <v>7</v>
      </c>
      <c r="Z26" s="213">
        <f t="shared" si="3"/>
        <v>60000</v>
      </c>
      <c r="AA26" s="62"/>
      <c r="AB26" s="62"/>
      <c r="AC26" s="62"/>
      <c r="AD26" s="62"/>
      <c r="AE26" s="62"/>
      <c r="AF26" s="63"/>
      <c r="AG26" s="64"/>
      <c r="AH26" s="6">
        <v>1</v>
      </c>
      <c r="AI26">
        <f t="shared" si="4"/>
        <v>25</v>
      </c>
      <c r="AJ26">
        <f t="shared" si="5"/>
        <v>25</v>
      </c>
      <c r="AK26">
        <f t="shared" si="6"/>
        <v>0</v>
      </c>
      <c r="AL26">
        <f t="shared" si="7"/>
        <v>0</v>
      </c>
      <c r="AM26">
        <f t="shared" si="8"/>
        <v>0</v>
      </c>
      <c r="AN26">
        <f t="shared" si="9"/>
        <v>0</v>
      </c>
      <c r="AO26">
        <f t="shared" si="10"/>
        <v>0</v>
      </c>
      <c r="AP26">
        <f t="shared" si="11"/>
        <v>0</v>
      </c>
      <c r="AQ26">
        <f t="shared" si="12"/>
        <v>0</v>
      </c>
      <c r="AR26">
        <f t="shared" si="13"/>
        <v>0</v>
      </c>
      <c r="AS26">
        <f t="shared" si="14"/>
        <v>0</v>
      </c>
      <c r="AT26">
        <f t="shared" si="15"/>
        <v>0</v>
      </c>
      <c r="AU26">
        <f t="shared" si="16"/>
        <v>1</v>
      </c>
      <c r="AV26">
        <f t="shared" si="17"/>
        <v>1</v>
      </c>
      <c r="AW26">
        <f t="shared" si="18"/>
        <v>1</v>
      </c>
      <c r="AX26">
        <f t="shared" si="19"/>
        <v>1</v>
      </c>
      <c r="AY26">
        <f t="shared" si="20"/>
        <v>60000</v>
      </c>
      <c r="AZ26">
        <f t="shared" si="21"/>
        <v>60000</v>
      </c>
      <c r="BA26">
        <f t="shared" si="22"/>
        <v>0</v>
      </c>
      <c r="BB26">
        <f t="shared" si="23"/>
        <v>0</v>
      </c>
      <c r="BC26">
        <f t="shared" si="24"/>
        <v>0</v>
      </c>
      <c r="BD26">
        <f t="shared" si="25"/>
        <v>0</v>
      </c>
      <c r="BE26">
        <f t="shared" si="26"/>
        <v>0</v>
      </c>
      <c r="BF26">
        <f t="shared" si="27"/>
        <v>0</v>
      </c>
      <c r="BG26"/>
      <c r="BH26"/>
      <c r="BI26"/>
      <c r="BJ26"/>
      <c r="BK26"/>
      <c r="BL26"/>
      <c r="BM26"/>
      <c r="BN26"/>
      <c r="BO26"/>
      <c r="BP26"/>
      <c r="BQ26"/>
      <c r="BR26"/>
      <c r="BS26"/>
      <c r="BT26"/>
      <c r="BU26"/>
      <c r="BV26"/>
      <c r="BW26"/>
      <c r="BX26"/>
      <c r="BY26"/>
      <c r="BZ26"/>
      <c r="CA26"/>
      <c r="CB26"/>
      <c r="CC26"/>
      <c r="CD26"/>
      <c r="CE26"/>
      <c r="CF26"/>
      <c r="CG26"/>
      <c r="CH26"/>
      <c r="CI26"/>
      <c r="CJ26"/>
      <c r="CK26"/>
      <c r="CL26"/>
      <c r="CM26"/>
      <c r="CN26"/>
      <c r="CO26"/>
      <c r="CP26"/>
      <c r="CQ26"/>
      <c r="CR26"/>
      <c r="CS26"/>
      <c r="CT26"/>
      <c r="CU26"/>
      <c r="CV26"/>
      <c r="CW26"/>
      <c r="CX26"/>
      <c r="CY26"/>
      <c r="CZ26"/>
      <c r="DA26"/>
      <c r="DB26"/>
      <c r="DC26"/>
      <c r="DD26"/>
      <c r="DE26"/>
      <c r="DF26"/>
      <c r="DG26"/>
      <c r="DH26"/>
      <c r="DI26"/>
      <c r="DJ26"/>
      <c r="DK26"/>
      <c r="DL26"/>
      <c r="DM26"/>
      <c r="DN26"/>
      <c r="DO26"/>
      <c r="DP26"/>
      <c r="DQ26"/>
      <c r="DR26"/>
      <c r="DS26"/>
      <c r="DT26"/>
      <c r="DU26"/>
      <c r="DV26"/>
      <c r="DW26"/>
      <c r="DX26"/>
      <c r="DY26"/>
      <c r="DZ26"/>
      <c r="EA26"/>
      <c r="EB26"/>
      <c r="EC26"/>
      <c r="ED26"/>
      <c r="EE26"/>
      <c r="EF26"/>
      <c r="EG26"/>
      <c r="EH26"/>
      <c r="EI26"/>
      <c r="EJ26"/>
      <c r="EK26"/>
      <c r="EL26"/>
      <c r="EM26"/>
      <c r="EN26"/>
      <c r="EO26"/>
      <c r="EP26"/>
      <c r="EQ26"/>
      <c r="ER26"/>
      <c r="ES26"/>
      <c r="ET26"/>
      <c r="EU26"/>
      <c r="EV26"/>
      <c r="EW26"/>
      <c r="EX26"/>
      <c r="EY26"/>
      <c r="EZ26"/>
      <c r="FA26"/>
      <c r="FB26"/>
      <c r="FC26"/>
      <c r="FD26"/>
      <c r="FE26"/>
      <c r="FF26"/>
      <c r="FG26"/>
      <c r="FH26"/>
      <c r="FI26"/>
      <c r="FJ26"/>
      <c r="FK26"/>
      <c r="FL26"/>
      <c r="FM26"/>
      <c r="FN26"/>
      <c r="FO26"/>
      <c r="FP26"/>
      <c r="FQ26"/>
      <c r="FR26"/>
      <c r="FS26"/>
      <c r="FT26"/>
      <c r="FU26"/>
      <c r="FV26"/>
      <c r="FW26"/>
      <c r="FX26"/>
      <c r="FY26"/>
      <c r="FZ26"/>
      <c r="GA26"/>
      <c r="GB26"/>
      <c r="GC26"/>
      <c r="GD26"/>
      <c r="GE26"/>
      <c r="GF26"/>
      <c r="GG26"/>
      <c r="GH26"/>
      <c r="GI26"/>
      <c r="GJ26"/>
      <c r="GK26"/>
      <c r="GL26"/>
      <c r="GM26"/>
      <c r="GN26"/>
      <c r="GO26"/>
      <c r="GP26"/>
      <c r="GQ26"/>
      <c r="GR26"/>
      <c r="GS26"/>
      <c r="GT26"/>
      <c r="GU26"/>
      <c r="GV26"/>
      <c r="GW26"/>
      <c r="GX26"/>
      <c r="GY26"/>
      <c r="GZ26"/>
      <c r="HA26"/>
      <c r="HB26"/>
      <c r="HC26"/>
      <c r="HD26"/>
      <c r="HE26"/>
      <c r="HF26"/>
      <c r="HG26"/>
      <c r="HH26"/>
      <c r="HI26"/>
      <c r="HJ26"/>
      <c r="HK26"/>
      <c r="HL26"/>
      <c r="HM26"/>
      <c r="HN26"/>
      <c r="HO26"/>
      <c r="HP26"/>
      <c r="HQ26"/>
      <c r="HR26"/>
      <c r="HS26"/>
      <c r="HT26"/>
      <c r="HU26"/>
      <c r="HV26"/>
      <c r="HW26"/>
      <c r="HX26"/>
      <c r="HY26"/>
      <c r="HZ26"/>
      <c r="IA26"/>
      <c r="IB26"/>
      <c r="IC26"/>
      <c r="ID26"/>
      <c r="IE26"/>
      <c r="IF26"/>
      <c r="IG26"/>
      <c r="IH26"/>
      <c r="II26"/>
      <c r="IJ26"/>
      <c r="IK26"/>
      <c r="IL26"/>
      <c r="IM26"/>
      <c r="IN26"/>
      <c r="IO26"/>
      <c r="IP26"/>
      <c r="IQ26"/>
      <c r="IR26"/>
      <c r="IS26"/>
      <c r="IT26"/>
      <c r="IU26"/>
      <c r="IV26"/>
    </row>
    <row r="27" spans="1:256" s="201" customFormat="1" ht="14.25" x14ac:dyDescent="0.2">
      <c r="A27" s="10">
        <v>2326</v>
      </c>
      <c r="B27" s="11" t="s">
        <v>327</v>
      </c>
      <c r="C27" s="105" t="s">
        <v>328</v>
      </c>
      <c r="D27" s="11" t="s">
        <v>105</v>
      </c>
      <c r="E27" s="12">
        <v>11089</v>
      </c>
      <c r="F27" s="202">
        <v>59</v>
      </c>
      <c r="G27" s="11">
        <v>60000</v>
      </c>
      <c r="H27" s="116">
        <v>-10000</v>
      </c>
      <c r="I27" s="192"/>
      <c r="J27" s="204"/>
      <c r="K27" s="193"/>
      <c r="L27" s="193"/>
      <c r="M27" s="193"/>
      <c r="N27" s="203">
        <f t="shared" si="0"/>
        <v>60000</v>
      </c>
      <c r="O27" s="203">
        <f t="shared" si="1"/>
        <v>50000</v>
      </c>
      <c r="P27" s="203">
        <f t="shared" si="2"/>
        <v>50000</v>
      </c>
      <c r="Q27" s="214"/>
      <c r="R27" s="219"/>
      <c r="S27" s="217">
        <v>46213</v>
      </c>
      <c r="T27" s="205"/>
      <c r="U27" s="205"/>
      <c r="V27" s="215"/>
      <c r="W27" s="212"/>
      <c r="X27" s="10">
        <v>7</v>
      </c>
      <c r="Y27" s="10">
        <v>7</v>
      </c>
      <c r="Z27" s="213">
        <f t="shared" si="3"/>
        <v>60000</v>
      </c>
      <c r="AA27" s="62"/>
      <c r="AB27" s="62"/>
      <c r="AC27" s="62"/>
      <c r="AD27" s="62"/>
      <c r="AE27" s="62"/>
      <c r="AF27" s="63"/>
      <c r="AG27" s="64"/>
      <c r="AH27" s="6">
        <v>1</v>
      </c>
      <c r="AI27">
        <f t="shared" si="4"/>
        <v>25</v>
      </c>
      <c r="AJ27">
        <f t="shared" si="5"/>
        <v>25</v>
      </c>
      <c r="AK27">
        <f t="shared" si="6"/>
        <v>0</v>
      </c>
      <c r="AL27">
        <f t="shared" si="7"/>
        <v>0</v>
      </c>
      <c r="AM27">
        <f t="shared" si="8"/>
        <v>0</v>
      </c>
      <c r="AN27">
        <f t="shared" si="9"/>
        <v>0</v>
      </c>
      <c r="AO27">
        <f t="shared" si="10"/>
        <v>0</v>
      </c>
      <c r="AP27">
        <f t="shared" si="11"/>
        <v>0</v>
      </c>
      <c r="AQ27">
        <f t="shared" si="12"/>
        <v>0</v>
      </c>
      <c r="AR27">
        <f t="shared" si="13"/>
        <v>0</v>
      </c>
      <c r="AS27">
        <f t="shared" si="14"/>
        <v>0</v>
      </c>
      <c r="AT27">
        <f t="shared" si="15"/>
        <v>0</v>
      </c>
      <c r="AU27">
        <f t="shared" si="16"/>
        <v>1</v>
      </c>
      <c r="AV27">
        <f t="shared" si="17"/>
        <v>1</v>
      </c>
      <c r="AW27">
        <f t="shared" si="18"/>
        <v>1</v>
      </c>
      <c r="AX27">
        <f t="shared" si="19"/>
        <v>1</v>
      </c>
      <c r="AY27">
        <f t="shared" si="20"/>
        <v>50000</v>
      </c>
      <c r="AZ27">
        <f t="shared" si="21"/>
        <v>50000</v>
      </c>
      <c r="BA27">
        <f t="shared" si="22"/>
        <v>0</v>
      </c>
      <c r="BB27">
        <f t="shared" si="23"/>
        <v>0</v>
      </c>
      <c r="BC27">
        <f t="shared" si="24"/>
        <v>0</v>
      </c>
      <c r="BD27">
        <f t="shared" si="25"/>
        <v>0</v>
      </c>
      <c r="BE27">
        <f t="shared" si="26"/>
        <v>0</v>
      </c>
      <c r="BF27">
        <f t="shared" si="27"/>
        <v>0</v>
      </c>
      <c r="BG27"/>
      <c r="BH27"/>
      <c r="BI27"/>
      <c r="BJ27"/>
      <c r="BK27"/>
      <c r="BL27"/>
      <c r="BM27"/>
      <c r="BN27"/>
      <c r="BO27"/>
      <c r="BP27"/>
      <c r="BQ27"/>
      <c r="BR27"/>
      <c r="BS27"/>
      <c r="BT27"/>
      <c r="BU27"/>
      <c r="BV27"/>
      <c r="BW27"/>
      <c r="BX27"/>
      <c r="BY27"/>
      <c r="BZ27"/>
      <c r="CA27"/>
      <c r="CB27"/>
      <c r="CC27"/>
      <c r="CD27"/>
      <c r="CE27"/>
      <c r="CF27"/>
      <c r="CG27"/>
      <c r="CH27"/>
      <c r="CI27"/>
      <c r="CJ27"/>
      <c r="CK27"/>
      <c r="CL27"/>
      <c r="CM27"/>
      <c r="CN27"/>
      <c r="CO27"/>
      <c r="CP27"/>
      <c r="CQ27"/>
      <c r="CR27"/>
      <c r="CS27"/>
      <c r="CT27"/>
      <c r="CU27"/>
      <c r="CV27"/>
      <c r="CW27"/>
      <c r="CX27"/>
      <c r="CY27"/>
      <c r="CZ27"/>
      <c r="DA27"/>
      <c r="DB27"/>
      <c r="DC27"/>
      <c r="DD27"/>
      <c r="DE27"/>
      <c r="DF27"/>
      <c r="DG27"/>
      <c r="DH27"/>
      <c r="DI27"/>
      <c r="DJ27"/>
      <c r="DK27"/>
      <c r="DL27"/>
      <c r="DM27"/>
      <c r="DN27"/>
      <c r="DO27"/>
      <c r="DP27"/>
      <c r="DQ27"/>
      <c r="DR27"/>
      <c r="DS27"/>
      <c r="DT27"/>
      <c r="DU27"/>
      <c r="DV27"/>
      <c r="DW27"/>
      <c r="DX27"/>
      <c r="DY27"/>
      <c r="DZ27"/>
      <c r="EA27"/>
      <c r="EB27"/>
      <c r="EC27"/>
      <c r="ED27"/>
      <c r="EE27"/>
      <c r="EF27"/>
      <c r="EG27"/>
      <c r="EH27"/>
      <c r="EI27"/>
      <c r="EJ27"/>
      <c r="EK27"/>
      <c r="EL27"/>
      <c r="EM27"/>
      <c r="EN27"/>
      <c r="EO27"/>
      <c r="EP27"/>
      <c r="EQ27"/>
      <c r="ER27"/>
      <c r="ES27"/>
      <c r="ET27"/>
      <c r="EU27"/>
      <c r="EV27"/>
      <c r="EW27"/>
      <c r="EX27"/>
      <c r="EY27"/>
      <c r="EZ27"/>
      <c r="FA27"/>
      <c r="FB27"/>
      <c r="FC27"/>
      <c r="FD27"/>
      <c r="FE27"/>
      <c r="FF27"/>
      <c r="FG27"/>
      <c r="FH27"/>
      <c r="FI27"/>
      <c r="FJ27"/>
      <c r="FK27"/>
      <c r="FL27"/>
      <c r="FM27"/>
      <c r="FN27"/>
      <c r="FO27"/>
      <c r="FP27"/>
      <c r="FQ27"/>
      <c r="FR27"/>
      <c r="FS27"/>
      <c r="FT27"/>
      <c r="FU27"/>
      <c r="FV27"/>
      <c r="FW27"/>
      <c r="FX27"/>
      <c r="FY27"/>
      <c r="FZ27"/>
      <c r="GA27"/>
      <c r="GB27"/>
      <c r="GC27"/>
      <c r="GD27"/>
      <c r="GE27"/>
      <c r="GF27"/>
      <c r="GG27"/>
      <c r="GH27"/>
      <c r="GI27"/>
      <c r="GJ27"/>
      <c r="GK27"/>
      <c r="GL27"/>
      <c r="GM27"/>
      <c r="GN27"/>
      <c r="GO27"/>
      <c r="GP27"/>
      <c r="GQ27"/>
      <c r="GR27"/>
      <c r="GS27"/>
      <c r="GT27"/>
      <c r="GU27"/>
      <c r="GV27"/>
      <c r="GW27"/>
      <c r="GX27"/>
      <c r="GY27"/>
      <c r="GZ27"/>
      <c r="HA27"/>
      <c r="HB27"/>
      <c r="HC27"/>
      <c r="HD27"/>
      <c r="HE27"/>
      <c r="HF27"/>
      <c r="HG27"/>
      <c r="HH27"/>
      <c r="HI27"/>
      <c r="HJ27"/>
      <c r="HK27"/>
      <c r="HL27"/>
      <c r="HM27"/>
      <c r="HN27"/>
      <c r="HO27"/>
      <c r="HP27"/>
      <c r="HQ27"/>
      <c r="HR27"/>
      <c r="HS27"/>
      <c r="HT27"/>
      <c r="HU27"/>
      <c r="HV27"/>
      <c r="HW27"/>
      <c r="HX27"/>
      <c r="HY27"/>
      <c r="HZ27"/>
      <c r="IA27"/>
      <c r="IB27"/>
      <c r="IC27"/>
      <c r="ID27"/>
      <c r="IE27"/>
      <c r="IF27"/>
      <c r="IG27"/>
      <c r="IH27"/>
      <c r="II27"/>
      <c r="IJ27"/>
      <c r="IK27"/>
      <c r="IL27"/>
      <c r="IM27"/>
      <c r="IN27"/>
      <c r="IO27"/>
      <c r="IP27"/>
      <c r="IQ27"/>
      <c r="IR27"/>
      <c r="IS27"/>
      <c r="IT27"/>
      <c r="IU27"/>
      <c r="IV27"/>
    </row>
    <row r="28" spans="1:256" s="201" customFormat="1" ht="14.25" x14ac:dyDescent="0.2">
      <c r="A28" s="10">
        <v>2339</v>
      </c>
      <c r="B28" s="11" t="s">
        <v>329</v>
      </c>
      <c r="C28" s="105" t="s">
        <v>330</v>
      </c>
      <c r="D28" s="11" t="s">
        <v>157</v>
      </c>
      <c r="E28" s="12">
        <v>11193</v>
      </c>
      <c r="F28" s="202">
        <v>59</v>
      </c>
      <c r="G28" s="11">
        <v>60000</v>
      </c>
      <c r="H28" s="116">
        <v>0</v>
      </c>
      <c r="I28" s="192"/>
      <c r="J28" s="204"/>
      <c r="K28" s="193"/>
      <c r="L28" s="193"/>
      <c r="M28" s="193"/>
      <c r="N28" s="203">
        <f t="shared" si="0"/>
        <v>60000</v>
      </c>
      <c r="O28" s="203">
        <f t="shared" si="1"/>
        <v>60000</v>
      </c>
      <c r="P28" s="203">
        <f t="shared" si="2"/>
        <v>60000</v>
      </c>
      <c r="Q28" s="214"/>
      <c r="R28" s="219"/>
      <c r="S28" s="217">
        <v>46233</v>
      </c>
      <c r="T28" s="205"/>
      <c r="U28" s="205"/>
      <c r="V28" s="215"/>
      <c r="W28" s="212"/>
      <c r="X28" s="10">
        <v>7</v>
      </c>
      <c r="Y28" s="10">
        <v>7</v>
      </c>
      <c r="Z28" s="213">
        <f t="shared" si="3"/>
        <v>60000</v>
      </c>
      <c r="AA28" s="62"/>
      <c r="AB28" s="62"/>
      <c r="AC28" s="62"/>
      <c r="AD28" s="62"/>
      <c r="AE28" s="62"/>
      <c r="AF28" s="63"/>
      <c r="AG28" s="64"/>
      <c r="AH28" s="6">
        <v>1</v>
      </c>
      <c r="AI28">
        <f t="shared" si="4"/>
        <v>25</v>
      </c>
      <c r="AJ28">
        <f t="shared" si="5"/>
        <v>25</v>
      </c>
      <c r="AK28">
        <f t="shared" si="6"/>
        <v>0</v>
      </c>
      <c r="AL28">
        <f t="shared" si="7"/>
        <v>0</v>
      </c>
      <c r="AM28">
        <f t="shared" si="8"/>
        <v>0</v>
      </c>
      <c r="AN28">
        <f t="shared" si="9"/>
        <v>0</v>
      </c>
      <c r="AO28">
        <f t="shared" si="10"/>
        <v>0</v>
      </c>
      <c r="AP28">
        <f t="shared" si="11"/>
        <v>0</v>
      </c>
      <c r="AQ28">
        <f t="shared" si="12"/>
        <v>0</v>
      </c>
      <c r="AR28">
        <f t="shared" si="13"/>
        <v>0</v>
      </c>
      <c r="AS28">
        <f t="shared" si="14"/>
        <v>0</v>
      </c>
      <c r="AT28">
        <f t="shared" si="15"/>
        <v>0</v>
      </c>
      <c r="AU28">
        <f t="shared" si="16"/>
        <v>1</v>
      </c>
      <c r="AV28">
        <f t="shared" si="17"/>
        <v>1</v>
      </c>
      <c r="AW28">
        <f t="shared" si="18"/>
        <v>1</v>
      </c>
      <c r="AX28">
        <f t="shared" si="19"/>
        <v>1</v>
      </c>
      <c r="AY28">
        <f t="shared" si="20"/>
        <v>60000</v>
      </c>
      <c r="AZ28">
        <f t="shared" si="21"/>
        <v>60000</v>
      </c>
      <c r="BA28">
        <f t="shared" si="22"/>
        <v>0</v>
      </c>
      <c r="BB28">
        <f t="shared" si="23"/>
        <v>0</v>
      </c>
      <c r="BC28">
        <f t="shared" si="24"/>
        <v>0</v>
      </c>
      <c r="BD28">
        <f t="shared" si="25"/>
        <v>0</v>
      </c>
      <c r="BE28">
        <f t="shared" si="26"/>
        <v>0</v>
      </c>
      <c r="BF28">
        <f t="shared" si="27"/>
        <v>0</v>
      </c>
      <c r="BG28"/>
      <c r="BH28"/>
      <c r="BI28"/>
      <c r="BJ28"/>
      <c r="BK28"/>
      <c r="BL28"/>
      <c r="BM28"/>
      <c r="BN28"/>
      <c r="BO28"/>
      <c r="BP28"/>
      <c r="BQ28"/>
      <c r="BR28"/>
      <c r="BS28"/>
      <c r="BT28"/>
      <c r="BU28"/>
      <c r="BV28"/>
      <c r="BW28"/>
      <c r="BX28"/>
      <c r="BY28"/>
      <c r="BZ28"/>
      <c r="CA28"/>
      <c r="CB28"/>
      <c r="CC28"/>
      <c r="CD28"/>
      <c r="CE28"/>
      <c r="CF28"/>
      <c r="CG28"/>
      <c r="CH28"/>
      <c r="CI28"/>
      <c r="CJ28"/>
      <c r="CK28"/>
      <c r="CL28"/>
      <c r="CM28"/>
      <c r="CN28"/>
      <c r="CO28"/>
      <c r="CP28"/>
      <c r="CQ28"/>
      <c r="CR28"/>
      <c r="CS28"/>
      <c r="CT28"/>
      <c r="CU28"/>
      <c r="CV28"/>
      <c r="CW28"/>
      <c r="CX28"/>
      <c r="CY28"/>
      <c r="CZ28"/>
      <c r="DA28"/>
      <c r="DB28"/>
      <c r="DC28"/>
      <c r="DD28"/>
      <c r="DE28"/>
      <c r="DF28"/>
      <c r="DG28"/>
      <c r="DH28"/>
      <c r="DI28"/>
      <c r="DJ28"/>
      <c r="DK28"/>
      <c r="DL28"/>
      <c r="DM28"/>
      <c r="DN28"/>
      <c r="DO28"/>
      <c r="DP28"/>
      <c r="DQ28"/>
      <c r="DR28"/>
      <c r="DS28"/>
      <c r="DT28"/>
      <c r="DU28"/>
      <c r="DV28"/>
      <c r="DW28"/>
      <c r="DX28"/>
      <c r="DY28"/>
      <c r="DZ28"/>
      <c r="EA28"/>
      <c r="EB28"/>
      <c r="EC28"/>
      <c r="ED28"/>
      <c r="EE28"/>
      <c r="EF28"/>
      <c r="EG28"/>
      <c r="EH28"/>
      <c r="EI28"/>
      <c r="EJ28"/>
      <c r="EK28"/>
      <c r="EL28"/>
      <c r="EM28"/>
      <c r="EN28"/>
      <c r="EO28"/>
      <c r="EP28"/>
      <c r="EQ28"/>
      <c r="ER28"/>
      <c r="ES28"/>
      <c r="ET28"/>
      <c r="EU28"/>
      <c r="EV28"/>
      <c r="EW28"/>
      <c r="EX28"/>
      <c r="EY28"/>
      <c r="EZ28"/>
      <c r="FA28"/>
      <c r="FB28"/>
      <c r="FC28"/>
      <c r="FD28"/>
      <c r="FE28"/>
      <c r="FF28"/>
      <c r="FG28"/>
      <c r="FH28"/>
      <c r="FI28"/>
      <c r="FJ28"/>
      <c r="FK28"/>
      <c r="FL28"/>
      <c r="FM28"/>
      <c r="FN28"/>
      <c r="FO28"/>
      <c r="FP28"/>
      <c r="FQ28"/>
      <c r="FR28"/>
      <c r="FS28"/>
      <c r="FT28"/>
      <c r="FU28"/>
      <c r="FV28"/>
      <c r="FW28"/>
      <c r="FX28"/>
      <c r="FY28"/>
      <c r="FZ28"/>
      <c r="GA28"/>
      <c r="GB28"/>
      <c r="GC28"/>
      <c r="GD28"/>
      <c r="GE28"/>
      <c r="GF28"/>
      <c r="GG28"/>
      <c r="GH28"/>
      <c r="GI28"/>
      <c r="GJ28"/>
      <c r="GK28"/>
      <c r="GL28"/>
      <c r="GM28"/>
      <c r="GN28"/>
      <c r="GO28"/>
      <c r="GP28"/>
      <c r="GQ28"/>
      <c r="GR28"/>
      <c r="GS28"/>
      <c r="GT28"/>
      <c r="GU28"/>
      <c r="GV28"/>
      <c r="GW28"/>
      <c r="GX28"/>
      <c r="GY28"/>
      <c r="GZ28"/>
      <c r="HA28"/>
      <c r="HB28"/>
      <c r="HC28"/>
      <c r="HD28"/>
      <c r="HE28"/>
      <c r="HF28"/>
      <c r="HG28"/>
      <c r="HH28"/>
      <c r="HI28"/>
      <c r="HJ28"/>
      <c r="HK28"/>
      <c r="HL28"/>
      <c r="HM28"/>
      <c r="HN28"/>
      <c r="HO28"/>
      <c r="HP28"/>
      <c r="HQ28"/>
      <c r="HR28"/>
      <c r="HS28"/>
      <c r="HT28"/>
      <c r="HU28"/>
      <c r="HV28"/>
      <c r="HW28"/>
      <c r="HX28"/>
      <c r="HY28"/>
      <c r="HZ28"/>
      <c r="IA28"/>
      <c r="IB28"/>
      <c r="IC28"/>
      <c r="ID28"/>
      <c r="IE28"/>
      <c r="IF28"/>
      <c r="IG28"/>
      <c r="IH28"/>
      <c r="II28"/>
      <c r="IJ28"/>
      <c r="IK28"/>
      <c r="IL28"/>
      <c r="IM28"/>
      <c r="IN28"/>
      <c r="IO28"/>
      <c r="IP28"/>
      <c r="IQ28"/>
      <c r="IR28"/>
      <c r="IS28"/>
      <c r="IT28"/>
      <c r="IU28"/>
      <c r="IV28"/>
    </row>
    <row r="29" spans="1:256" s="201" customFormat="1" ht="14.25" x14ac:dyDescent="0.2">
      <c r="A29" s="10">
        <v>2360</v>
      </c>
      <c r="B29" s="11" t="s">
        <v>244</v>
      </c>
      <c r="C29" s="105" t="s">
        <v>245</v>
      </c>
      <c r="D29" s="11" t="s">
        <v>144</v>
      </c>
      <c r="E29" s="12">
        <v>11245</v>
      </c>
      <c r="F29" s="202">
        <v>59</v>
      </c>
      <c r="G29" s="11">
        <v>60000</v>
      </c>
      <c r="H29" s="116">
        <v>0</v>
      </c>
      <c r="I29" s="192"/>
      <c r="J29" s="204"/>
      <c r="K29" s="193"/>
      <c r="L29" s="193"/>
      <c r="M29" s="193"/>
      <c r="N29" s="203">
        <f t="shared" si="0"/>
        <v>60000</v>
      </c>
      <c r="O29" s="203">
        <f t="shared" si="1"/>
        <v>60000</v>
      </c>
      <c r="P29" s="203">
        <f t="shared" si="2"/>
        <v>60000</v>
      </c>
      <c r="Q29" s="214"/>
      <c r="R29" s="219"/>
      <c r="S29" s="217">
        <v>46216</v>
      </c>
      <c r="T29" s="205"/>
      <c r="U29" s="205"/>
      <c r="V29" s="215"/>
      <c r="W29" s="212"/>
      <c r="X29" s="10">
        <v>7</v>
      </c>
      <c r="Y29" s="10">
        <v>7</v>
      </c>
      <c r="Z29" s="213">
        <f t="shared" si="3"/>
        <v>60000</v>
      </c>
      <c r="AA29" s="62"/>
      <c r="AB29" s="62"/>
      <c r="AC29" s="62"/>
      <c r="AD29" s="62"/>
      <c r="AE29" s="62"/>
      <c r="AF29" s="63"/>
      <c r="AG29" s="64"/>
      <c r="AH29" s="6">
        <v>1</v>
      </c>
      <c r="AI29">
        <f t="shared" si="4"/>
        <v>25</v>
      </c>
      <c r="AJ29">
        <f t="shared" si="5"/>
        <v>25</v>
      </c>
      <c r="AK29">
        <f t="shared" si="6"/>
        <v>0</v>
      </c>
      <c r="AL29">
        <f t="shared" si="7"/>
        <v>0</v>
      </c>
      <c r="AM29">
        <f t="shared" si="8"/>
        <v>0</v>
      </c>
      <c r="AN29">
        <f t="shared" si="9"/>
        <v>0</v>
      </c>
      <c r="AO29">
        <f t="shared" si="10"/>
        <v>0</v>
      </c>
      <c r="AP29">
        <f t="shared" si="11"/>
        <v>0</v>
      </c>
      <c r="AQ29">
        <f t="shared" si="12"/>
        <v>0</v>
      </c>
      <c r="AR29">
        <f t="shared" si="13"/>
        <v>0</v>
      </c>
      <c r="AS29">
        <f t="shared" si="14"/>
        <v>0</v>
      </c>
      <c r="AT29">
        <f t="shared" si="15"/>
        <v>0</v>
      </c>
      <c r="AU29">
        <f t="shared" si="16"/>
        <v>1</v>
      </c>
      <c r="AV29">
        <f t="shared" si="17"/>
        <v>1</v>
      </c>
      <c r="AW29">
        <f t="shared" si="18"/>
        <v>1</v>
      </c>
      <c r="AX29">
        <f t="shared" si="19"/>
        <v>1</v>
      </c>
      <c r="AY29">
        <f t="shared" si="20"/>
        <v>60000</v>
      </c>
      <c r="AZ29">
        <f t="shared" si="21"/>
        <v>60000</v>
      </c>
      <c r="BA29">
        <f t="shared" si="22"/>
        <v>0</v>
      </c>
      <c r="BB29">
        <f t="shared" si="23"/>
        <v>0</v>
      </c>
      <c r="BC29">
        <f t="shared" si="24"/>
        <v>0</v>
      </c>
      <c r="BD29">
        <f t="shared" si="25"/>
        <v>0</v>
      </c>
      <c r="BE29">
        <f t="shared" si="26"/>
        <v>0</v>
      </c>
      <c r="BF29">
        <f t="shared" si="27"/>
        <v>0</v>
      </c>
      <c r="BG29"/>
      <c r="BH29"/>
      <c r="BI29"/>
      <c r="BJ29"/>
      <c r="BK29"/>
      <c r="BL29"/>
      <c r="BM29"/>
      <c r="BN29"/>
      <c r="BO29"/>
      <c r="BP29"/>
      <c r="BQ29"/>
      <c r="BR29"/>
      <c r="BS29"/>
      <c r="BT29"/>
      <c r="BU29"/>
      <c r="BV29"/>
      <c r="BW29"/>
      <c r="BX29"/>
      <c r="BY29"/>
      <c r="BZ29"/>
      <c r="CA29"/>
      <c r="CB29"/>
      <c r="CC29"/>
      <c r="CD29"/>
      <c r="CE29"/>
      <c r="CF29"/>
      <c r="CG29"/>
      <c r="CH29"/>
      <c r="CI29"/>
      <c r="CJ29"/>
      <c r="CK29"/>
      <c r="CL29"/>
      <c r="CM29"/>
      <c r="CN29"/>
      <c r="CO29"/>
      <c r="CP29"/>
      <c r="CQ29"/>
      <c r="CR29"/>
      <c r="CS29"/>
      <c r="CT29"/>
      <c r="CU29"/>
      <c r="CV29"/>
      <c r="CW29"/>
      <c r="CX29"/>
      <c r="CY29"/>
      <c r="CZ29"/>
      <c r="DA29"/>
      <c r="DB29"/>
      <c r="DC29"/>
      <c r="DD29"/>
      <c r="DE29"/>
      <c r="DF29"/>
      <c r="DG29"/>
      <c r="DH29"/>
      <c r="DI29"/>
      <c r="DJ29"/>
      <c r="DK29"/>
      <c r="DL29"/>
      <c r="DM29"/>
      <c r="DN29"/>
      <c r="DO29"/>
      <c r="DP29"/>
      <c r="DQ29"/>
      <c r="DR29"/>
      <c r="DS29"/>
      <c r="DT29"/>
      <c r="DU29"/>
      <c r="DV29"/>
      <c r="DW29"/>
      <c r="DX29"/>
      <c r="DY29"/>
      <c r="DZ29"/>
      <c r="EA29"/>
      <c r="EB29"/>
      <c r="EC29"/>
      <c r="ED29"/>
      <c r="EE29"/>
      <c r="EF29"/>
      <c r="EG29"/>
      <c r="EH29"/>
      <c r="EI29"/>
      <c r="EJ29"/>
      <c r="EK29"/>
      <c r="EL29"/>
      <c r="EM29"/>
      <c r="EN29"/>
      <c r="EO29"/>
      <c r="EP29"/>
      <c r="EQ29"/>
      <c r="ER29"/>
      <c r="ES29"/>
      <c r="ET29"/>
      <c r="EU29"/>
      <c r="EV29"/>
      <c r="EW29"/>
      <c r="EX29"/>
      <c r="EY29"/>
      <c r="EZ29"/>
      <c r="FA29"/>
      <c r="FB29"/>
      <c r="FC29"/>
      <c r="FD29"/>
      <c r="FE29"/>
      <c r="FF29"/>
      <c r="FG29"/>
      <c r="FH29"/>
      <c r="FI29"/>
      <c r="FJ29"/>
      <c r="FK29"/>
      <c r="FL29"/>
      <c r="FM29"/>
      <c r="FN29"/>
      <c r="FO29"/>
      <c r="FP29"/>
      <c r="FQ29"/>
      <c r="FR29"/>
      <c r="FS29"/>
      <c r="FT29"/>
      <c r="FU29"/>
      <c r="FV29"/>
      <c r="FW29"/>
      <c r="FX29"/>
      <c r="FY29"/>
      <c r="FZ29"/>
      <c r="GA29"/>
      <c r="GB29"/>
      <c r="GC29"/>
      <c r="GD29"/>
      <c r="GE29"/>
      <c r="GF29"/>
      <c r="GG29"/>
      <c r="GH29"/>
      <c r="GI29"/>
      <c r="GJ29"/>
      <c r="GK29"/>
      <c r="GL29"/>
      <c r="GM29"/>
      <c r="GN29"/>
      <c r="GO29"/>
      <c r="GP29"/>
      <c r="GQ29"/>
      <c r="GR29"/>
      <c r="GS29"/>
      <c r="GT29"/>
      <c r="GU29"/>
      <c r="GV29"/>
      <c r="GW29"/>
      <c r="GX29"/>
      <c r="GY29"/>
      <c r="GZ29"/>
      <c r="HA29"/>
      <c r="HB29"/>
      <c r="HC29"/>
      <c r="HD29"/>
      <c r="HE29"/>
      <c r="HF29"/>
      <c r="HG29"/>
      <c r="HH29"/>
      <c r="HI29"/>
      <c r="HJ29"/>
      <c r="HK29"/>
      <c r="HL29"/>
      <c r="HM29"/>
      <c r="HN29"/>
      <c r="HO29"/>
      <c r="HP29"/>
      <c r="HQ29"/>
      <c r="HR29"/>
      <c r="HS29"/>
      <c r="HT29"/>
      <c r="HU29"/>
      <c r="HV29"/>
      <c r="HW29"/>
      <c r="HX29"/>
      <c r="HY29"/>
      <c r="HZ29"/>
      <c r="IA29"/>
      <c r="IB29"/>
      <c r="IC29"/>
      <c r="ID29"/>
      <c r="IE29"/>
      <c r="IF29"/>
      <c r="IG29"/>
      <c r="IH29"/>
      <c r="II29"/>
      <c r="IJ29"/>
      <c r="IK29"/>
      <c r="IL29"/>
      <c r="IM29"/>
      <c r="IN29"/>
      <c r="IO29"/>
      <c r="IP29"/>
      <c r="IQ29"/>
      <c r="IR29"/>
      <c r="IS29"/>
      <c r="IT29"/>
      <c r="IU29"/>
      <c r="IV29"/>
    </row>
    <row r="30" spans="1:256" s="201" customFormat="1" ht="14.25" x14ac:dyDescent="0.2">
      <c r="A30" s="10">
        <v>2374</v>
      </c>
      <c r="B30" s="11" t="s">
        <v>331</v>
      </c>
      <c r="C30" s="105" t="s">
        <v>332</v>
      </c>
      <c r="D30" s="11" t="s">
        <v>106</v>
      </c>
      <c r="E30" s="12">
        <v>11219</v>
      </c>
      <c r="F30" s="202">
        <v>58</v>
      </c>
      <c r="G30" s="11">
        <v>60000</v>
      </c>
      <c r="H30" s="116">
        <v>-4500</v>
      </c>
      <c r="I30" s="192"/>
      <c r="J30" s="204"/>
      <c r="K30" s="193"/>
      <c r="L30" s="193"/>
      <c r="M30" s="193"/>
      <c r="N30" s="203">
        <f t="shared" si="0"/>
        <v>60000</v>
      </c>
      <c r="O30" s="203">
        <f t="shared" si="1"/>
        <v>55500</v>
      </c>
      <c r="P30" s="203">
        <f t="shared" si="2"/>
        <v>55500</v>
      </c>
      <c r="Q30" s="214"/>
      <c r="R30" s="219"/>
      <c r="S30" s="217">
        <v>46234</v>
      </c>
      <c r="T30" s="205"/>
      <c r="U30" s="205"/>
      <c r="V30" s="215"/>
      <c r="W30" s="212"/>
      <c r="X30" s="10">
        <v>7</v>
      </c>
      <c r="Y30" s="10">
        <v>7</v>
      </c>
      <c r="Z30" s="213">
        <f t="shared" si="3"/>
        <v>60000</v>
      </c>
      <c r="AA30" s="62"/>
      <c r="AB30" s="62"/>
      <c r="AC30" s="62"/>
      <c r="AD30" s="62"/>
      <c r="AE30" s="62"/>
      <c r="AF30" s="63"/>
      <c r="AG30" s="64"/>
      <c r="AH30" s="6">
        <v>1</v>
      </c>
      <c r="AI30">
        <f t="shared" si="4"/>
        <v>25</v>
      </c>
      <c r="AJ30">
        <f t="shared" si="5"/>
        <v>25</v>
      </c>
      <c r="AK30">
        <f t="shared" si="6"/>
        <v>0</v>
      </c>
      <c r="AL30">
        <f t="shared" si="7"/>
        <v>0</v>
      </c>
      <c r="AM30">
        <f t="shared" si="8"/>
        <v>0</v>
      </c>
      <c r="AN30">
        <f t="shared" si="9"/>
        <v>0</v>
      </c>
      <c r="AO30">
        <f t="shared" si="10"/>
        <v>0</v>
      </c>
      <c r="AP30">
        <f t="shared" si="11"/>
        <v>0</v>
      </c>
      <c r="AQ30">
        <f t="shared" si="12"/>
        <v>0</v>
      </c>
      <c r="AR30">
        <f t="shared" si="13"/>
        <v>0</v>
      </c>
      <c r="AS30">
        <f t="shared" si="14"/>
        <v>0</v>
      </c>
      <c r="AT30">
        <f t="shared" si="15"/>
        <v>0</v>
      </c>
      <c r="AU30">
        <f t="shared" si="16"/>
        <v>1</v>
      </c>
      <c r="AV30">
        <f t="shared" si="17"/>
        <v>1</v>
      </c>
      <c r="AW30">
        <f t="shared" si="18"/>
        <v>1</v>
      </c>
      <c r="AX30">
        <f t="shared" si="19"/>
        <v>1</v>
      </c>
      <c r="AY30">
        <f t="shared" si="20"/>
        <v>55500</v>
      </c>
      <c r="AZ30">
        <f t="shared" si="21"/>
        <v>55500</v>
      </c>
      <c r="BA30">
        <f t="shared" si="22"/>
        <v>0</v>
      </c>
      <c r="BB30">
        <f t="shared" si="23"/>
        <v>0</v>
      </c>
      <c r="BC30">
        <f t="shared" si="24"/>
        <v>0</v>
      </c>
      <c r="BD30">
        <f t="shared" si="25"/>
        <v>0</v>
      </c>
      <c r="BE30">
        <f t="shared" si="26"/>
        <v>0</v>
      </c>
      <c r="BF30">
        <f t="shared" si="27"/>
        <v>0</v>
      </c>
      <c r="BG30"/>
      <c r="BH30"/>
      <c r="BI30"/>
      <c r="BJ30"/>
      <c r="BK30"/>
      <c r="BL30"/>
      <c r="BM30"/>
      <c r="BN30"/>
      <c r="BO30"/>
      <c r="BP30"/>
      <c r="BQ30"/>
      <c r="BR30"/>
      <c r="BS30"/>
      <c r="BT30"/>
      <c r="BU30"/>
      <c r="BV30"/>
      <c r="BW30"/>
      <c r="BX30"/>
      <c r="BY30"/>
      <c r="BZ30"/>
      <c r="CA30"/>
      <c r="CB30"/>
      <c r="CC30"/>
      <c r="CD30"/>
      <c r="CE30"/>
      <c r="CF30"/>
      <c r="CG30"/>
      <c r="CH30"/>
      <c r="CI30"/>
      <c r="CJ30"/>
      <c r="CK30"/>
      <c r="CL30"/>
      <c r="CM30"/>
      <c r="CN30"/>
      <c r="CO30"/>
      <c r="CP30"/>
      <c r="CQ30"/>
      <c r="CR30"/>
      <c r="CS30"/>
      <c r="CT30"/>
      <c r="CU30"/>
      <c r="CV30"/>
      <c r="CW30"/>
      <c r="CX30"/>
      <c r="CY30"/>
      <c r="CZ30"/>
      <c r="DA30"/>
      <c r="DB30"/>
      <c r="DC30"/>
      <c r="DD30"/>
      <c r="DE30"/>
      <c r="DF30"/>
      <c r="DG30"/>
      <c r="DH30"/>
      <c r="DI30"/>
      <c r="DJ30"/>
      <c r="DK30"/>
      <c r="DL30"/>
      <c r="DM30"/>
      <c r="DN30"/>
      <c r="DO30"/>
      <c r="DP30"/>
      <c r="DQ30"/>
      <c r="DR30"/>
      <c r="DS30"/>
      <c r="DT30"/>
      <c r="DU30"/>
      <c r="DV30"/>
      <c r="DW30"/>
      <c r="DX30"/>
      <c r="DY30"/>
      <c r="DZ30"/>
      <c r="EA30"/>
      <c r="EB30"/>
      <c r="EC30"/>
      <c r="ED30"/>
      <c r="EE30"/>
      <c r="EF30"/>
      <c r="EG30"/>
      <c r="EH30"/>
      <c r="EI30"/>
      <c r="EJ30"/>
      <c r="EK30"/>
      <c r="EL30"/>
      <c r="EM30"/>
      <c r="EN30"/>
      <c r="EO30"/>
      <c r="EP30"/>
      <c r="EQ30"/>
      <c r="ER30"/>
      <c r="ES30"/>
      <c r="ET30"/>
      <c r="EU30"/>
      <c r="EV30"/>
      <c r="EW30"/>
      <c r="EX30"/>
      <c r="EY30"/>
      <c r="EZ30"/>
      <c r="FA30"/>
      <c r="FB30"/>
      <c r="FC30"/>
      <c r="FD30"/>
      <c r="FE30"/>
      <c r="FF30"/>
      <c r="FG30"/>
      <c r="FH30"/>
      <c r="FI30"/>
      <c r="FJ30"/>
      <c r="FK30"/>
      <c r="FL30"/>
      <c r="FM30"/>
      <c r="FN30"/>
      <c r="FO30"/>
      <c r="FP30"/>
      <c r="FQ30"/>
      <c r="FR30"/>
      <c r="FS30"/>
      <c r="FT30"/>
      <c r="FU30"/>
      <c r="FV30"/>
      <c r="FW30"/>
      <c r="FX30"/>
      <c r="FY30"/>
      <c r="FZ30"/>
      <c r="GA30"/>
      <c r="GB30"/>
      <c r="GC30"/>
      <c r="GD30"/>
      <c r="GE30"/>
      <c r="GF30"/>
      <c r="GG30"/>
      <c r="GH30"/>
      <c r="GI30"/>
      <c r="GJ30"/>
      <c r="GK30"/>
      <c r="GL30"/>
      <c r="GM30"/>
      <c r="GN30"/>
      <c r="GO30"/>
      <c r="GP30"/>
      <c r="GQ30"/>
      <c r="GR30"/>
      <c r="GS30"/>
      <c r="GT30"/>
      <c r="GU30"/>
      <c r="GV30"/>
      <c r="GW30"/>
      <c r="GX30"/>
      <c r="GY30"/>
      <c r="GZ30"/>
      <c r="HA30"/>
      <c r="HB30"/>
      <c r="HC30"/>
      <c r="HD30"/>
      <c r="HE30"/>
      <c r="HF30"/>
      <c r="HG30"/>
      <c r="HH30"/>
      <c r="HI30"/>
      <c r="HJ30"/>
      <c r="HK30"/>
      <c r="HL30"/>
      <c r="HM30"/>
      <c r="HN30"/>
      <c r="HO30"/>
      <c r="HP30"/>
      <c r="HQ30"/>
      <c r="HR30"/>
      <c r="HS30"/>
      <c r="HT30"/>
      <c r="HU30"/>
      <c r="HV30"/>
      <c r="HW30"/>
      <c r="HX30"/>
      <c r="HY30"/>
      <c r="HZ30"/>
      <c r="IA30"/>
      <c r="IB30"/>
      <c r="IC30"/>
      <c r="ID30"/>
      <c r="IE30"/>
      <c r="IF30"/>
      <c r="IG30"/>
      <c r="IH30"/>
      <c r="II30"/>
      <c r="IJ30"/>
      <c r="IK30"/>
      <c r="IL30"/>
      <c r="IM30"/>
      <c r="IN30"/>
      <c r="IO30"/>
      <c r="IP30"/>
      <c r="IQ30"/>
      <c r="IR30"/>
      <c r="IS30"/>
      <c r="IT30"/>
      <c r="IU30"/>
      <c r="IV30"/>
    </row>
    <row r="31" spans="1:256" s="201" customFormat="1" ht="14.25" x14ac:dyDescent="0.2">
      <c r="A31" s="10">
        <v>2461</v>
      </c>
      <c r="B31" s="11" t="s">
        <v>333</v>
      </c>
      <c r="C31" s="105" t="s">
        <v>334</v>
      </c>
      <c r="D31" s="11" t="s">
        <v>144</v>
      </c>
      <c r="E31" s="12">
        <v>11305</v>
      </c>
      <c r="F31" s="202">
        <v>57</v>
      </c>
      <c r="G31" s="11">
        <v>55000</v>
      </c>
      <c r="H31" s="116">
        <v>0</v>
      </c>
      <c r="I31" s="192"/>
      <c r="J31" s="204"/>
      <c r="K31" s="193"/>
      <c r="L31" s="193"/>
      <c r="M31" s="193"/>
      <c r="N31" s="203">
        <f t="shared" si="0"/>
        <v>55000</v>
      </c>
      <c r="O31" s="203">
        <f t="shared" si="1"/>
        <v>55000</v>
      </c>
      <c r="P31" s="203">
        <f t="shared" si="2"/>
        <v>55000</v>
      </c>
      <c r="Q31" s="214"/>
      <c r="R31" s="219"/>
      <c r="S31" s="217">
        <v>46217</v>
      </c>
      <c r="T31" s="205"/>
      <c r="U31" s="205"/>
      <c r="V31" s="215"/>
      <c r="W31" s="212"/>
      <c r="X31" s="10">
        <v>7</v>
      </c>
      <c r="Y31" s="10">
        <v>7</v>
      </c>
      <c r="Z31" s="213">
        <f t="shared" si="3"/>
        <v>55000</v>
      </c>
      <c r="AA31" s="62"/>
      <c r="AB31" s="62"/>
      <c r="AC31" s="62"/>
      <c r="AD31" s="62"/>
      <c r="AE31" s="62"/>
      <c r="AF31" s="63"/>
      <c r="AG31" s="64"/>
      <c r="AH31" s="6">
        <v>1</v>
      </c>
      <c r="AI31">
        <f t="shared" si="4"/>
        <v>25</v>
      </c>
      <c r="AJ31">
        <f t="shared" si="5"/>
        <v>25</v>
      </c>
      <c r="AK31">
        <f t="shared" si="6"/>
        <v>0</v>
      </c>
      <c r="AL31">
        <f t="shared" si="7"/>
        <v>0</v>
      </c>
      <c r="AM31">
        <f t="shared" si="8"/>
        <v>0</v>
      </c>
      <c r="AN31">
        <f t="shared" si="9"/>
        <v>0</v>
      </c>
      <c r="AO31">
        <f t="shared" si="10"/>
        <v>0</v>
      </c>
      <c r="AP31">
        <f t="shared" si="11"/>
        <v>0</v>
      </c>
      <c r="AQ31">
        <f t="shared" si="12"/>
        <v>0</v>
      </c>
      <c r="AR31">
        <f t="shared" si="13"/>
        <v>0</v>
      </c>
      <c r="AS31">
        <f t="shared" si="14"/>
        <v>0</v>
      </c>
      <c r="AT31">
        <f t="shared" si="15"/>
        <v>0</v>
      </c>
      <c r="AU31">
        <f t="shared" si="16"/>
        <v>1</v>
      </c>
      <c r="AV31">
        <f t="shared" si="17"/>
        <v>1</v>
      </c>
      <c r="AW31">
        <f t="shared" si="18"/>
        <v>1</v>
      </c>
      <c r="AX31">
        <f t="shared" si="19"/>
        <v>1</v>
      </c>
      <c r="AY31">
        <f t="shared" si="20"/>
        <v>55000</v>
      </c>
      <c r="AZ31">
        <f t="shared" si="21"/>
        <v>55000</v>
      </c>
      <c r="BA31">
        <f t="shared" si="22"/>
        <v>0</v>
      </c>
      <c r="BB31">
        <f t="shared" si="23"/>
        <v>0</v>
      </c>
      <c r="BC31">
        <f t="shared" si="24"/>
        <v>0</v>
      </c>
      <c r="BD31">
        <f t="shared" si="25"/>
        <v>0</v>
      </c>
      <c r="BE31">
        <f t="shared" si="26"/>
        <v>0</v>
      </c>
      <c r="BF31">
        <f t="shared" si="27"/>
        <v>0</v>
      </c>
      <c r="BG31"/>
      <c r="BH31"/>
      <c r="BI31"/>
      <c r="BJ31"/>
      <c r="BK31"/>
      <c r="BL31"/>
      <c r="BM31"/>
      <c r="BN31"/>
      <c r="BO31"/>
      <c r="BP31"/>
      <c r="BQ31"/>
      <c r="BR31"/>
      <c r="BS31"/>
      <c r="BT31"/>
      <c r="BU31"/>
      <c r="BV31"/>
      <c r="BW31"/>
      <c r="BX31"/>
      <c r="BY31"/>
      <c r="BZ31"/>
      <c r="CA31"/>
      <c r="CB31"/>
      <c r="CC31"/>
      <c r="CD31"/>
      <c r="CE31"/>
      <c r="CF31"/>
      <c r="CG31"/>
      <c r="CH31"/>
      <c r="CI31"/>
      <c r="CJ31"/>
      <c r="CK31"/>
      <c r="CL31"/>
      <c r="CM31"/>
      <c r="CN31"/>
      <c r="CO31"/>
      <c r="CP31"/>
      <c r="CQ31"/>
      <c r="CR31"/>
      <c r="CS31"/>
      <c r="CT31"/>
      <c r="CU31"/>
      <c r="CV31"/>
      <c r="CW31"/>
      <c r="CX31"/>
      <c r="CY31"/>
      <c r="CZ31"/>
      <c r="DA31"/>
      <c r="DB31"/>
      <c r="DC31"/>
      <c r="DD31"/>
      <c r="DE31"/>
      <c r="DF31"/>
      <c r="DG31"/>
      <c r="DH31"/>
      <c r="DI31"/>
      <c r="DJ31"/>
      <c r="DK31"/>
      <c r="DL31"/>
      <c r="DM31"/>
      <c r="DN31"/>
      <c r="DO31"/>
      <c r="DP31"/>
      <c r="DQ31"/>
      <c r="DR31"/>
      <c r="DS31"/>
      <c r="DT31"/>
      <c r="DU31"/>
      <c r="DV31"/>
      <c r="DW31"/>
      <c r="DX31"/>
      <c r="DY31"/>
      <c r="DZ31"/>
      <c r="EA31"/>
      <c r="EB31"/>
      <c r="EC31"/>
      <c r="ED31"/>
      <c r="EE31"/>
      <c r="EF31"/>
      <c r="EG31"/>
      <c r="EH31"/>
      <c r="EI31"/>
      <c r="EJ31"/>
      <c r="EK31"/>
      <c r="EL31"/>
      <c r="EM31"/>
      <c r="EN31"/>
      <c r="EO31"/>
      <c r="EP31"/>
      <c r="EQ31"/>
      <c r="ER31"/>
      <c r="ES31"/>
      <c r="ET31"/>
      <c r="EU31"/>
      <c r="EV31"/>
      <c r="EW31"/>
      <c r="EX31"/>
      <c r="EY31"/>
      <c r="EZ31"/>
      <c r="FA31"/>
      <c r="FB31"/>
      <c r="FC31"/>
      <c r="FD31"/>
      <c r="FE31"/>
      <c r="FF31"/>
      <c r="FG31"/>
      <c r="FH31"/>
      <c r="FI31"/>
      <c r="FJ31"/>
      <c r="FK31"/>
      <c r="FL31"/>
      <c r="FM31"/>
      <c r="FN31"/>
      <c r="FO31"/>
      <c r="FP31"/>
      <c r="FQ31"/>
      <c r="FR31"/>
      <c r="FS31"/>
      <c r="FT31"/>
      <c r="FU31"/>
      <c r="FV31"/>
      <c r="FW31"/>
      <c r="FX31"/>
      <c r="FY31"/>
      <c r="FZ31"/>
      <c r="GA31"/>
      <c r="GB31"/>
      <c r="GC31"/>
      <c r="GD31"/>
      <c r="GE31"/>
      <c r="GF31"/>
      <c r="GG31"/>
      <c r="GH31"/>
      <c r="GI31"/>
      <c r="GJ31"/>
      <c r="GK31"/>
      <c r="GL31"/>
      <c r="GM31"/>
      <c r="GN31"/>
      <c r="GO31"/>
      <c r="GP31"/>
      <c r="GQ31"/>
      <c r="GR31"/>
      <c r="GS31"/>
      <c r="GT31"/>
      <c r="GU31"/>
      <c r="GV31"/>
      <c r="GW31"/>
      <c r="GX31"/>
      <c r="GY31"/>
      <c r="GZ31"/>
      <c r="HA31"/>
      <c r="HB31"/>
      <c r="HC31"/>
      <c r="HD31"/>
      <c r="HE31"/>
      <c r="HF31"/>
      <c r="HG31"/>
      <c r="HH31"/>
      <c r="HI31"/>
      <c r="HJ31"/>
      <c r="HK31"/>
      <c r="HL31"/>
      <c r="HM31"/>
      <c r="HN31"/>
      <c r="HO31"/>
      <c r="HP31"/>
      <c r="HQ31"/>
      <c r="HR31"/>
      <c r="HS31"/>
      <c r="HT31"/>
      <c r="HU31"/>
      <c r="HV31"/>
      <c r="HW31"/>
      <c r="HX31"/>
      <c r="HY31"/>
      <c r="HZ31"/>
      <c r="IA31"/>
      <c r="IB31"/>
      <c r="IC31"/>
      <c r="ID31"/>
      <c r="IE31"/>
      <c r="IF31"/>
      <c r="IG31"/>
      <c r="IH31"/>
      <c r="II31"/>
      <c r="IJ31"/>
      <c r="IK31"/>
      <c r="IL31"/>
      <c r="IM31"/>
      <c r="IN31"/>
      <c r="IO31"/>
      <c r="IP31"/>
      <c r="IQ31"/>
      <c r="IR31"/>
      <c r="IS31"/>
      <c r="IT31"/>
      <c r="IU31"/>
      <c r="IV31"/>
    </row>
    <row r="32" spans="1:256" s="201" customFormat="1" ht="14.25" x14ac:dyDescent="0.2">
      <c r="A32" s="10">
        <v>2486</v>
      </c>
      <c r="B32" s="11" t="s">
        <v>267</v>
      </c>
      <c r="C32" s="105" t="s">
        <v>268</v>
      </c>
      <c r="D32" s="11" t="s">
        <v>269</v>
      </c>
      <c r="E32" s="12">
        <v>11347</v>
      </c>
      <c r="F32" s="202">
        <v>56</v>
      </c>
      <c r="G32" s="11">
        <v>40000</v>
      </c>
      <c r="H32" s="116">
        <v>-45000</v>
      </c>
      <c r="I32" s="192"/>
      <c r="J32" s="204"/>
      <c r="K32" s="193"/>
      <c r="L32" s="193"/>
      <c r="M32" s="193"/>
      <c r="N32" s="203">
        <f t="shared" si="0"/>
        <v>40000</v>
      </c>
      <c r="O32" s="203">
        <f t="shared" si="1"/>
        <v>-5000</v>
      </c>
      <c r="P32" s="203">
        <f t="shared" si="2"/>
        <v>0</v>
      </c>
      <c r="Q32" s="214"/>
      <c r="R32" s="219"/>
      <c r="S32" s="217">
        <v>46216</v>
      </c>
      <c r="T32" s="205"/>
      <c r="U32" s="205"/>
      <c r="V32" s="215"/>
      <c r="W32" s="212"/>
      <c r="X32" s="10">
        <v>7</v>
      </c>
      <c r="Y32" s="10">
        <v>7</v>
      </c>
      <c r="Z32" s="213">
        <f t="shared" si="3"/>
        <v>40000</v>
      </c>
      <c r="AA32" s="62"/>
      <c r="AB32" s="62"/>
      <c r="AC32" s="62"/>
      <c r="AD32" s="62"/>
      <c r="AE32" s="62"/>
      <c r="AF32" s="63"/>
      <c r="AG32" s="64"/>
      <c r="AH32" s="6">
        <v>1</v>
      </c>
      <c r="AI32">
        <f t="shared" si="4"/>
        <v>25</v>
      </c>
      <c r="AJ32">
        <f t="shared" si="5"/>
        <v>25</v>
      </c>
      <c r="AK32">
        <f t="shared" si="6"/>
        <v>0</v>
      </c>
      <c r="AL32">
        <f t="shared" si="7"/>
        <v>0</v>
      </c>
      <c r="AM32">
        <f t="shared" si="8"/>
        <v>0</v>
      </c>
      <c r="AN32">
        <f t="shared" si="9"/>
        <v>0</v>
      </c>
      <c r="AO32">
        <f t="shared" si="10"/>
        <v>0</v>
      </c>
      <c r="AP32">
        <f t="shared" si="11"/>
        <v>0</v>
      </c>
      <c r="AQ32">
        <f t="shared" si="12"/>
        <v>0</v>
      </c>
      <c r="AR32">
        <f t="shared" si="13"/>
        <v>0</v>
      </c>
      <c r="AS32">
        <f t="shared" si="14"/>
        <v>0</v>
      </c>
      <c r="AT32">
        <f t="shared" si="15"/>
        <v>0</v>
      </c>
      <c r="AU32">
        <f t="shared" si="16"/>
        <v>0</v>
      </c>
      <c r="AV32">
        <f t="shared" si="17"/>
        <v>0</v>
      </c>
      <c r="AW32">
        <f t="shared" si="18"/>
        <v>0</v>
      </c>
      <c r="AX32">
        <f t="shared" si="19"/>
        <v>0</v>
      </c>
      <c r="AY32">
        <f t="shared" si="20"/>
        <v>0</v>
      </c>
      <c r="AZ32">
        <f t="shared" si="21"/>
        <v>0</v>
      </c>
      <c r="BA32">
        <f t="shared" si="22"/>
        <v>0</v>
      </c>
      <c r="BB32">
        <f t="shared" si="23"/>
        <v>0</v>
      </c>
      <c r="BC32">
        <f t="shared" si="24"/>
        <v>0</v>
      </c>
      <c r="BD32">
        <f t="shared" si="25"/>
        <v>0</v>
      </c>
      <c r="BE32">
        <f t="shared" si="26"/>
        <v>0</v>
      </c>
      <c r="BF32">
        <f t="shared" si="27"/>
        <v>0</v>
      </c>
      <c r="BG32"/>
      <c r="BH32"/>
      <c r="BI32"/>
      <c r="BJ32"/>
      <c r="BK32"/>
      <c r="BL32"/>
      <c r="BM32"/>
      <c r="BN32"/>
      <c r="BO32"/>
      <c r="BP32"/>
      <c r="BQ32"/>
      <c r="BR32"/>
      <c r="BS32"/>
      <c r="BT32"/>
      <c r="BU32"/>
      <c r="BV32"/>
      <c r="BW32"/>
      <c r="BX32"/>
      <c r="BY32"/>
      <c r="BZ32"/>
      <c r="CA32"/>
      <c r="CB32"/>
      <c r="CC32"/>
      <c r="CD32"/>
      <c r="CE32"/>
      <c r="CF32"/>
      <c r="CG32"/>
      <c r="CH32"/>
      <c r="CI32"/>
      <c r="CJ32"/>
      <c r="CK32"/>
      <c r="CL32"/>
      <c r="CM32"/>
      <c r="CN32"/>
      <c r="CO32"/>
      <c r="CP32"/>
      <c r="CQ32"/>
      <c r="CR32"/>
      <c r="CS32"/>
      <c r="CT32"/>
      <c r="CU32"/>
      <c r="CV32"/>
      <c r="CW32"/>
      <c r="CX32"/>
      <c r="CY32"/>
      <c r="CZ32"/>
      <c r="DA32"/>
      <c r="DB32"/>
      <c r="DC32"/>
      <c r="DD32"/>
      <c r="DE32"/>
      <c r="DF32"/>
      <c r="DG32"/>
      <c r="DH32"/>
      <c r="DI32"/>
      <c r="DJ32"/>
      <c r="DK32"/>
      <c r="DL32"/>
      <c r="DM32"/>
      <c r="DN32"/>
      <c r="DO32"/>
      <c r="DP32"/>
      <c r="DQ32"/>
      <c r="DR32"/>
      <c r="DS32"/>
      <c r="DT32"/>
      <c r="DU32"/>
      <c r="DV32"/>
      <c r="DW32"/>
      <c r="DX32"/>
      <c r="DY32"/>
      <c r="DZ32"/>
      <c r="EA32"/>
      <c r="EB32"/>
      <c r="EC32"/>
      <c r="ED32"/>
      <c r="EE32"/>
      <c r="EF32"/>
      <c r="EG32"/>
      <c r="EH32"/>
      <c r="EI32"/>
      <c r="EJ32"/>
      <c r="EK32"/>
      <c r="EL32"/>
      <c r="EM32"/>
      <c r="EN32"/>
      <c r="EO32"/>
      <c r="EP32"/>
      <c r="EQ32"/>
      <c r="ER32"/>
      <c r="ES32"/>
      <c r="ET32"/>
      <c r="EU32"/>
      <c r="EV32"/>
      <c r="EW32"/>
      <c r="EX32"/>
      <c r="EY32"/>
      <c r="EZ32"/>
      <c r="FA32"/>
      <c r="FB32"/>
      <c r="FC32"/>
      <c r="FD32"/>
      <c r="FE32"/>
      <c r="FF32"/>
      <c r="FG32"/>
      <c r="FH32"/>
      <c r="FI32"/>
      <c r="FJ32"/>
      <c r="FK32"/>
      <c r="FL32"/>
      <c r="FM32"/>
      <c r="FN32"/>
      <c r="FO32"/>
      <c r="FP32"/>
      <c r="FQ32"/>
      <c r="FR32"/>
      <c r="FS32"/>
      <c r="FT32"/>
      <c r="FU32"/>
      <c r="FV32"/>
      <c r="FW32"/>
      <c r="FX32"/>
      <c r="FY32"/>
      <c r="FZ32"/>
      <c r="GA32"/>
      <c r="GB32"/>
      <c r="GC32"/>
      <c r="GD32"/>
      <c r="GE32"/>
      <c r="GF32"/>
      <c r="GG32"/>
      <c r="GH32"/>
      <c r="GI32"/>
      <c r="GJ32"/>
      <c r="GK32"/>
      <c r="GL32"/>
      <c r="GM32"/>
      <c r="GN32"/>
      <c r="GO32"/>
      <c r="GP32"/>
      <c r="GQ32"/>
      <c r="GR32"/>
      <c r="GS32"/>
      <c r="GT32"/>
      <c r="GU32"/>
      <c r="GV32"/>
      <c r="GW32"/>
      <c r="GX32"/>
      <c r="GY32"/>
      <c r="GZ32"/>
      <c r="HA32"/>
      <c r="HB32"/>
      <c r="HC32"/>
      <c r="HD32"/>
      <c r="HE32"/>
      <c r="HF32"/>
      <c r="HG32"/>
      <c r="HH32"/>
      <c r="HI32"/>
      <c r="HJ32"/>
      <c r="HK32"/>
      <c r="HL32"/>
      <c r="HM32"/>
      <c r="HN32"/>
      <c r="HO32"/>
      <c r="HP32"/>
      <c r="HQ32"/>
      <c r="HR32"/>
      <c r="HS32"/>
      <c r="HT32"/>
      <c r="HU32"/>
      <c r="HV32"/>
      <c r="HW32"/>
      <c r="HX32"/>
      <c r="HY32"/>
      <c r="HZ32"/>
      <c r="IA32"/>
      <c r="IB32"/>
      <c r="IC32"/>
      <c r="ID32"/>
      <c r="IE32"/>
      <c r="IF32"/>
      <c r="IG32"/>
      <c r="IH32"/>
      <c r="II32"/>
      <c r="IJ32"/>
      <c r="IK32"/>
      <c r="IL32"/>
      <c r="IM32"/>
      <c r="IN32"/>
      <c r="IO32"/>
      <c r="IP32"/>
      <c r="IQ32"/>
      <c r="IR32"/>
      <c r="IS32"/>
      <c r="IT32"/>
      <c r="IU32"/>
      <c r="IV32"/>
    </row>
    <row r="33" spans="1:256" s="201" customFormat="1" ht="14.25" x14ac:dyDescent="0.2">
      <c r="A33" s="10">
        <v>2489</v>
      </c>
      <c r="B33" s="11" t="s">
        <v>335</v>
      </c>
      <c r="C33" s="105" t="s">
        <v>336</v>
      </c>
      <c r="D33" s="11" t="s">
        <v>106</v>
      </c>
      <c r="E33" s="12">
        <v>11359</v>
      </c>
      <c r="F33" s="202">
        <v>56</v>
      </c>
      <c r="G33" s="11">
        <v>150000</v>
      </c>
      <c r="H33" s="116">
        <v>-30000</v>
      </c>
      <c r="I33" s="192"/>
      <c r="J33" s="204"/>
      <c r="K33" s="193"/>
      <c r="L33" s="193"/>
      <c r="M33" s="193"/>
      <c r="N33" s="203">
        <f t="shared" si="0"/>
        <v>150000</v>
      </c>
      <c r="O33" s="203">
        <f t="shared" si="1"/>
        <v>120000</v>
      </c>
      <c r="P33" s="203">
        <f t="shared" si="2"/>
        <v>120000</v>
      </c>
      <c r="Q33" s="214"/>
      <c r="R33" s="219"/>
      <c r="S33" s="217">
        <v>46227</v>
      </c>
      <c r="T33" s="205"/>
      <c r="U33" s="205"/>
      <c r="V33" s="215"/>
      <c r="W33" s="212"/>
      <c r="X33" s="10">
        <v>7</v>
      </c>
      <c r="Y33" s="10">
        <v>7</v>
      </c>
      <c r="Z33" s="213">
        <f t="shared" si="3"/>
        <v>150000</v>
      </c>
      <c r="AA33" s="62"/>
      <c r="AB33" s="62"/>
      <c r="AC33" s="62"/>
      <c r="AD33" s="62"/>
      <c r="AE33" s="62"/>
      <c r="AF33" s="63"/>
      <c r="AG33" s="64"/>
      <c r="AH33" s="6">
        <v>1</v>
      </c>
      <c r="AI33">
        <f t="shared" si="4"/>
        <v>25</v>
      </c>
      <c r="AJ33">
        <f t="shared" si="5"/>
        <v>25</v>
      </c>
      <c r="AK33">
        <f t="shared" si="6"/>
        <v>0</v>
      </c>
      <c r="AL33">
        <f t="shared" si="7"/>
        <v>0</v>
      </c>
      <c r="AM33">
        <f t="shared" si="8"/>
        <v>0</v>
      </c>
      <c r="AN33">
        <f t="shared" si="9"/>
        <v>0</v>
      </c>
      <c r="AO33">
        <f t="shared" si="10"/>
        <v>0</v>
      </c>
      <c r="AP33">
        <f t="shared" si="11"/>
        <v>0</v>
      </c>
      <c r="AQ33">
        <f t="shared" si="12"/>
        <v>0</v>
      </c>
      <c r="AR33">
        <f t="shared" si="13"/>
        <v>0</v>
      </c>
      <c r="AS33">
        <f t="shared" si="14"/>
        <v>0</v>
      </c>
      <c r="AT33">
        <f t="shared" si="15"/>
        <v>0</v>
      </c>
      <c r="AU33">
        <f t="shared" si="16"/>
        <v>1</v>
      </c>
      <c r="AV33">
        <f t="shared" si="17"/>
        <v>1</v>
      </c>
      <c r="AW33">
        <f t="shared" si="18"/>
        <v>1</v>
      </c>
      <c r="AX33">
        <f t="shared" si="19"/>
        <v>1</v>
      </c>
      <c r="AY33">
        <f t="shared" si="20"/>
        <v>120000</v>
      </c>
      <c r="AZ33">
        <f t="shared" si="21"/>
        <v>120000</v>
      </c>
      <c r="BA33">
        <f t="shared" si="22"/>
        <v>0</v>
      </c>
      <c r="BB33">
        <f t="shared" si="23"/>
        <v>0</v>
      </c>
      <c r="BC33">
        <f t="shared" si="24"/>
        <v>0</v>
      </c>
      <c r="BD33">
        <f t="shared" si="25"/>
        <v>0</v>
      </c>
      <c r="BE33">
        <f t="shared" si="26"/>
        <v>0</v>
      </c>
      <c r="BF33">
        <f t="shared" si="27"/>
        <v>0</v>
      </c>
      <c r="BG33"/>
      <c r="BH33"/>
      <c r="BI33"/>
      <c r="BJ33"/>
      <c r="BK33"/>
      <c r="BL33"/>
      <c r="BM33"/>
      <c r="BN33"/>
      <c r="BO33"/>
      <c r="BP33"/>
      <c r="BQ33"/>
      <c r="BR33"/>
      <c r="BS33"/>
      <c r="BT33"/>
      <c r="BU33"/>
      <c r="BV33"/>
      <c r="BW33"/>
      <c r="BX33"/>
      <c r="BY33"/>
      <c r="BZ33"/>
      <c r="CA33"/>
      <c r="CB33"/>
      <c r="CC33"/>
      <c r="CD33"/>
      <c r="CE33"/>
      <c r="CF33"/>
      <c r="CG33"/>
      <c r="CH33"/>
      <c r="CI33"/>
      <c r="CJ33"/>
      <c r="CK33"/>
      <c r="CL33"/>
      <c r="CM33"/>
      <c r="CN33"/>
      <c r="CO33"/>
      <c r="CP33"/>
      <c r="CQ33"/>
      <c r="CR33"/>
      <c r="CS33"/>
      <c r="CT33"/>
      <c r="CU33"/>
      <c r="CV33"/>
      <c r="CW33"/>
      <c r="CX33"/>
      <c r="CY33"/>
      <c r="CZ33"/>
      <c r="DA33"/>
      <c r="DB33"/>
      <c r="DC33"/>
      <c r="DD33"/>
      <c r="DE33"/>
      <c r="DF33"/>
      <c r="DG33"/>
      <c r="DH33"/>
      <c r="DI33"/>
      <c r="DJ33"/>
      <c r="DK33"/>
      <c r="DL33"/>
      <c r="DM33"/>
      <c r="DN33"/>
      <c r="DO33"/>
      <c r="DP33"/>
      <c r="DQ33"/>
      <c r="DR33"/>
      <c r="DS33"/>
      <c r="DT33"/>
      <c r="DU33"/>
      <c r="DV33"/>
      <c r="DW33"/>
      <c r="DX33"/>
      <c r="DY33"/>
      <c r="DZ33"/>
      <c r="EA33"/>
      <c r="EB33"/>
      <c r="EC33"/>
      <c r="ED33"/>
      <c r="EE33"/>
      <c r="EF33"/>
      <c r="EG33"/>
      <c r="EH33"/>
      <c r="EI33"/>
      <c r="EJ33"/>
      <c r="EK33"/>
      <c r="EL33"/>
      <c r="EM33"/>
      <c r="EN33"/>
      <c r="EO33"/>
      <c r="EP33"/>
      <c r="EQ33"/>
      <c r="ER33"/>
      <c r="ES33"/>
      <c r="ET33"/>
      <c r="EU33"/>
      <c r="EV33"/>
      <c r="EW33"/>
      <c r="EX33"/>
      <c r="EY33"/>
      <c r="EZ33"/>
      <c r="FA33"/>
      <c r="FB33"/>
      <c r="FC33"/>
      <c r="FD33"/>
      <c r="FE33"/>
      <c r="FF33"/>
      <c r="FG33"/>
      <c r="FH33"/>
      <c r="FI33"/>
      <c r="FJ33"/>
      <c r="FK33"/>
      <c r="FL33"/>
      <c r="FM33"/>
      <c r="FN33"/>
      <c r="FO33"/>
      <c r="FP33"/>
      <c r="FQ33"/>
      <c r="FR33"/>
      <c r="FS33"/>
      <c r="FT33"/>
      <c r="FU33"/>
      <c r="FV33"/>
      <c r="FW33"/>
      <c r="FX33"/>
      <c r="FY33"/>
      <c r="FZ33"/>
      <c r="GA33"/>
      <c r="GB33"/>
      <c r="GC33"/>
      <c r="GD33"/>
      <c r="GE33"/>
      <c r="GF33"/>
      <c r="GG33"/>
      <c r="GH33"/>
      <c r="GI33"/>
      <c r="GJ33"/>
      <c r="GK33"/>
      <c r="GL33"/>
      <c r="GM33"/>
      <c r="GN33"/>
      <c r="GO33"/>
      <c r="GP33"/>
      <c r="GQ33"/>
      <c r="GR33"/>
      <c r="GS33"/>
      <c r="GT33"/>
      <c r="GU33"/>
      <c r="GV33"/>
      <c r="GW33"/>
      <c r="GX33"/>
      <c r="GY33"/>
      <c r="GZ33"/>
      <c r="HA33"/>
      <c r="HB33"/>
      <c r="HC33"/>
      <c r="HD33"/>
      <c r="HE33"/>
      <c r="HF33"/>
      <c r="HG33"/>
      <c r="HH33"/>
      <c r="HI33"/>
      <c r="HJ33"/>
      <c r="HK33"/>
      <c r="HL33"/>
      <c r="HM33"/>
      <c r="HN33"/>
      <c r="HO33"/>
      <c r="HP33"/>
      <c r="HQ33"/>
      <c r="HR33"/>
      <c r="HS33"/>
      <c r="HT33"/>
      <c r="HU33"/>
      <c r="HV33"/>
      <c r="HW33"/>
      <c r="HX33"/>
      <c r="HY33"/>
      <c r="HZ33"/>
      <c r="IA33"/>
      <c r="IB33"/>
      <c r="IC33"/>
      <c r="ID33"/>
      <c r="IE33"/>
      <c r="IF33"/>
      <c r="IG33"/>
      <c r="IH33"/>
      <c r="II33"/>
      <c r="IJ33"/>
      <c r="IK33"/>
      <c r="IL33"/>
      <c r="IM33"/>
      <c r="IN33"/>
      <c r="IO33"/>
      <c r="IP33"/>
      <c r="IQ33"/>
      <c r="IR33"/>
      <c r="IS33"/>
      <c r="IT33"/>
      <c r="IU33"/>
      <c r="IV33"/>
    </row>
    <row r="34" spans="1:256" s="201" customFormat="1" ht="14.25" x14ac:dyDescent="0.2">
      <c r="A34" s="10">
        <v>2526</v>
      </c>
      <c r="B34" s="11" t="s">
        <v>270</v>
      </c>
      <c r="C34" s="105" t="s">
        <v>271</v>
      </c>
      <c r="D34" s="11" t="s">
        <v>272</v>
      </c>
      <c r="E34" s="12">
        <v>11399</v>
      </c>
      <c r="F34" s="202">
        <v>55</v>
      </c>
      <c r="G34" s="11">
        <v>50000</v>
      </c>
      <c r="H34" s="116">
        <v>0</v>
      </c>
      <c r="I34" s="192"/>
      <c r="J34" s="204"/>
      <c r="K34" s="193"/>
      <c r="L34" s="193"/>
      <c r="M34" s="193"/>
      <c r="N34" s="203">
        <f t="shared" si="0"/>
        <v>50000</v>
      </c>
      <c r="O34" s="203">
        <f t="shared" si="1"/>
        <v>50000</v>
      </c>
      <c r="P34" s="203">
        <f t="shared" si="2"/>
        <v>50000</v>
      </c>
      <c r="Q34" s="214"/>
      <c r="R34" s="219"/>
      <c r="S34" s="217">
        <v>46217</v>
      </c>
      <c r="T34" s="205"/>
      <c r="U34" s="205"/>
      <c r="V34" s="215"/>
      <c r="W34" s="212"/>
      <c r="X34" s="10">
        <v>7</v>
      </c>
      <c r="Y34" s="10">
        <v>7</v>
      </c>
      <c r="Z34" s="213">
        <f t="shared" si="3"/>
        <v>50000</v>
      </c>
      <c r="AA34" s="62"/>
      <c r="AB34" s="62"/>
      <c r="AC34" s="62"/>
      <c r="AD34" s="62"/>
      <c r="AE34" s="62"/>
      <c r="AF34" s="63"/>
      <c r="AG34" s="64"/>
      <c r="AH34" s="6">
        <v>1</v>
      </c>
      <c r="AI34">
        <f t="shared" si="4"/>
        <v>25</v>
      </c>
      <c r="AJ34">
        <f t="shared" si="5"/>
        <v>25</v>
      </c>
      <c r="AK34">
        <f t="shared" si="6"/>
        <v>0</v>
      </c>
      <c r="AL34">
        <f t="shared" si="7"/>
        <v>0</v>
      </c>
      <c r="AM34">
        <f t="shared" si="8"/>
        <v>0</v>
      </c>
      <c r="AN34">
        <f t="shared" si="9"/>
        <v>0</v>
      </c>
      <c r="AO34">
        <f t="shared" si="10"/>
        <v>0</v>
      </c>
      <c r="AP34">
        <f t="shared" si="11"/>
        <v>0</v>
      </c>
      <c r="AQ34">
        <f t="shared" si="12"/>
        <v>0</v>
      </c>
      <c r="AR34">
        <f t="shared" si="13"/>
        <v>0</v>
      </c>
      <c r="AS34">
        <f t="shared" si="14"/>
        <v>0</v>
      </c>
      <c r="AT34">
        <f t="shared" si="15"/>
        <v>0</v>
      </c>
      <c r="AU34">
        <f t="shared" si="16"/>
        <v>1</v>
      </c>
      <c r="AV34">
        <f t="shared" si="17"/>
        <v>1</v>
      </c>
      <c r="AW34">
        <f t="shared" si="18"/>
        <v>1</v>
      </c>
      <c r="AX34">
        <f t="shared" si="19"/>
        <v>1</v>
      </c>
      <c r="AY34">
        <f t="shared" si="20"/>
        <v>50000</v>
      </c>
      <c r="AZ34">
        <f t="shared" si="21"/>
        <v>50000</v>
      </c>
      <c r="BA34">
        <f t="shared" si="22"/>
        <v>0</v>
      </c>
      <c r="BB34">
        <f t="shared" si="23"/>
        <v>0</v>
      </c>
      <c r="BC34">
        <f t="shared" si="24"/>
        <v>0</v>
      </c>
      <c r="BD34">
        <f t="shared" si="25"/>
        <v>0</v>
      </c>
      <c r="BE34">
        <f t="shared" si="26"/>
        <v>0</v>
      </c>
      <c r="BF34">
        <f t="shared" si="27"/>
        <v>0</v>
      </c>
      <c r="BG34"/>
      <c r="BH34"/>
      <c r="BI34"/>
      <c r="BJ34"/>
      <c r="BK34"/>
      <c r="BL34"/>
      <c r="BM34"/>
      <c r="BN34"/>
      <c r="BO34"/>
      <c r="BP34"/>
      <c r="BQ34"/>
      <c r="BR34"/>
      <c r="BS34"/>
      <c r="BT34"/>
      <c r="BU34"/>
      <c r="BV34"/>
      <c r="BW34"/>
      <c r="BX34"/>
      <c r="BY34"/>
      <c r="BZ34"/>
      <c r="CA34"/>
      <c r="CB34"/>
      <c r="CC34"/>
      <c r="CD34"/>
      <c r="CE34"/>
      <c r="CF34"/>
      <c r="CG34"/>
      <c r="CH34"/>
      <c r="CI34"/>
      <c r="CJ34"/>
      <c r="CK34"/>
      <c r="CL34"/>
      <c r="CM34"/>
      <c r="CN34"/>
      <c r="CO34"/>
      <c r="CP34"/>
      <c r="CQ34"/>
      <c r="CR34"/>
      <c r="CS34"/>
      <c r="CT34"/>
      <c r="CU34"/>
      <c r="CV34"/>
      <c r="CW34"/>
      <c r="CX34"/>
      <c r="CY34"/>
      <c r="CZ34"/>
      <c r="DA34"/>
      <c r="DB34"/>
      <c r="DC34"/>
      <c r="DD34"/>
      <c r="DE34"/>
      <c r="DF34"/>
      <c r="DG34"/>
      <c r="DH34"/>
      <c r="DI34"/>
      <c r="DJ34"/>
      <c r="DK34"/>
      <c r="DL34"/>
      <c r="DM34"/>
      <c r="DN34"/>
      <c r="DO34"/>
      <c r="DP34"/>
      <c r="DQ34"/>
      <c r="DR34"/>
      <c r="DS34"/>
      <c r="DT34"/>
      <c r="DU34"/>
      <c r="DV34"/>
      <c r="DW34"/>
      <c r="DX34"/>
      <c r="DY34"/>
      <c r="DZ34"/>
      <c r="EA34"/>
      <c r="EB34"/>
      <c r="EC34"/>
      <c r="ED34"/>
      <c r="EE34"/>
      <c r="EF34"/>
      <c r="EG34"/>
      <c r="EH34"/>
      <c r="EI34"/>
      <c r="EJ34"/>
      <c r="EK34"/>
      <c r="EL34"/>
      <c r="EM34"/>
      <c r="EN34"/>
      <c r="EO34"/>
      <c r="EP34"/>
      <c r="EQ34"/>
      <c r="ER34"/>
      <c r="ES34"/>
      <c r="ET34"/>
      <c r="EU34"/>
      <c r="EV34"/>
      <c r="EW34"/>
      <c r="EX34"/>
      <c r="EY34"/>
      <c r="EZ34"/>
      <c r="FA34"/>
      <c r="FB34"/>
      <c r="FC34"/>
      <c r="FD34"/>
      <c r="FE34"/>
      <c r="FF34"/>
      <c r="FG34"/>
      <c r="FH34"/>
      <c r="FI34"/>
      <c r="FJ34"/>
      <c r="FK34"/>
      <c r="FL34"/>
      <c r="FM34"/>
      <c r="FN34"/>
      <c r="FO34"/>
      <c r="FP34"/>
      <c r="FQ34"/>
      <c r="FR34"/>
      <c r="FS34"/>
      <c r="FT34"/>
      <c r="FU34"/>
      <c r="FV34"/>
      <c r="FW34"/>
      <c r="FX34"/>
      <c r="FY34"/>
      <c r="FZ34"/>
      <c r="GA34"/>
      <c r="GB34"/>
      <c r="GC34"/>
      <c r="GD34"/>
      <c r="GE34"/>
      <c r="GF34"/>
      <c r="GG34"/>
      <c r="GH34"/>
      <c r="GI34"/>
      <c r="GJ34"/>
      <c r="GK34"/>
      <c r="GL34"/>
      <c r="GM34"/>
      <c r="GN34"/>
      <c r="GO34"/>
      <c r="GP34"/>
      <c r="GQ34"/>
      <c r="GR34"/>
      <c r="GS34"/>
      <c r="GT34"/>
      <c r="GU34"/>
      <c r="GV34"/>
      <c r="GW34"/>
      <c r="GX34"/>
      <c r="GY34"/>
      <c r="GZ34"/>
      <c r="HA34"/>
      <c r="HB34"/>
      <c r="HC34"/>
      <c r="HD34"/>
      <c r="HE34"/>
      <c r="HF34"/>
      <c r="HG34"/>
      <c r="HH34"/>
      <c r="HI34"/>
      <c r="HJ34"/>
      <c r="HK34"/>
      <c r="HL34"/>
      <c r="HM34"/>
      <c r="HN34"/>
      <c r="HO34"/>
      <c r="HP34"/>
      <c r="HQ34"/>
      <c r="HR34"/>
      <c r="HS34"/>
      <c r="HT34"/>
      <c r="HU34"/>
      <c r="HV34"/>
      <c r="HW34"/>
      <c r="HX34"/>
      <c r="HY34"/>
      <c r="HZ34"/>
      <c r="IA34"/>
      <c r="IB34"/>
      <c r="IC34"/>
      <c r="ID34"/>
      <c r="IE34"/>
      <c r="IF34"/>
      <c r="IG34"/>
      <c r="IH34"/>
      <c r="II34"/>
      <c r="IJ34"/>
      <c r="IK34"/>
      <c r="IL34"/>
      <c r="IM34"/>
      <c r="IN34"/>
      <c r="IO34"/>
      <c r="IP34"/>
      <c r="IQ34"/>
      <c r="IR34"/>
      <c r="IS34"/>
      <c r="IT34"/>
      <c r="IU34"/>
      <c r="IV34"/>
    </row>
    <row r="35" spans="1:256" s="201" customFormat="1" ht="14.25" x14ac:dyDescent="0.2">
      <c r="A35" s="10">
        <v>2543</v>
      </c>
      <c r="B35" s="11" t="s">
        <v>337</v>
      </c>
      <c r="C35" s="105" t="s">
        <v>338</v>
      </c>
      <c r="D35" s="11" t="s">
        <v>106</v>
      </c>
      <c r="E35" s="12">
        <v>11367</v>
      </c>
      <c r="F35" s="202">
        <v>54</v>
      </c>
      <c r="G35" s="11">
        <v>60000</v>
      </c>
      <c r="H35" s="116">
        <v>0</v>
      </c>
      <c r="I35" s="192"/>
      <c r="J35" s="204"/>
      <c r="K35" s="193"/>
      <c r="L35" s="193"/>
      <c r="M35" s="193"/>
      <c r="N35" s="203">
        <f t="shared" si="0"/>
        <v>60000</v>
      </c>
      <c r="O35" s="203">
        <f t="shared" si="1"/>
        <v>60000</v>
      </c>
      <c r="P35" s="203">
        <f t="shared" si="2"/>
        <v>60000</v>
      </c>
      <c r="Q35" s="214"/>
      <c r="R35" s="219"/>
      <c r="S35" s="217">
        <v>46234</v>
      </c>
      <c r="T35" s="205"/>
      <c r="U35" s="205"/>
      <c r="V35" s="215"/>
      <c r="W35" s="212"/>
      <c r="X35" s="10">
        <v>7</v>
      </c>
      <c r="Y35" s="10">
        <v>7</v>
      </c>
      <c r="Z35" s="213">
        <f t="shared" si="3"/>
        <v>60000</v>
      </c>
      <c r="AA35" s="62"/>
      <c r="AB35" s="62"/>
      <c r="AC35" s="62"/>
      <c r="AD35" s="62"/>
      <c r="AE35" s="62"/>
      <c r="AF35" s="63"/>
      <c r="AG35" s="64"/>
      <c r="AH35" s="6">
        <v>1</v>
      </c>
      <c r="AI35">
        <f t="shared" si="4"/>
        <v>25</v>
      </c>
      <c r="AJ35">
        <f t="shared" si="5"/>
        <v>25</v>
      </c>
      <c r="AK35">
        <f t="shared" si="6"/>
        <v>0</v>
      </c>
      <c r="AL35">
        <f t="shared" si="7"/>
        <v>0</v>
      </c>
      <c r="AM35">
        <f t="shared" si="8"/>
        <v>0</v>
      </c>
      <c r="AN35">
        <f t="shared" si="9"/>
        <v>0</v>
      </c>
      <c r="AO35">
        <f t="shared" si="10"/>
        <v>0</v>
      </c>
      <c r="AP35">
        <f t="shared" si="11"/>
        <v>0</v>
      </c>
      <c r="AQ35">
        <f t="shared" si="12"/>
        <v>0</v>
      </c>
      <c r="AR35">
        <f t="shared" si="13"/>
        <v>0</v>
      </c>
      <c r="AS35">
        <f t="shared" si="14"/>
        <v>0</v>
      </c>
      <c r="AT35">
        <f t="shared" si="15"/>
        <v>0</v>
      </c>
      <c r="AU35">
        <f t="shared" si="16"/>
        <v>1</v>
      </c>
      <c r="AV35">
        <f t="shared" si="17"/>
        <v>1</v>
      </c>
      <c r="AW35">
        <f t="shared" si="18"/>
        <v>1</v>
      </c>
      <c r="AX35">
        <f t="shared" si="19"/>
        <v>1</v>
      </c>
      <c r="AY35">
        <f t="shared" si="20"/>
        <v>60000</v>
      </c>
      <c r="AZ35">
        <f t="shared" si="21"/>
        <v>60000</v>
      </c>
      <c r="BA35">
        <f t="shared" si="22"/>
        <v>0</v>
      </c>
      <c r="BB35">
        <f t="shared" si="23"/>
        <v>0</v>
      </c>
      <c r="BC35">
        <f t="shared" si="24"/>
        <v>0</v>
      </c>
      <c r="BD35">
        <f t="shared" si="25"/>
        <v>0</v>
      </c>
      <c r="BE35">
        <f t="shared" si="26"/>
        <v>0</v>
      </c>
      <c r="BF35">
        <f t="shared" si="27"/>
        <v>0</v>
      </c>
      <c r="BG35"/>
      <c r="BH35"/>
      <c r="BI35"/>
      <c r="BJ35"/>
      <c r="BK35"/>
      <c r="BL35"/>
      <c r="BM35"/>
      <c r="BN35"/>
      <c r="BO35"/>
      <c r="BP35"/>
      <c r="BQ35"/>
      <c r="BR35"/>
      <c r="BS35"/>
      <c r="BT35"/>
      <c r="BU35"/>
      <c r="BV35"/>
      <c r="BW35"/>
      <c r="BX35"/>
      <c r="BY35"/>
      <c r="BZ35"/>
      <c r="CA35"/>
      <c r="CB35"/>
      <c r="CC35"/>
      <c r="CD35"/>
      <c r="CE35"/>
      <c r="CF35"/>
      <c r="CG35"/>
      <c r="CH35"/>
      <c r="CI35"/>
      <c r="CJ35"/>
      <c r="CK35"/>
      <c r="CL35"/>
      <c r="CM35"/>
      <c r="CN35"/>
      <c r="CO35"/>
      <c r="CP35"/>
      <c r="CQ35"/>
      <c r="CR35"/>
      <c r="CS35"/>
      <c r="CT35"/>
      <c r="CU35"/>
      <c r="CV35"/>
      <c r="CW35"/>
      <c r="CX35"/>
      <c r="CY35"/>
      <c r="CZ35"/>
      <c r="DA35"/>
      <c r="DB35"/>
      <c r="DC35"/>
      <c r="DD35"/>
      <c r="DE35"/>
      <c r="DF35"/>
      <c r="DG35"/>
      <c r="DH35"/>
      <c r="DI35"/>
      <c r="DJ35"/>
      <c r="DK35"/>
      <c r="DL35"/>
      <c r="DM35"/>
      <c r="DN35"/>
      <c r="DO35"/>
      <c r="DP35"/>
      <c r="DQ35"/>
      <c r="DR35"/>
      <c r="DS35"/>
      <c r="DT35"/>
      <c r="DU35"/>
      <c r="DV35"/>
      <c r="DW35"/>
      <c r="DX35"/>
      <c r="DY35"/>
      <c r="DZ35"/>
      <c r="EA35"/>
      <c r="EB35"/>
      <c r="EC35"/>
      <c r="ED35"/>
      <c r="EE35"/>
      <c r="EF35"/>
      <c r="EG35"/>
      <c r="EH35"/>
      <c r="EI35"/>
      <c r="EJ35"/>
      <c r="EK35"/>
      <c r="EL35"/>
      <c r="EM35"/>
      <c r="EN35"/>
      <c r="EO35"/>
      <c r="EP35"/>
      <c r="EQ35"/>
      <c r="ER35"/>
      <c r="ES35"/>
      <c r="ET35"/>
      <c r="EU35"/>
      <c r="EV35"/>
      <c r="EW35"/>
      <c r="EX35"/>
      <c r="EY35"/>
      <c r="EZ35"/>
      <c r="FA35"/>
      <c r="FB35"/>
      <c r="FC35"/>
      <c r="FD35"/>
      <c r="FE35"/>
      <c r="FF35"/>
      <c r="FG35"/>
      <c r="FH35"/>
      <c r="FI35"/>
      <c r="FJ35"/>
      <c r="FK35"/>
      <c r="FL35"/>
      <c r="FM35"/>
      <c r="FN35"/>
      <c r="FO35"/>
      <c r="FP35"/>
      <c r="FQ35"/>
      <c r="FR35"/>
      <c r="FS35"/>
      <c r="FT35"/>
      <c r="FU35"/>
      <c r="FV35"/>
      <c r="FW35"/>
      <c r="FX35"/>
      <c r="FY35"/>
      <c r="FZ35"/>
      <c r="GA35"/>
      <c r="GB35"/>
      <c r="GC35"/>
      <c r="GD35"/>
      <c r="GE35"/>
      <c r="GF35"/>
      <c r="GG35"/>
      <c r="GH35"/>
      <c r="GI35"/>
      <c r="GJ35"/>
      <c r="GK35"/>
      <c r="GL35"/>
      <c r="GM35"/>
      <c r="GN35"/>
      <c r="GO35"/>
      <c r="GP35"/>
      <c r="GQ35"/>
      <c r="GR35"/>
      <c r="GS35"/>
      <c r="GT35"/>
      <c r="GU35"/>
      <c r="GV35"/>
      <c r="GW35"/>
      <c r="GX35"/>
      <c r="GY35"/>
      <c r="GZ35"/>
      <c r="HA35"/>
      <c r="HB35"/>
      <c r="HC35"/>
      <c r="HD35"/>
      <c r="HE35"/>
      <c r="HF35"/>
      <c r="HG35"/>
      <c r="HH35"/>
      <c r="HI35"/>
      <c r="HJ35"/>
      <c r="HK35"/>
      <c r="HL35"/>
      <c r="HM35"/>
      <c r="HN35"/>
      <c r="HO35"/>
      <c r="HP35"/>
      <c r="HQ35"/>
      <c r="HR35"/>
      <c r="HS35"/>
      <c r="HT35"/>
      <c r="HU35"/>
      <c r="HV35"/>
      <c r="HW35"/>
      <c r="HX35"/>
      <c r="HY35"/>
      <c r="HZ35"/>
      <c r="IA35"/>
      <c r="IB35"/>
      <c r="IC35"/>
      <c r="ID35"/>
      <c r="IE35"/>
      <c r="IF35"/>
      <c r="IG35"/>
      <c r="IH35"/>
      <c r="II35"/>
      <c r="IJ35"/>
      <c r="IK35"/>
      <c r="IL35"/>
      <c r="IM35"/>
      <c r="IN35"/>
      <c r="IO35"/>
      <c r="IP35"/>
      <c r="IQ35"/>
      <c r="IR35"/>
      <c r="IS35"/>
      <c r="IT35"/>
      <c r="IU35"/>
      <c r="IV35"/>
    </row>
    <row r="36" spans="1:256" s="201" customFormat="1" ht="14.25" x14ac:dyDescent="0.2">
      <c r="A36" s="10">
        <v>2545</v>
      </c>
      <c r="B36" s="11" t="s">
        <v>339</v>
      </c>
      <c r="C36" s="105" t="s">
        <v>340</v>
      </c>
      <c r="D36" s="11" t="s">
        <v>222</v>
      </c>
      <c r="E36" s="12">
        <v>11371</v>
      </c>
      <c r="F36" s="202">
        <v>54</v>
      </c>
      <c r="G36" s="11">
        <v>300000</v>
      </c>
      <c r="H36" s="116">
        <v>0</v>
      </c>
      <c r="I36" s="192"/>
      <c r="J36" s="204"/>
      <c r="K36" s="193"/>
      <c r="L36" s="193"/>
      <c r="M36" s="193"/>
      <c r="N36" s="203">
        <f t="shared" ref="N36:N67" si="28">IF(H36&gt;0,G36+H36-I36-J36-K36-L36-M36,G36-I36-J36-K36-L36-M36)</f>
        <v>300000</v>
      </c>
      <c r="O36" s="203">
        <f t="shared" ref="O36:O67" si="29">G36+H36-J36-I36-K36-L36-M36</f>
        <v>300000</v>
      </c>
      <c r="P36" s="203">
        <f t="shared" ref="P36:P67" si="30">IF(G36+H36&lt;0,0,G36+H36)</f>
        <v>300000</v>
      </c>
      <c r="Q36" s="214"/>
      <c r="R36" s="219"/>
      <c r="S36" s="217">
        <v>46217</v>
      </c>
      <c r="T36" s="205"/>
      <c r="U36" s="205"/>
      <c r="V36" s="215"/>
      <c r="W36" s="212"/>
      <c r="X36" s="10">
        <v>7</v>
      </c>
      <c r="Y36" s="10">
        <v>7</v>
      </c>
      <c r="Z36" s="213">
        <f t="shared" ref="Z36:Z67" si="31">IF(N36&lt;0,0,N36)</f>
        <v>300000</v>
      </c>
      <c r="AA36" s="62"/>
      <c r="AB36" s="62"/>
      <c r="AC36" s="62"/>
      <c r="AD36" s="62"/>
      <c r="AE36" s="62"/>
      <c r="AF36" s="63"/>
      <c r="AG36" s="64"/>
      <c r="AH36" s="6">
        <v>1</v>
      </c>
      <c r="AI36">
        <f t="shared" ref="AI36:AI67" si="32">IF(F36&lt;=6,15,25)</f>
        <v>25</v>
      </c>
      <c r="AJ36">
        <f t="shared" ref="AJ36:AJ67" si="33">IF(O36&lt;&gt;0,25,15)</f>
        <v>25</v>
      </c>
      <c r="AK36">
        <f t="shared" ref="AK36:AK67" si="34">IF(AI36-T36=24,1,0)</f>
        <v>0</v>
      </c>
      <c r="AL36">
        <f t="shared" ref="AL36:AL67" si="35">IF(AH36-AK36=AH36,0,AH36)</f>
        <v>0</v>
      </c>
      <c r="AM36">
        <f t="shared" ref="AM36:AM67" si="36">IF(AK36&lt;&gt;0,U36,0)</f>
        <v>0</v>
      </c>
      <c r="AN36">
        <f t="shared" ref="AN36:AN67" si="37">IF(AK36=1,O36,0)</f>
        <v>0</v>
      </c>
      <c r="AO36">
        <f t="shared" ref="AO36:AO67" si="38">IF(AI36-T36=14,1,0)</f>
        <v>0</v>
      </c>
      <c r="AP36">
        <f t="shared" ref="AP36:AP67" si="39">IF(AH36-AO36=AH36,0,AH36)</f>
        <v>0</v>
      </c>
      <c r="AQ36">
        <f t="shared" ref="AQ36:AQ67" si="40">IF(AO36&lt;&gt;0,U36,0)</f>
        <v>0</v>
      </c>
      <c r="AR36">
        <f t="shared" ref="AR36:AR67" si="41">IF(AO36=1,O36,0)</f>
        <v>0</v>
      </c>
      <c r="AS36">
        <f t="shared" ref="AS36:AS67" si="42">IF(SUM(I36:M36)&lt;&gt;0,1,0)</f>
        <v>0</v>
      </c>
      <c r="AT36">
        <f t="shared" ref="AT36:AT67" si="43">AS36</f>
        <v>0</v>
      </c>
      <c r="AU36">
        <f t="shared" ref="AU36:AU67" si="44">IF(O36&gt;0,1,0)</f>
        <v>1</v>
      </c>
      <c r="AV36">
        <f t="shared" ref="AV36:AV67" si="45">IF(AK36+AO36+AU36=1,AU36,0)</f>
        <v>1</v>
      </c>
      <c r="AW36">
        <f t="shared" ref="AW36:AW67" si="46">IF(AI36-AV36=24,1,0)</f>
        <v>1</v>
      </c>
      <c r="AX36">
        <f t="shared" ref="AX36:AX67" si="47">IF(AH36-AW36=AH36,0,AH36)</f>
        <v>1</v>
      </c>
      <c r="AY36">
        <f t="shared" ref="AY36:AY67" si="48">IF(AW36=1,O36,0)</f>
        <v>300000</v>
      </c>
      <c r="AZ36">
        <f t="shared" ref="AZ36:AZ67" si="49">IF(AY36-BA36&lt;&gt;0,AY36,0)</f>
        <v>300000</v>
      </c>
      <c r="BA36">
        <f t="shared" ref="BA36:BA67" si="50">IF(AY36&lt;0,AY36,0)</f>
        <v>0</v>
      </c>
      <c r="BB36">
        <f t="shared" ref="BB36:BB67" si="51">IF(AI36-AV36=14,1,0)</f>
        <v>0</v>
      </c>
      <c r="BC36">
        <f t="shared" ref="BC36:BC67" si="52">IF(AH36-BB36=AH36,0,AH36)</f>
        <v>0</v>
      </c>
      <c r="BD36">
        <f t="shared" ref="BD36:BD67" si="53">IF(BB36=1,O36,0)</f>
        <v>0</v>
      </c>
      <c r="BE36">
        <f t="shared" ref="BE36:BE67" si="54">IF(BD36&lt;0,BD36,0)</f>
        <v>0</v>
      </c>
      <c r="BF36">
        <f t="shared" ref="BF36:BF67" si="55">IF(BD36-BE36&lt;&gt;0,BD36,0)</f>
        <v>0</v>
      </c>
      <c r="BG36"/>
      <c r="BH36"/>
      <c r="BI36"/>
      <c r="BJ36"/>
      <c r="BK36"/>
      <c r="BL36"/>
      <c r="BM36"/>
      <c r="BN36"/>
      <c r="BO36"/>
      <c r="BP36"/>
      <c r="BQ36"/>
      <c r="BR36"/>
      <c r="BS36"/>
      <c r="BT36"/>
      <c r="BU36"/>
      <c r="BV36"/>
      <c r="BW36"/>
      <c r="BX36"/>
      <c r="BY36"/>
      <c r="BZ36"/>
      <c r="CA36"/>
      <c r="CB36"/>
      <c r="CC36"/>
      <c r="CD36"/>
      <c r="CE36"/>
      <c r="CF36"/>
      <c r="CG36"/>
      <c r="CH36"/>
      <c r="CI36"/>
      <c r="CJ36"/>
      <c r="CK36"/>
      <c r="CL36"/>
      <c r="CM36"/>
      <c r="CN36"/>
      <c r="CO36"/>
      <c r="CP36"/>
      <c r="CQ36"/>
      <c r="CR36"/>
      <c r="CS36"/>
      <c r="CT36"/>
      <c r="CU36"/>
      <c r="CV36"/>
      <c r="CW36"/>
      <c r="CX36"/>
      <c r="CY36"/>
      <c r="CZ36"/>
      <c r="DA36"/>
      <c r="DB36"/>
      <c r="DC36"/>
      <c r="DD36"/>
      <c r="DE36"/>
      <c r="DF36"/>
      <c r="DG36"/>
      <c r="DH36"/>
      <c r="DI36"/>
      <c r="DJ36"/>
      <c r="DK36"/>
      <c r="DL36"/>
      <c r="DM36"/>
      <c r="DN36"/>
      <c r="DO36"/>
      <c r="DP36"/>
      <c r="DQ36"/>
      <c r="DR36"/>
      <c r="DS36"/>
      <c r="DT36"/>
      <c r="DU36"/>
      <c r="DV36"/>
      <c r="DW36"/>
      <c r="DX36"/>
      <c r="DY36"/>
      <c r="DZ36"/>
      <c r="EA36"/>
      <c r="EB36"/>
      <c r="EC36"/>
      <c r="ED36"/>
      <c r="EE36"/>
      <c r="EF36"/>
      <c r="EG36"/>
      <c r="EH36"/>
      <c r="EI36"/>
      <c r="EJ36"/>
      <c r="EK36"/>
      <c r="EL36"/>
      <c r="EM36"/>
      <c r="EN36"/>
      <c r="EO36"/>
      <c r="EP36"/>
      <c r="EQ36"/>
      <c r="ER36"/>
      <c r="ES36"/>
      <c r="ET36"/>
      <c r="EU36"/>
      <c r="EV36"/>
      <c r="EW36"/>
      <c r="EX36"/>
      <c r="EY36"/>
      <c r="EZ36"/>
      <c r="FA36"/>
      <c r="FB36"/>
      <c r="FC36"/>
      <c r="FD36"/>
      <c r="FE36"/>
      <c r="FF36"/>
      <c r="FG36"/>
      <c r="FH36"/>
      <c r="FI36"/>
      <c r="FJ36"/>
      <c r="FK36"/>
      <c r="FL36"/>
      <c r="FM36"/>
      <c r="FN36"/>
      <c r="FO36"/>
      <c r="FP36"/>
      <c r="FQ36"/>
      <c r="FR36"/>
      <c r="FS36"/>
      <c r="FT36"/>
      <c r="FU36"/>
      <c r="FV36"/>
      <c r="FW36"/>
      <c r="FX36"/>
      <c r="FY36"/>
      <c r="FZ36"/>
      <c r="GA36"/>
      <c r="GB36"/>
      <c r="GC36"/>
      <c r="GD36"/>
      <c r="GE36"/>
      <c r="GF36"/>
      <c r="GG36"/>
      <c r="GH36"/>
      <c r="GI36"/>
      <c r="GJ36"/>
      <c r="GK36"/>
      <c r="GL36"/>
      <c r="GM36"/>
      <c r="GN36"/>
      <c r="GO36"/>
      <c r="GP36"/>
      <c r="GQ36"/>
      <c r="GR36"/>
      <c r="GS36"/>
      <c r="GT36"/>
      <c r="GU36"/>
      <c r="GV36"/>
      <c r="GW36"/>
      <c r="GX36"/>
      <c r="GY36"/>
      <c r="GZ36"/>
      <c r="HA36"/>
      <c r="HB36"/>
      <c r="HC36"/>
      <c r="HD36"/>
      <c r="HE36"/>
      <c r="HF36"/>
      <c r="HG36"/>
      <c r="HH36"/>
      <c r="HI36"/>
      <c r="HJ36"/>
      <c r="HK36"/>
      <c r="HL36"/>
      <c r="HM36"/>
      <c r="HN36"/>
      <c r="HO36"/>
      <c r="HP36"/>
      <c r="HQ36"/>
      <c r="HR36"/>
      <c r="HS36"/>
      <c r="HT36"/>
      <c r="HU36"/>
      <c r="HV36"/>
      <c r="HW36"/>
      <c r="HX36"/>
      <c r="HY36"/>
      <c r="HZ36"/>
      <c r="IA36"/>
      <c r="IB36"/>
      <c r="IC36"/>
      <c r="ID36"/>
      <c r="IE36"/>
      <c r="IF36"/>
      <c r="IG36"/>
      <c r="IH36"/>
      <c r="II36"/>
      <c r="IJ36"/>
      <c r="IK36"/>
      <c r="IL36"/>
      <c r="IM36"/>
      <c r="IN36"/>
      <c r="IO36"/>
      <c r="IP36"/>
      <c r="IQ36"/>
      <c r="IR36"/>
      <c r="IS36"/>
      <c r="IT36"/>
      <c r="IU36"/>
      <c r="IV36"/>
    </row>
    <row r="37" spans="1:256" s="201" customFormat="1" ht="14.25" x14ac:dyDescent="0.2">
      <c r="A37" s="10">
        <v>2548</v>
      </c>
      <c r="B37" s="11" t="s">
        <v>341</v>
      </c>
      <c r="C37" s="105" t="s">
        <v>342</v>
      </c>
      <c r="D37" s="11" t="s">
        <v>106</v>
      </c>
      <c r="E37" s="12">
        <v>11381</v>
      </c>
      <c r="F37" s="202">
        <v>54</v>
      </c>
      <c r="G37" s="11">
        <v>60000</v>
      </c>
      <c r="H37" s="116">
        <v>-10000</v>
      </c>
      <c r="I37" s="192"/>
      <c r="J37" s="204"/>
      <c r="K37" s="193"/>
      <c r="L37" s="193"/>
      <c r="M37" s="193"/>
      <c r="N37" s="203">
        <f t="shared" si="28"/>
        <v>60000</v>
      </c>
      <c r="O37" s="203">
        <f t="shared" si="29"/>
        <v>50000</v>
      </c>
      <c r="P37" s="203">
        <f t="shared" si="30"/>
        <v>50000</v>
      </c>
      <c r="Q37" s="214"/>
      <c r="R37" s="219"/>
      <c r="S37" s="217">
        <v>46223</v>
      </c>
      <c r="T37" s="205"/>
      <c r="U37" s="205"/>
      <c r="V37" s="215"/>
      <c r="W37" s="212"/>
      <c r="X37" s="10">
        <v>7</v>
      </c>
      <c r="Y37" s="10">
        <v>7</v>
      </c>
      <c r="Z37" s="213">
        <f t="shared" si="31"/>
        <v>60000</v>
      </c>
      <c r="AA37" s="62"/>
      <c r="AB37" s="62"/>
      <c r="AC37" s="62"/>
      <c r="AD37" s="62"/>
      <c r="AE37" s="62"/>
      <c r="AF37" s="63"/>
      <c r="AG37" s="64"/>
      <c r="AH37" s="6">
        <v>1</v>
      </c>
      <c r="AI37">
        <f t="shared" si="32"/>
        <v>25</v>
      </c>
      <c r="AJ37">
        <f t="shared" si="33"/>
        <v>25</v>
      </c>
      <c r="AK37">
        <f t="shared" si="34"/>
        <v>0</v>
      </c>
      <c r="AL37">
        <f t="shared" si="35"/>
        <v>0</v>
      </c>
      <c r="AM37">
        <f t="shared" si="36"/>
        <v>0</v>
      </c>
      <c r="AN37">
        <f t="shared" si="37"/>
        <v>0</v>
      </c>
      <c r="AO37">
        <f t="shared" si="38"/>
        <v>0</v>
      </c>
      <c r="AP37">
        <f t="shared" si="39"/>
        <v>0</v>
      </c>
      <c r="AQ37">
        <f t="shared" si="40"/>
        <v>0</v>
      </c>
      <c r="AR37">
        <f t="shared" si="41"/>
        <v>0</v>
      </c>
      <c r="AS37">
        <f t="shared" si="42"/>
        <v>0</v>
      </c>
      <c r="AT37">
        <f t="shared" si="43"/>
        <v>0</v>
      </c>
      <c r="AU37">
        <f t="shared" si="44"/>
        <v>1</v>
      </c>
      <c r="AV37">
        <f t="shared" si="45"/>
        <v>1</v>
      </c>
      <c r="AW37">
        <f t="shared" si="46"/>
        <v>1</v>
      </c>
      <c r="AX37">
        <f t="shared" si="47"/>
        <v>1</v>
      </c>
      <c r="AY37">
        <f t="shared" si="48"/>
        <v>50000</v>
      </c>
      <c r="AZ37">
        <f t="shared" si="49"/>
        <v>50000</v>
      </c>
      <c r="BA37">
        <f t="shared" si="50"/>
        <v>0</v>
      </c>
      <c r="BB37">
        <f t="shared" si="51"/>
        <v>0</v>
      </c>
      <c r="BC37">
        <f t="shared" si="52"/>
        <v>0</v>
      </c>
      <c r="BD37">
        <f t="shared" si="53"/>
        <v>0</v>
      </c>
      <c r="BE37">
        <f t="shared" si="54"/>
        <v>0</v>
      </c>
      <c r="BF37">
        <f t="shared" si="55"/>
        <v>0</v>
      </c>
      <c r="BG37"/>
      <c r="BH37"/>
      <c r="BI37"/>
      <c r="BJ37"/>
      <c r="BK37"/>
      <c r="BL37"/>
      <c r="BM37"/>
      <c r="BN37"/>
      <c r="BO37"/>
      <c r="BP37"/>
      <c r="BQ37"/>
      <c r="BR37"/>
      <c r="BS37"/>
      <c r="BT37"/>
      <c r="BU37"/>
      <c r="BV37"/>
      <c r="BW37"/>
      <c r="BX37"/>
      <c r="BY37"/>
      <c r="BZ37"/>
      <c r="CA37"/>
      <c r="CB37"/>
      <c r="CC37"/>
      <c r="CD37"/>
      <c r="CE37"/>
      <c r="CF37"/>
      <c r="CG37"/>
      <c r="CH37"/>
      <c r="CI37"/>
      <c r="CJ37"/>
      <c r="CK37"/>
      <c r="CL37"/>
      <c r="CM37"/>
      <c r="CN37"/>
      <c r="CO37"/>
      <c r="CP37"/>
      <c r="CQ37"/>
      <c r="CR37"/>
      <c r="CS37"/>
      <c r="CT37"/>
      <c r="CU37"/>
      <c r="CV37"/>
      <c r="CW37"/>
      <c r="CX37"/>
      <c r="CY37"/>
      <c r="CZ37"/>
      <c r="DA37"/>
      <c r="DB37"/>
      <c r="DC37"/>
      <c r="DD37"/>
      <c r="DE37"/>
      <c r="DF37"/>
      <c r="DG37"/>
      <c r="DH37"/>
      <c r="DI37"/>
      <c r="DJ37"/>
      <c r="DK37"/>
      <c r="DL37"/>
      <c r="DM37"/>
      <c r="DN37"/>
      <c r="DO37"/>
      <c r="DP37"/>
      <c r="DQ37"/>
      <c r="DR37"/>
      <c r="DS37"/>
      <c r="DT37"/>
      <c r="DU37"/>
      <c r="DV37"/>
      <c r="DW37"/>
      <c r="DX37"/>
      <c r="DY37"/>
      <c r="DZ37"/>
      <c r="EA37"/>
      <c r="EB37"/>
      <c r="EC37"/>
      <c r="ED37"/>
      <c r="EE37"/>
      <c r="EF37"/>
      <c r="EG37"/>
      <c r="EH37"/>
      <c r="EI37"/>
      <c r="EJ37"/>
      <c r="EK37"/>
      <c r="EL37"/>
      <c r="EM37"/>
      <c r="EN37"/>
      <c r="EO37"/>
      <c r="EP37"/>
      <c r="EQ37"/>
      <c r="ER37"/>
      <c r="ES37"/>
      <c r="ET37"/>
      <c r="EU37"/>
      <c r="EV37"/>
      <c r="EW37"/>
      <c r="EX37"/>
      <c r="EY37"/>
      <c r="EZ37"/>
      <c r="FA37"/>
      <c r="FB37"/>
      <c r="FC37"/>
      <c r="FD37"/>
      <c r="FE37"/>
      <c r="FF37"/>
      <c r="FG37"/>
      <c r="FH37"/>
      <c r="FI37"/>
      <c r="FJ37"/>
      <c r="FK37"/>
      <c r="FL37"/>
      <c r="FM37"/>
      <c r="FN37"/>
      <c r="FO37"/>
      <c r="FP37"/>
      <c r="FQ37"/>
      <c r="FR37"/>
      <c r="FS37"/>
      <c r="FT37"/>
      <c r="FU37"/>
      <c r="FV37"/>
      <c r="FW37"/>
      <c r="FX37"/>
      <c r="FY37"/>
      <c r="FZ37"/>
      <c r="GA37"/>
      <c r="GB37"/>
      <c r="GC37"/>
      <c r="GD37"/>
      <c r="GE37"/>
      <c r="GF37"/>
      <c r="GG37"/>
      <c r="GH37"/>
      <c r="GI37"/>
      <c r="GJ37"/>
      <c r="GK37"/>
      <c r="GL37"/>
      <c r="GM37"/>
      <c r="GN37"/>
      <c r="GO37"/>
      <c r="GP37"/>
      <c r="GQ37"/>
      <c r="GR37"/>
      <c r="GS37"/>
      <c r="GT37"/>
      <c r="GU37"/>
      <c r="GV37"/>
      <c r="GW37"/>
      <c r="GX37"/>
      <c r="GY37"/>
      <c r="GZ37"/>
      <c r="HA37"/>
      <c r="HB37"/>
      <c r="HC37"/>
      <c r="HD37"/>
      <c r="HE37"/>
      <c r="HF37"/>
      <c r="HG37"/>
      <c r="HH37"/>
      <c r="HI37"/>
      <c r="HJ37"/>
      <c r="HK37"/>
      <c r="HL37"/>
      <c r="HM37"/>
      <c r="HN37"/>
      <c r="HO37"/>
      <c r="HP37"/>
      <c r="HQ37"/>
      <c r="HR37"/>
      <c r="HS37"/>
      <c r="HT37"/>
      <c r="HU37"/>
      <c r="HV37"/>
      <c r="HW37"/>
      <c r="HX37"/>
      <c r="HY37"/>
      <c r="HZ37"/>
      <c r="IA37"/>
      <c r="IB37"/>
      <c r="IC37"/>
      <c r="ID37"/>
      <c r="IE37"/>
      <c r="IF37"/>
      <c r="IG37"/>
      <c r="IH37"/>
      <c r="II37"/>
      <c r="IJ37"/>
      <c r="IK37"/>
      <c r="IL37"/>
      <c r="IM37"/>
      <c r="IN37"/>
      <c r="IO37"/>
      <c r="IP37"/>
      <c r="IQ37"/>
      <c r="IR37"/>
      <c r="IS37"/>
      <c r="IT37"/>
      <c r="IU37"/>
      <c r="IV37"/>
    </row>
    <row r="38" spans="1:256" s="201" customFormat="1" ht="14.25" x14ac:dyDescent="0.2">
      <c r="A38" s="10">
        <v>2549</v>
      </c>
      <c r="B38" s="11" t="s">
        <v>343</v>
      </c>
      <c r="C38" s="105" t="s">
        <v>344</v>
      </c>
      <c r="D38" s="11" t="s">
        <v>105</v>
      </c>
      <c r="E38" s="12">
        <v>11382</v>
      </c>
      <c r="F38" s="202">
        <v>54</v>
      </c>
      <c r="G38" s="11">
        <v>60000</v>
      </c>
      <c r="H38" s="116">
        <v>-24000</v>
      </c>
      <c r="I38" s="192"/>
      <c r="J38" s="204"/>
      <c r="K38" s="193"/>
      <c r="L38" s="193"/>
      <c r="M38" s="193"/>
      <c r="N38" s="203">
        <f t="shared" si="28"/>
        <v>60000</v>
      </c>
      <c r="O38" s="203">
        <f t="shared" si="29"/>
        <v>36000</v>
      </c>
      <c r="P38" s="203">
        <f t="shared" si="30"/>
        <v>36000</v>
      </c>
      <c r="Q38" s="214"/>
      <c r="R38" s="219"/>
      <c r="S38" s="217">
        <v>46211</v>
      </c>
      <c r="T38" s="205"/>
      <c r="U38" s="205"/>
      <c r="V38" s="215"/>
      <c r="W38" s="212"/>
      <c r="X38" s="10">
        <v>7</v>
      </c>
      <c r="Y38" s="10">
        <v>7</v>
      </c>
      <c r="Z38" s="213">
        <f t="shared" si="31"/>
        <v>60000</v>
      </c>
      <c r="AA38" s="62"/>
      <c r="AB38" s="62"/>
      <c r="AC38" s="62"/>
      <c r="AD38" s="62"/>
      <c r="AE38" s="62"/>
      <c r="AF38" s="63"/>
      <c r="AG38" s="64"/>
      <c r="AH38" s="6">
        <v>1</v>
      </c>
      <c r="AI38">
        <f t="shared" si="32"/>
        <v>25</v>
      </c>
      <c r="AJ38">
        <f t="shared" si="33"/>
        <v>25</v>
      </c>
      <c r="AK38">
        <f t="shared" si="34"/>
        <v>0</v>
      </c>
      <c r="AL38">
        <f t="shared" si="35"/>
        <v>0</v>
      </c>
      <c r="AM38">
        <f t="shared" si="36"/>
        <v>0</v>
      </c>
      <c r="AN38">
        <f t="shared" si="37"/>
        <v>0</v>
      </c>
      <c r="AO38">
        <f t="shared" si="38"/>
        <v>0</v>
      </c>
      <c r="AP38">
        <f t="shared" si="39"/>
        <v>0</v>
      </c>
      <c r="AQ38">
        <f t="shared" si="40"/>
        <v>0</v>
      </c>
      <c r="AR38">
        <f t="shared" si="41"/>
        <v>0</v>
      </c>
      <c r="AS38">
        <f t="shared" si="42"/>
        <v>0</v>
      </c>
      <c r="AT38">
        <f t="shared" si="43"/>
        <v>0</v>
      </c>
      <c r="AU38">
        <f t="shared" si="44"/>
        <v>1</v>
      </c>
      <c r="AV38">
        <f t="shared" si="45"/>
        <v>1</v>
      </c>
      <c r="AW38">
        <f t="shared" si="46"/>
        <v>1</v>
      </c>
      <c r="AX38">
        <f t="shared" si="47"/>
        <v>1</v>
      </c>
      <c r="AY38">
        <f t="shared" si="48"/>
        <v>36000</v>
      </c>
      <c r="AZ38">
        <f t="shared" si="49"/>
        <v>36000</v>
      </c>
      <c r="BA38">
        <f t="shared" si="50"/>
        <v>0</v>
      </c>
      <c r="BB38">
        <f t="shared" si="51"/>
        <v>0</v>
      </c>
      <c r="BC38">
        <f t="shared" si="52"/>
        <v>0</v>
      </c>
      <c r="BD38">
        <f t="shared" si="53"/>
        <v>0</v>
      </c>
      <c r="BE38">
        <f t="shared" si="54"/>
        <v>0</v>
      </c>
      <c r="BF38">
        <f t="shared" si="55"/>
        <v>0</v>
      </c>
      <c r="BG38"/>
      <c r="BH38"/>
      <c r="BI38"/>
      <c r="BJ38"/>
      <c r="BK38"/>
      <c r="BL38"/>
      <c r="BM38"/>
      <c r="BN38"/>
      <c r="BO38"/>
      <c r="BP38"/>
      <c r="BQ38"/>
      <c r="BR38"/>
      <c r="BS38"/>
      <c r="BT38"/>
      <c r="BU38"/>
      <c r="BV38"/>
      <c r="BW38"/>
      <c r="BX38"/>
      <c r="BY38"/>
      <c r="BZ38"/>
      <c r="CA38"/>
      <c r="CB38"/>
      <c r="CC38"/>
      <c r="CD38"/>
      <c r="CE38"/>
      <c r="CF38"/>
      <c r="CG38"/>
      <c r="CH38"/>
      <c r="CI38"/>
      <c r="CJ38"/>
      <c r="CK38"/>
      <c r="CL38"/>
      <c r="CM38"/>
      <c r="CN38"/>
      <c r="CO38"/>
      <c r="CP38"/>
      <c r="CQ38"/>
      <c r="CR38"/>
      <c r="CS38"/>
      <c r="CT38"/>
      <c r="CU38"/>
      <c r="CV38"/>
      <c r="CW38"/>
      <c r="CX38"/>
      <c r="CY38"/>
      <c r="CZ38"/>
      <c r="DA38"/>
      <c r="DB38"/>
      <c r="DC38"/>
      <c r="DD38"/>
      <c r="DE38"/>
      <c r="DF38"/>
      <c r="DG38"/>
      <c r="DH38"/>
      <c r="DI38"/>
      <c r="DJ38"/>
      <c r="DK38"/>
      <c r="DL38"/>
      <c r="DM38"/>
      <c r="DN38"/>
      <c r="DO38"/>
      <c r="DP38"/>
      <c r="DQ38"/>
      <c r="DR38"/>
      <c r="DS38"/>
      <c r="DT38"/>
      <c r="DU38"/>
      <c r="DV38"/>
      <c r="DW38"/>
      <c r="DX38"/>
      <c r="DY38"/>
      <c r="DZ38"/>
      <c r="EA38"/>
      <c r="EB38"/>
      <c r="EC38"/>
      <c r="ED38"/>
      <c r="EE38"/>
      <c r="EF38"/>
      <c r="EG38"/>
      <c r="EH38"/>
      <c r="EI38"/>
      <c r="EJ38"/>
      <c r="EK38"/>
      <c r="EL38"/>
      <c r="EM38"/>
      <c r="EN38"/>
      <c r="EO38"/>
      <c r="EP38"/>
      <c r="EQ38"/>
      <c r="ER38"/>
      <c r="ES38"/>
      <c r="ET38"/>
      <c r="EU38"/>
      <c r="EV38"/>
      <c r="EW38"/>
      <c r="EX38"/>
      <c r="EY38"/>
      <c r="EZ38"/>
      <c r="FA38"/>
      <c r="FB38"/>
      <c r="FC38"/>
      <c r="FD38"/>
      <c r="FE38"/>
      <c r="FF38"/>
      <c r="FG38"/>
      <c r="FH38"/>
      <c r="FI38"/>
      <c r="FJ38"/>
      <c r="FK38"/>
      <c r="FL38"/>
      <c r="FM38"/>
      <c r="FN38"/>
      <c r="FO38"/>
      <c r="FP38"/>
      <c r="FQ38"/>
      <c r="FR38"/>
      <c r="FS38"/>
      <c r="FT38"/>
      <c r="FU38"/>
      <c r="FV38"/>
      <c r="FW38"/>
      <c r="FX38"/>
      <c r="FY38"/>
      <c r="FZ38"/>
      <c r="GA38"/>
      <c r="GB38"/>
      <c r="GC38"/>
      <c r="GD38"/>
      <c r="GE38"/>
      <c r="GF38"/>
      <c r="GG38"/>
      <c r="GH38"/>
      <c r="GI38"/>
      <c r="GJ38"/>
      <c r="GK38"/>
      <c r="GL38"/>
      <c r="GM38"/>
      <c r="GN38"/>
      <c r="GO38"/>
      <c r="GP38"/>
      <c r="GQ38"/>
      <c r="GR38"/>
      <c r="GS38"/>
      <c r="GT38"/>
      <c r="GU38"/>
      <c r="GV38"/>
      <c r="GW38"/>
      <c r="GX38"/>
      <c r="GY38"/>
      <c r="GZ38"/>
      <c r="HA38"/>
      <c r="HB38"/>
      <c r="HC38"/>
      <c r="HD38"/>
      <c r="HE38"/>
      <c r="HF38"/>
      <c r="HG38"/>
      <c r="HH38"/>
      <c r="HI38"/>
      <c r="HJ38"/>
      <c r="HK38"/>
      <c r="HL38"/>
      <c r="HM38"/>
      <c r="HN38"/>
      <c r="HO38"/>
      <c r="HP38"/>
      <c r="HQ38"/>
      <c r="HR38"/>
      <c r="HS38"/>
      <c r="HT38"/>
      <c r="HU38"/>
      <c r="HV38"/>
      <c r="HW38"/>
      <c r="HX38"/>
      <c r="HY38"/>
      <c r="HZ38"/>
      <c r="IA38"/>
      <c r="IB38"/>
      <c r="IC38"/>
      <c r="ID38"/>
      <c r="IE38"/>
      <c r="IF38"/>
      <c r="IG38"/>
      <c r="IH38"/>
      <c r="II38"/>
      <c r="IJ38"/>
      <c r="IK38"/>
      <c r="IL38"/>
      <c r="IM38"/>
      <c r="IN38"/>
      <c r="IO38"/>
      <c r="IP38"/>
      <c r="IQ38"/>
      <c r="IR38"/>
      <c r="IS38"/>
      <c r="IT38"/>
      <c r="IU38"/>
      <c r="IV38"/>
    </row>
    <row r="39" spans="1:256" s="201" customFormat="1" ht="14.25" x14ac:dyDescent="0.2">
      <c r="A39" s="10">
        <v>2556</v>
      </c>
      <c r="B39" s="11" t="s">
        <v>345</v>
      </c>
      <c r="C39" s="105" t="s">
        <v>346</v>
      </c>
      <c r="D39" s="11" t="s">
        <v>144</v>
      </c>
      <c r="E39" s="12">
        <v>11440</v>
      </c>
      <c r="F39" s="202">
        <v>54</v>
      </c>
      <c r="G39" s="11">
        <v>60000</v>
      </c>
      <c r="H39" s="116">
        <v>0</v>
      </c>
      <c r="I39" s="192"/>
      <c r="J39" s="204"/>
      <c r="K39" s="193"/>
      <c r="L39" s="193"/>
      <c r="M39" s="193"/>
      <c r="N39" s="203">
        <f t="shared" si="28"/>
        <v>60000</v>
      </c>
      <c r="O39" s="203">
        <f t="shared" si="29"/>
        <v>60000</v>
      </c>
      <c r="P39" s="203">
        <f t="shared" si="30"/>
        <v>60000</v>
      </c>
      <c r="Q39" s="214"/>
      <c r="R39" s="219"/>
      <c r="S39" s="217">
        <v>46223</v>
      </c>
      <c r="T39" s="205"/>
      <c r="U39" s="205"/>
      <c r="V39" s="215"/>
      <c r="W39" s="212"/>
      <c r="X39" s="10">
        <v>7</v>
      </c>
      <c r="Y39" s="10">
        <v>7</v>
      </c>
      <c r="Z39" s="213">
        <f t="shared" si="31"/>
        <v>60000</v>
      </c>
      <c r="AA39" s="62"/>
      <c r="AB39" s="62"/>
      <c r="AC39" s="62"/>
      <c r="AD39" s="62"/>
      <c r="AE39" s="62"/>
      <c r="AF39" s="63"/>
      <c r="AG39" s="64"/>
      <c r="AH39" s="6">
        <v>1</v>
      </c>
      <c r="AI39">
        <f t="shared" si="32"/>
        <v>25</v>
      </c>
      <c r="AJ39">
        <f t="shared" si="33"/>
        <v>25</v>
      </c>
      <c r="AK39">
        <f t="shared" si="34"/>
        <v>0</v>
      </c>
      <c r="AL39">
        <f t="shared" si="35"/>
        <v>0</v>
      </c>
      <c r="AM39">
        <f t="shared" si="36"/>
        <v>0</v>
      </c>
      <c r="AN39">
        <f t="shared" si="37"/>
        <v>0</v>
      </c>
      <c r="AO39">
        <f t="shared" si="38"/>
        <v>0</v>
      </c>
      <c r="AP39">
        <f t="shared" si="39"/>
        <v>0</v>
      </c>
      <c r="AQ39">
        <f t="shared" si="40"/>
        <v>0</v>
      </c>
      <c r="AR39">
        <f t="shared" si="41"/>
        <v>0</v>
      </c>
      <c r="AS39">
        <f t="shared" si="42"/>
        <v>0</v>
      </c>
      <c r="AT39">
        <f t="shared" si="43"/>
        <v>0</v>
      </c>
      <c r="AU39">
        <f t="shared" si="44"/>
        <v>1</v>
      </c>
      <c r="AV39">
        <f t="shared" si="45"/>
        <v>1</v>
      </c>
      <c r="AW39">
        <f t="shared" si="46"/>
        <v>1</v>
      </c>
      <c r="AX39">
        <f t="shared" si="47"/>
        <v>1</v>
      </c>
      <c r="AY39">
        <f t="shared" si="48"/>
        <v>60000</v>
      </c>
      <c r="AZ39">
        <f t="shared" si="49"/>
        <v>60000</v>
      </c>
      <c r="BA39">
        <f t="shared" si="50"/>
        <v>0</v>
      </c>
      <c r="BB39">
        <f t="shared" si="51"/>
        <v>0</v>
      </c>
      <c r="BC39">
        <f t="shared" si="52"/>
        <v>0</v>
      </c>
      <c r="BD39">
        <f t="shared" si="53"/>
        <v>0</v>
      </c>
      <c r="BE39">
        <f t="shared" si="54"/>
        <v>0</v>
      </c>
      <c r="BF39">
        <f t="shared" si="55"/>
        <v>0</v>
      </c>
      <c r="BG39"/>
      <c r="BH39"/>
      <c r="BI39"/>
      <c r="BJ39"/>
      <c r="BK39"/>
      <c r="BL39"/>
      <c r="BM39"/>
      <c r="BN39"/>
      <c r="BO39"/>
      <c r="BP39"/>
      <c r="BQ39"/>
      <c r="BR39"/>
      <c r="BS39"/>
      <c r="BT39"/>
      <c r="BU39"/>
      <c r="BV39"/>
      <c r="BW39"/>
      <c r="BX39"/>
      <c r="BY39"/>
      <c r="BZ39"/>
      <c r="CA39"/>
      <c r="CB39"/>
      <c r="CC39"/>
      <c r="CD39"/>
      <c r="CE39"/>
      <c r="CF39"/>
      <c r="CG39"/>
      <c r="CH39"/>
      <c r="CI39"/>
      <c r="CJ39"/>
      <c r="CK39"/>
      <c r="CL39"/>
      <c r="CM39"/>
      <c r="CN39"/>
      <c r="CO39"/>
      <c r="CP39"/>
      <c r="CQ39"/>
      <c r="CR39"/>
      <c r="CS39"/>
      <c r="CT39"/>
      <c r="CU39"/>
      <c r="CV39"/>
      <c r="CW39"/>
      <c r="CX39"/>
      <c r="CY39"/>
      <c r="CZ39"/>
      <c r="DA39"/>
      <c r="DB39"/>
      <c r="DC39"/>
      <c r="DD39"/>
      <c r="DE39"/>
      <c r="DF39"/>
      <c r="DG39"/>
      <c r="DH39"/>
      <c r="DI39"/>
      <c r="DJ39"/>
      <c r="DK39"/>
      <c r="DL39"/>
      <c r="DM39"/>
      <c r="DN39"/>
      <c r="DO39"/>
      <c r="DP39"/>
      <c r="DQ39"/>
      <c r="DR39"/>
      <c r="DS39"/>
      <c r="DT39"/>
      <c r="DU39"/>
      <c r="DV39"/>
      <c r="DW39"/>
      <c r="DX39"/>
      <c r="DY39"/>
      <c r="DZ39"/>
      <c r="EA39"/>
      <c r="EB39"/>
      <c r="EC39"/>
      <c r="ED39"/>
      <c r="EE39"/>
      <c r="EF39"/>
      <c r="EG39"/>
      <c r="EH39"/>
      <c r="EI39"/>
      <c r="EJ39"/>
      <c r="EK39"/>
      <c r="EL39"/>
      <c r="EM39"/>
      <c r="EN39"/>
      <c r="EO39"/>
      <c r="EP39"/>
      <c r="EQ39"/>
      <c r="ER39"/>
      <c r="ES39"/>
      <c r="ET39"/>
      <c r="EU39"/>
      <c r="EV39"/>
      <c r="EW39"/>
      <c r="EX39"/>
      <c r="EY39"/>
      <c r="EZ39"/>
      <c r="FA39"/>
      <c r="FB39"/>
      <c r="FC39"/>
      <c r="FD39"/>
      <c r="FE39"/>
      <c r="FF39"/>
      <c r="FG39"/>
      <c r="FH39"/>
      <c r="FI39"/>
      <c r="FJ39"/>
      <c r="FK39"/>
      <c r="FL39"/>
      <c r="FM39"/>
      <c r="FN39"/>
      <c r="FO39"/>
      <c r="FP39"/>
      <c r="FQ39"/>
      <c r="FR39"/>
      <c r="FS39"/>
      <c r="FT39"/>
      <c r="FU39"/>
      <c r="FV39"/>
      <c r="FW39"/>
      <c r="FX39"/>
      <c r="FY39"/>
      <c r="FZ39"/>
      <c r="GA39"/>
      <c r="GB39"/>
      <c r="GC39"/>
      <c r="GD39"/>
      <c r="GE39"/>
      <c r="GF39"/>
      <c r="GG39"/>
      <c r="GH39"/>
      <c r="GI39"/>
      <c r="GJ39"/>
      <c r="GK39"/>
      <c r="GL39"/>
      <c r="GM39"/>
      <c r="GN39"/>
      <c r="GO39"/>
      <c r="GP39"/>
      <c r="GQ39"/>
      <c r="GR39"/>
      <c r="GS39"/>
      <c r="GT39"/>
      <c r="GU39"/>
      <c r="GV39"/>
      <c r="GW39"/>
      <c r="GX39"/>
      <c r="GY39"/>
      <c r="GZ39"/>
      <c r="HA39"/>
      <c r="HB39"/>
      <c r="HC39"/>
      <c r="HD39"/>
      <c r="HE39"/>
      <c r="HF39"/>
      <c r="HG39"/>
      <c r="HH39"/>
      <c r="HI39"/>
      <c r="HJ39"/>
      <c r="HK39"/>
      <c r="HL39"/>
      <c r="HM39"/>
      <c r="HN39"/>
      <c r="HO39"/>
      <c r="HP39"/>
      <c r="HQ39"/>
      <c r="HR39"/>
      <c r="HS39"/>
      <c r="HT39"/>
      <c r="HU39"/>
      <c r="HV39"/>
      <c r="HW39"/>
      <c r="HX39"/>
      <c r="HY39"/>
      <c r="HZ39"/>
      <c r="IA39"/>
      <c r="IB39"/>
      <c r="IC39"/>
      <c r="ID39"/>
      <c r="IE39"/>
      <c r="IF39"/>
      <c r="IG39"/>
      <c r="IH39"/>
      <c r="II39"/>
      <c r="IJ39"/>
      <c r="IK39"/>
      <c r="IL39"/>
      <c r="IM39"/>
      <c r="IN39"/>
      <c r="IO39"/>
      <c r="IP39"/>
      <c r="IQ39"/>
      <c r="IR39"/>
      <c r="IS39"/>
      <c r="IT39"/>
      <c r="IU39"/>
      <c r="IV39"/>
    </row>
    <row r="40" spans="1:256" s="201" customFormat="1" ht="14.25" x14ac:dyDescent="0.2">
      <c r="A40" s="10">
        <v>2578</v>
      </c>
      <c r="B40" s="11" t="s">
        <v>347</v>
      </c>
      <c r="C40" s="105" t="s">
        <v>348</v>
      </c>
      <c r="D40" s="11" t="s">
        <v>106</v>
      </c>
      <c r="E40" s="12">
        <v>11425</v>
      </c>
      <c r="F40" s="202">
        <v>53</v>
      </c>
      <c r="G40" s="11">
        <v>60000</v>
      </c>
      <c r="H40" s="116">
        <v>0</v>
      </c>
      <c r="I40" s="192"/>
      <c r="J40" s="204"/>
      <c r="K40" s="193"/>
      <c r="L40" s="193"/>
      <c r="M40" s="193"/>
      <c r="N40" s="203">
        <f t="shared" si="28"/>
        <v>60000</v>
      </c>
      <c r="O40" s="203">
        <f t="shared" si="29"/>
        <v>60000</v>
      </c>
      <c r="P40" s="203">
        <f t="shared" si="30"/>
        <v>60000</v>
      </c>
      <c r="Q40" s="214"/>
      <c r="R40" s="219"/>
      <c r="S40" s="217">
        <v>46234</v>
      </c>
      <c r="T40" s="205"/>
      <c r="U40" s="205"/>
      <c r="V40" s="215"/>
      <c r="W40" s="212"/>
      <c r="X40" s="10">
        <v>7</v>
      </c>
      <c r="Y40" s="10">
        <v>7</v>
      </c>
      <c r="Z40" s="213">
        <f t="shared" si="31"/>
        <v>60000</v>
      </c>
      <c r="AA40" s="62"/>
      <c r="AB40" s="62"/>
      <c r="AC40" s="62"/>
      <c r="AD40" s="62"/>
      <c r="AE40" s="62"/>
      <c r="AF40" s="63"/>
      <c r="AG40" s="64"/>
      <c r="AH40" s="6">
        <v>1</v>
      </c>
      <c r="AI40">
        <f t="shared" si="32"/>
        <v>25</v>
      </c>
      <c r="AJ40">
        <f t="shared" si="33"/>
        <v>25</v>
      </c>
      <c r="AK40">
        <f t="shared" si="34"/>
        <v>0</v>
      </c>
      <c r="AL40">
        <f t="shared" si="35"/>
        <v>0</v>
      </c>
      <c r="AM40">
        <f t="shared" si="36"/>
        <v>0</v>
      </c>
      <c r="AN40">
        <f t="shared" si="37"/>
        <v>0</v>
      </c>
      <c r="AO40">
        <f t="shared" si="38"/>
        <v>0</v>
      </c>
      <c r="AP40">
        <f t="shared" si="39"/>
        <v>0</v>
      </c>
      <c r="AQ40">
        <f t="shared" si="40"/>
        <v>0</v>
      </c>
      <c r="AR40">
        <f t="shared" si="41"/>
        <v>0</v>
      </c>
      <c r="AS40">
        <f t="shared" si="42"/>
        <v>0</v>
      </c>
      <c r="AT40">
        <f t="shared" si="43"/>
        <v>0</v>
      </c>
      <c r="AU40">
        <f t="shared" si="44"/>
        <v>1</v>
      </c>
      <c r="AV40">
        <f t="shared" si="45"/>
        <v>1</v>
      </c>
      <c r="AW40">
        <f t="shared" si="46"/>
        <v>1</v>
      </c>
      <c r="AX40">
        <f t="shared" si="47"/>
        <v>1</v>
      </c>
      <c r="AY40">
        <f t="shared" si="48"/>
        <v>60000</v>
      </c>
      <c r="AZ40">
        <f t="shared" si="49"/>
        <v>60000</v>
      </c>
      <c r="BA40">
        <f t="shared" si="50"/>
        <v>0</v>
      </c>
      <c r="BB40">
        <f t="shared" si="51"/>
        <v>0</v>
      </c>
      <c r="BC40">
        <f t="shared" si="52"/>
        <v>0</v>
      </c>
      <c r="BD40">
        <f t="shared" si="53"/>
        <v>0</v>
      </c>
      <c r="BE40">
        <f t="shared" si="54"/>
        <v>0</v>
      </c>
      <c r="BF40">
        <f t="shared" si="55"/>
        <v>0</v>
      </c>
      <c r="BG40"/>
      <c r="BH40"/>
      <c r="BI40"/>
      <c r="BJ40"/>
      <c r="BK40"/>
      <c r="BL40"/>
      <c r="BM40"/>
      <c r="BN40"/>
      <c r="BO40"/>
      <c r="BP40"/>
      <c r="BQ40"/>
      <c r="BR40"/>
      <c r="BS40"/>
      <c r="BT40"/>
      <c r="BU40"/>
      <c r="BV40"/>
      <c r="BW40"/>
      <c r="BX40"/>
      <c r="BY40"/>
      <c r="BZ40"/>
      <c r="CA40"/>
      <c r="CB40"/>
      <c r="CC40"/>
      <c r="CD40"/>
      <c r="CE40"/>
      <c r="CF40"/>
      <c r="CG40"/>
      <c r="CH40"/>
      <c r="CI40"/>
      <c r="CJ40"/>
      <c r="CK40"/>
      <c r="CL40"/>
      <c r="CM40"/>
      <c r="CN40"/>
      <c r="CO40"/>
      <c r="CP40"/>
      <c r="CQ40"/>
      <c r="CR40"/>
      <c r="CS40"/>
      <c r="CT40"/>
      <c r="CU40"/>
      <c r="CV40"/>
      <c r="CW40"/>
      <c r="CX40"/>
      <c r="CY40"/>
      <c r="CZ40"/>
      <c r="DA40"/>
      <c r="DB40"/>
      <c r="DC40"/>
      <c r="DD40"/>
      <c r="DE40"/>
      <c r="DF40"/>
      <c r="DG40"/>
      <c r="DH40"/>
      <c r="DI40"/>
      <c r="DJ40"/>
      <c r="DK40"/>
      <c r="DL40"/>
      <c r="DM40"/>
      <c r="DN40"/>
      <c r="DO40"/>
      <c r="DP40"/>
      <c r="DQ40"/>
      <c r="DR40"/>
      <c r="DS40"/>
      <c r="DT40"/>
      <c r="DU40"/>
      <c r="DV40"/>
      <c r="DW40"/>
      <c r="DX40"/>
      <c r="DY40"/>
      <c r="DZ40"/>
      <c r="EA40"/>
      <c r="EB40"/>
      <c r="EC40"/>
      <c r="ED40"/>
      <c r="EE40"/>
      <c r="EF40"/>
      <c r="EG40"/>
      <c r="EH40"/>
      <c r="EI40"/>
      <c r="EJ40"/>
      <c r="EK40"/>
      <c r="EL40"/>
      <c r="EM40"/>
      <c r="EN40"/>
      <c r="EO40"/>
      <c r="EP40"/>
      <c r="EQ40"/>
      <c r="ER40"/>
      <c r="ES40"/>
      <c r="ET40"/>
      <c r="EU40"/>
      <c r="EV40"/>
      <c r="EW40"/>
      <c r="EX40"/>
      <c r="EY40"/>
      <c r="EZ40"/>
      <c r="FA40"/>
      <c r="FB40"/>
      <c r="FC40"/>
      <c r="FD40"/>
      <c r="FE40"/>
      <c r="FF40"/>
      <c r="FG40"/>
      <c r="FH40"/>
      <c r="FI40"/>
      <c r="FJ40"/>
      <c r="FK40"/>
      <c r="FL40"/>
      <c r="FM40"/>
      <c r="FN40"/>
      <c r="FO40"/>
      <c r="FP40"/>
      <c r="FQ40"/>
      <c r="FR40"/>
      <c r="FS40"/>
      <c r="FT40"/>
      <c r="FU40"/>
      <c r="FV40"/>
      <c r="FW40"/>
      <c r="FX40"/>
      <c r="FY40"/>
      <c r="FZ40"/>
      <c r="GA40"/>
      <c r="GB40"/>
      <c r="GC40"/>
      <c r="GD40"/>
      <c r="GE40"/>
      <c r="GF40"/>
      <c r="GG40"/>
      <c r="GH40"/>
      <c r="GI40"/>
      <c r="GJ40"/>
      <c r="GK40"/>
      <c r="GL40"/>
      <c r="GM40"/>
      <c r="GN40"/>
      <c r="GO40"/>
      <c r="GP40"/>
      <c r="GQ40"/>
      <c r="GR40"/>
      <c r="GS40"/>
      <c r="GT40"/>
      <c r="GU40"/>
      <c r="GV40"/>
      <c r="GW40"/>
      <c r="GX40"/>
      <c r="GY40"/>
      <c r="GZ40"/>
      <c r="HA40"/>
      <c r="HB40"/>
      <c r="HC40"/>
      <c r="HD40"/>
      <c r="HE40"/>
      <c r="HF40"/>
      <c r="HG40"/>
      <c r="HH40"/>
      <c r="HI40"/>
      <c r="HJ40"/>
      <c r="HK40"/>
      <c r="HL40"/>
      <c r="HM40"/>
      <c r="HN40"/>
      <c r="HO40"/>
      <c r="HP40"/>
      <c r="HQ40"/>
      <c r="HR40"/>
      <c r="HS40"/>
      <c r="HT40"/>
      <c r="HU40"/>
      <c r="HV40"/>
      <c r="HW40"/>
      <c r="HX40"/>
      <c r="HY40"/>
      <c r="HZ40"/>
      <c r="IA40"/>
      <c r="IB40"/>
      <c r="IC40"/>
      <c r="ID40"/>
      <c r="IE40"/>
      <c r="IF40"/>
      <c r="IG40"/>
      <c r="IH40"/>
      <c r="II40"/>
      <c r="IJ40"/>
      <c r="IK40"/>
      <c r="IL40"/>
      <c r="IM40"/>
      <c r="IN40"/>
      <c r="IO40"/>
      <c r="IP40"/>
      <c r="IQ40"/>
      <c r="IR40"/>
      <c r="IS40"/>
      <c r="IT40"/>
      <c r="IU40"/>
      <c r="IV40"/>
    </row>
    <row r="41" spans="1:256" s="201" customFormat="1" ht="14.25" x14ac:dyDescent="0.2">
      <c r="A41" s="10">
        <v>2580</v>
      </c>
      <c r="B41" s="11" t="s">
        <v>349</v>
      </c>
      <c r="C41" s="105" t="s">
        <v>350</v>
      </c>
      <c r="D41" s="11" t="s">
        <v>252</v>
      </c>
      <c r="E41" s="12">
        <v>11428</v>
      </c>
      <c r="F41" s="202">
        <v>53</v>
      </c>
      <c r="G41" s="11">
        <v>60000</v>
      </c>
      <c r="H41" s="116">
        <v>0</v>
      </c>
      <c r="I41" s="192"/>
      <c r="J41" s="204"/>
      <c r="K41" s="193"/>
      <c r="L41" s="193"/>
      <c r="M41" s="193"/>
      <c r="N41" s="203">
        <f t="shared" si="28"/>
        <v>60000</v>
      </c>
      <c r="O41" s="203">
        <f t="shared" si="29"/>
        <v>60000</v>
      </c>
      <c r="P41" s="203">
        <f t="shared" si="30"/>
        <v>60000</v>
      </c>
      <c r="Q41" s="214"/>
      <c r="R41" s="219"/>
      <c r="S41" s="217">
        <v>46223</v>
      </c>
      <c r="T41" s="205"/>
      <c r="U41" s="205"/>
      <c r="V41" s="215"/>
      <c r="W41" s="212"/>
      <c r="X41" s="10">
        <v>7</v>
      </c>
      <c r="Y41" s="10">
        <v>7</v>
      </c>
      <c r="Z41" s="213">
        <f t="shared" si="31"/>
        <v>60000</v>
      </c>
      <c r="AA41" s="62"/>
      <c r="AB41" s="62"/>
      <c r="AC41" s="62"/>
      <c r="AD41" s="62"/>
      <c r="AE41" s="62"/>
      <c r="AF41" s="63"/>
      <c r="AG41" s="64"/>
      <c r="AH41" s="6">
        <v>1</v>
      </c>
      <c r="AI41">
        <f t="shared" si="32"/>
        <v>25</v>
      </c>
      <c r="AJ41">
        <f t="shared" si="33"/>
        <v>25</v>
      </c>
      <c r="AK41">
        <f t="shared" si="34"/>
        <v>0</v>
      </c>
      <c r="AL41">
        <f t="shared" si="35"/>
        <v>0</v>
      </c>
      <c r="AM41">
        <f t="shared" si="36"/>
        <v>0</v>
      </c>
      <c r="AN41">
        <f t="shared" si="37"/>
        <v>0</v>
      </c>
      <c r="AO41">
        <f t="shared" si="38"/>
        <v>0</v>
      </c>
      <c r="AP41">
        <f t="shared" si="39"/>
        <v>0</v>
      </c>
      <c r="AQ41">
        <f t="shared" si="40"/>
        <v>0</v>
      </c>
      <c r="AR41">
        <f t="shared" si="41"/>
        <v>0</v>
      </c>
      <c r="AS41">
        <f t="shared" si="42"/>
        <v>0</v>
      </c>
      <c r="AT41">
        <f t="shared" si="43"/>
        <v>0</v>
      </c>
      <c r="AU41">
        <f t="shared" si="44"/>
        <v>1</v>
      </c>
      <c r="AV41">
        <f t="shared" si="45"/>
        <v>1</v>
      </c>
      <c r="AW41">
        <f t="shared" si="46"/>
        <v>1</v>
      </c>
      <c r="AX41">
        <f t="shared" si="47"/>
        <v>1</v>
      </c>
      <c r="AY41">
        <f t="shared" si="48"/>
        <v>60000</v>
      </c>
      <c r="AZ41">
        <f t="shared" si="49"/>
        <v>60000</v>
      </c>
      <c r="BA41">
        <f t="shared" si="50"/>
        <v>0</v>
      </c>
      <c r="BB41">
        <f t="shared" si="51"/>
        <v>0</v>
      </c>
      <c r="BC41">
        <f t="shared" si="52"/>
        <v>0</v>
      </c>
      <c r="BD41">
        <f t="shared" si="53"/>
        <v>0</v>
      </c>
      <c r="BE41">
        <f t="shared" si="54"/>
        <v>0</v>
      </c>
      <c r="BF41">
        <f t="shared" si="55"/>
        <v>0</v>
      </c>
      <c r="BG41"/>
      <c r="BH41"/>
      <c r="BI41"/>
      <c r="BJ41"/>
      <c r="BK41"/>
      <c r="BL41"/>
      <c r="BM41"/>
      <c r="BN41"/>
      <c r="BO41"/>
      <c r="BP41"/>
      <c r="BQ41"/>
      <c r="BR41"/>
      <c r="BS41"/>
      <c r="BT41"/>
      <c r="BU41"/>
      <c r="BV41"/>
      <c r="BW41"/>
      <c r="BX41"/>
      <c r="BY41"/>
      <c r="BZ41"/>
      <c r="CA41"/>
      <c r="CB41"/>
      <c r="CC41"/>
      <c r="CD41"/>
      <c r="CE41"/>
      <c r="CF41"/>
      <c r="CG41"/>
      <c r="CH41"/>
      <c r="CI41"/>
      <c r="CJ41"/>
      <c r="CK41"/>
      <c r="CL41"/>
      <c r="CM41"/>
      <c r="CN41"/>
      <c r="CO41"/>
      <c r="CP41"/>
      <c r="CQ41"/>
      <c r="CR41"/>
      <c r="CS41"/>
      <c r="CT41"/>
      <c r="CU41"/>
      <c r="CV41"/>
      <c r="CW41"/>
      <c r="CX41"/>
      <c r="CY41"/>
      <c r="CZ41"/>
      <c r="DA41"/>
      <c r="DB41"/>
      <c r="DC41"/>
      <c r="DD41"/>
      <c r="DE41"/>
      <c r="DF41"/>
      <c r="DG41"/>
      <c r="DH41"/>
      <c r="DI41"/>
      <c r="DJ41"/>
      <c r="DK41"/>
      <c r="DL41"/>
      <c r="DM41"/>
      <c r="DN41"/>
      <c r="DO41"/>
      <c r="DP41"/>
      <c r="DQ41"/>
      <c r="DR41"/>
      <c r="DS41"/>
      <c r="DT41"/>
      <c r="DU41"/>
      <c r="DV41"/>
      <c r="DW41"/>
      <c r="DX41"/>
      <c r="DY41"/>
      <c r="DZ41"/>
      <c r="EA41"/>
      <c r="EB41"/>
      <c r="EC41"/>
      <c r="ED41"/>
      <c r="EE41"/>
      <c r="EF41"/>
      <c r="EG41"/>
      <c r="EH41"/>
      <c r="EI41"/>
      <c r="EJ41"/>
      <c r="EK41"/>
      <c r="EL41"/>
      <c r="EM41"/>
      <c r="EN41"/>
      <c r="EO41"/>
      <c r="EP41"/>
      <c r="EQ41"/>
      <c r="ER41"/>
      <c r="ES41"/>
      <c r="ET41"/>
      <c r="EU41"/>
      <c r="EV41"/>
      <c r="EW41"/>
      <c r="EX41"/>
      <c r="EY41"/>
      <c r="EZ41"/>
      <c r="FA41"/>
      <c r="FB41"/>
      <c r="FC41"/>
      <c r="FD41"/>
      <c r="FE41"/>
      <c r="FF41"/>
      <c r="FG41"/>
      <c r="FH41"/>
      <c r="FI41"/>
      <c r="FJ41"/>
      <c r="FK41"/>
      <c r="FL41"/>
      <c r="FM41"/>
      <c r="FN41"/>
      <c r="FO41"/>
      <c r="FP41"/>
      <c r="FQ41"/>
      <c r="FR41"/>
      <c r="FS41"/>
      <c r="FT41"/>
      <c r="FU41"/>
      <c r="FV41"/>
      <c r="FW41"/>
      <c r="FX41"/>
      <c r="FY41"/>
      <c r="FZ41"/>
      <c r="GA41"/>
      <c r="GB41"/>
      <c r="GC41"/>
      <c r="GD41"/>
      <c r="GE41"/>
      <c r="GF41"/>
      <c r="GG41"/>
      <c r="GH41"/>
      <c r="GI41"/>
      <c r="GJ41"/>
      <c r="GK41"/>
      <c r="GL41"/>
      <c r="GM41"/>
      <c r="GN41"/>
      <c r="GO41"/>
      <c r="GP41"/>
      <c r="GQ41"/>
      <c r="GR41"/>
      <c r="GS41"/>
      <c r="GT41"/>
      <c r="GU41"/>
      <c r="GV41"/>
      <c r="GW41"/>
      <c r="GX41"/>
      <c r="GY41"/>
      <c r="GZ41"/>
      <c r="HA41"/>
      <c r="HB41"/>
      <c r="HC41"/>
      <c r="HD41"/>
      <c r="HE41"/>
      <c r="HF41"/>
      <c r="HG41"/>
      <c r="HH41"/>
      <c r="HI41"/>
      <c r="HJ41"/>
      <c r="HK41"/>
      <c r="HL41"/>
      <c r="HM41"/>
      <c r="HN41"/>
      <c r="HO41"/>
      <c r="HP41"/>
      <c r="HQ41"/>
      <c r="HR41"/>
      <c r="HS41"/>
      <c r="HT41"/>
      <c r="HU41"/>
      <c r="HV41"/>
      <c r="HW41"/>
      <c r="HX41"/>
      <c r="HY41"/>
      <c r="HZ41"/>
      <c r="IA41"/>
      <c r="IB41"/>
      <c r="IC41"/>
      <c r="ID41"/>
      <c r="IE41"/>
      <c r="IF41"/>
      <c r="IG41"/>
      <c r="IH41"/>
      <c r="II41"/>
      <c r="IJ41"/>
      <c r="IK41"/>
      <c r="IL41"/>
      <c r="IM41"/>
      <c r="IN41"/>
      <c r="IO41"/>
      <c r="IP41"/>
      <c r="IQ41"/>
      <c r="IR41"/>
      <c r="IS41"/>
      <c r="IT41"/>
      <c r="IU41"/>
      <c r="IV41"/>
    </row>
    <row r="42" spans="1:256" s="201" customFormat="1" ht="14.25" x14ac:dyDescent="0.2">
      <c r="A42" s="10">
        <v>2583</v>
      </c>
      <c r="B42" s="11" t="s">
        <v>351</v>
      </c>
      <c r="C42" s="105" t="s">
        <v>352</v>
      </c>
      <c r="D42" s="11" t="s">
        <v>106</v>
      </c>
      <c r="E42" s="12">
        <v>11432</v>
      </c>
      <c r="F42" s="202">
        <v>53</v>
      </c>
      <c r="G42" s="11">
        <v>60000</v>
      </c>
      <c r="H42" s="116">
        <v>-180000</v>
      </c>
      <c r="I42" s="192"/>
      <c r="J42" s="204"/>
      <c r="K42" s="193"/>
      <c r="L42" s="193"/>
      <c r="M42" s="193"/>
      <c r="N42" s="203">
        <f t="shared" si="28"/>
        <v>60000</v>
      </c>
      <c r="O42" s="203">
        <f t="shared" si="29"/>
        <v>-120000</v>
      </c>
      <c r="P42" s="203">
        <f t="shared" si="30"/>
        <v>0</v>
      </c>
      <c r="Q42" s="214"/>
      <c r="R42" s="219"/>
      <c r="S42" s="217">
        <v>46205</v>
      </c>
      <c r="T42" s="205"/>
      <c r="U42" s="205"/>
      <c r="V42" s="215"/>
      <c r="W42" s="212"/>
      <c r="X42" s="10">
        <v>7</v>
      </c>
      <c r="Y42" s="10">
        <v>7</v>
      </c>
      <c r="Z42" s="213">
        <f t="shared" si="31"/>
        <v>60000</v>
      </c>
      <c r="AA42" s="62"/>
      <c r="AB42" s="62"/>
      <c r="AC42" s="62"/>
      <c r="AD42" s="62"/>
      <c r="AE42" s="62"/>
      <c r="AF42" s="63"/>
      <c r="AG42" s="64"/>
      <c r="AH42" s="6">
        <v>1</v>
      </c>
      <c r="AI42">
        <f t="shared" si="32"/>
        <v>25</v>
      </c>
      <c r="AJ42">
        <f t="shared" si="33"/>
        <v>25</v>
      </c>
      <c r="AK42">
        <f t="shared" si="34"/>
        <v>0</v>
      </c>
      <c r="AL42">
        <f t="shared" si="35"/>
        <v>0</v>
      </c>
      <c r="AM42">
        <f t="shared" si="36"/>
        <v>0</v>
      </c>
      <c r="AN42">
        <f t="shared" si="37"/>
        <v>0</v>
      </c>
      <c r="AO42">
        <f t="shared" si="38"/>
        <v>0</v>
      </c>
      <c r="AP42">
        <f t="shared" si="39"/>
        <v>0</v>
      </c>
      <c r="AQ42">
        <f t="shared" si="40"/>
        <v>0</v>
      </c>
      <c r="AR42">
        <f t="shared" si="41"/>
        <v>0</v>
      </c>
      <c r="AS42">
        <f t="shared" si="42"/>
        <v>0</v>
      </c>
      <c r="AT42">
        <f t="shared" si="43"/>
        <v>0</v>
      </c>
      <c r="AU42">
        <f t="shared" si="44"/>
        <v>0</v>
      </c>
      <c r="AV42">
        <f t="shared" si="45"/>
        <v>0</v>
      </c>
      <c r="AW42">
        <f t="shared" si="46"/>
        <v>0</v>
      </c>
      <c r="AX42">
        <f t="shared" si="47"/>
        <v>0</v>
      </c>
      <c r="AY42">
        <f t="shared" si="48"/>
        <v>0</v>
      </c>
      <c r="AZ42">
        <f t="shared" si="49"/>
        <v>0</v>
      </c>
      <c r="BA42">
        <f t="shared" si="50"/>
        <v>0</v>
      </c>
      <c r="BB42">
        <f t="shared" si="51"/>
        <v>0</v>
      </c>
      <c r="BC42">
        <f t="shared" si="52"/>
        <v>0</v>
      </c>
      <c r="BD42">
        <f t="shared" si="53"/>
        <v>0</v>
      </c>
      <c r="BE42">
        <f t="shared" si="54"/>
        <v>0</v>
      </c>
      <c r="BF42">
        <f t="shared" si="55"/>
        <v>0</v>
      </c>
      <c r="BG42"/>
      <c r="BH42"/>
      <c r="BI42"/>
      <c r="BJ42"/>
      <c r="BK42"/>
      <c r="BL42"/>
      <c r="BM42"/>
      <c r="BN42"/>
      <c r="BO42"/>
      <c r="BP42"/>
      <c r="BQ42"/>
      <c r="BR42"/>
      <c r="BS42"/>
      <c r="BT42"/>
      <c r="BU42"/>
      <c r="BV42"/>
      <c r="BW42"/>
      <c r="BX42"/>
      <c r="BY42"/>
      <c r="BZ42"/>
      <c r="CA42"/>
      <c r="CB42"/>
      <c r="CC42"/>
      <c r="CD42"/>
      <c r="CE42"/>
      <c r="CF42"/>
      <c r="CG42"/>
      <c r="CH42"/>
      <c r="CI42"/>
      <c r="CJ42"/>
      <c r="CK42"/>
      <c r="CL42"/>
      <c r="CM42"/>
      <c r="CN42"/>
      <c r="CO42"/>
      <c r="CP42"/>
      <c r="CQ42"/>
      <c r="CR42"/>
      <c r="CS42"/>
      <c r="CT42"/>
      <c r="CU42"/>
      <c r="CV42"/>
      <c r="CW42"/>
      <c r="CX42"/>
      <c r="CY42"/>
      <c r="CZ42"/>
      <c r="DA42"/>
      <c r="DB42"/>
      <c r="DC42"/>
      <c r="DD42"/>
      <c r="DE42"/>
      <c r="DF42"/>
      <c r="DG42"/>
      <c r="DH42"/>
      <c r="DI42"/>
      <c r="DJ42"/>
      <c r="DK42"/>
      <c r="DL42"/>
      <c r="DM42"/>
      <c r="DN42"/>
      <c r="DO42"/>
      <c r="DP42"/>
      <c r="DQ42"/>
      <c r="DR42"/>
      <c r="DS42"/>
      <c r="DT42"/>
      <c r="DU42"/>
      <c r="DV42"/>
      <c r="DW42"/>
      <c r="DX42"/>
      <c r="DY42"/>
      <c r="DZ42"/>
      <c r="EA42"/>
      <c r="EB42"/>
      <c r="EC42"/>
      <c r="ED42"/>
      <c r="EE42"/>
      <c r="EF42"/>
      <c r="EG42"/>
      <c r="EH42"/>
      <c r="EI42"/>
      <c r="EJ42"/>
      <c r="EK42"/>
      <c r="EL42"/>
      <c r="EM42"/>
      <c r="EN42"/>
      <c r="EO42"/>
      <c r="EP42"/>
      <c r="EQ42"/>
      <c r="ER42"/>
      <c r="ES42"/>
      <c r="ET42"/>
      <c r="EU42"/>
      <c r="EV42"/>
      <c r="EW42"/>
      <c r="EX42"/>
      <c r="EY42"/>
      <c r="EZ42"/>
      <c r="FA42"/>
      <c r="FB42"/>
      <c r="FC42"/>
      <c r="FD42"/>
      <c r="FE42"/>
      <c r="FF42"/>
      <c r="FG42"/>
      <c r="FH42"/>
      <c r="FI42"/>
      <c r="FJ42"/>
      <c r="FK42"/>
      <c r="FL42"/>
      <c r="FM42"/>
      <c r="FN42"/>
      <c r="FO42"/>
      <c r="FP42"/>
      <c r="FQ42"/>
      <c r="FR42"/>
      <c r="FS42"/>
      <c r="FT42"/>
      <c r="FU42"/>
      <c r="FV42"/>
      <c r="FW42"/>
      <c r="FX42"/>
      <c r="FY42"/>
      <c r="FZ42"/>
      <c r="GA42"/>
      <c r="GB42"/>
      <c r="GC42"/>
      <c r="GD42"/>
      <c r="GE42"/>
      <c r="GF42"/>
      <c r="GG42"/>
      <c r="GH42"/>
      <c r="GI42"/>
      <c r="GJ42"/>
      <c r="GK42"/>
      <c r="GL42"/>
      <c r="GM42"/>
      <c r="GN42"/>
      <c r="GO42"/>
      <c r="GP42"/>
      <c r="GQ42"/>
      <c r="GR42"/>
      <c r="GS42"/>
      <c r="GT42"/>
      <c r="GU42"/>
      <c r="GV42"/>
      <c r="GW42"/>
      <c r="GX42"/>
      <c r="GY42"/>
      <c r="GZ42"/>
      <c r="HA42"/>
      <c r="HB42"/>
      <c r="HC42"/>
      <c r="HD42"/>
      <c r="HE42"/>
      <c r="HF42"/>
      <c r="HG42"/>
      <c r="HH42"/>
      <c r="HI42"/>
      <c r="HJ42"/>
      <c r="HK42"/>
      <c r="HL42"/>
      <c r="HM42"/>
      <c r="HN42"/>
      <c r="HO42"/>
      <c r="HP42"/>
      <c r="HQ42"/>
      <c r="HR42"/>
      <c r="HS42"/>
      <c r="HT42"/>
      <c r="HU42"/>
      <c r="HV42"/>
      <c r="HW42"/>
      <c r="HX42"/>
      <c r="HY42"/>
      <c r="HZ42"/>
      <c r="IA42"/>
      <c r="IB42"/>
      <c r="IC42"/>
      <c r="ID42"/>
      <c r="IE42"/>
      <c r="IF42"/>
      <c r="IG42"/>
      <c r="IH42"/>
      <c r="II42"/>
      <c r="IJ42"/>
      <c r="IK42"/>
      <c r="IL42"/>
      <c r="IM42"/>
      <c r="IN42"/>
      <c r="IO42"/>
      <c r="IP42"/>
      <c r="IQ42"/>
      <c r="IR42"/>
      <c r="IS42"/>
      <c r="IT42"/>
      <c r="IU42"/>
      <c r="IV42"/>
    </row>
    <row r="43" spans="1:256" s="201" customFormat="1" ht="14.25" x14ac:dyDescent="0.2">
      <c r="A43" s="10">
        <v>2585</v>
      </c>
      <c r="B43" s="11" t="s">
        <v>353</v>
      </c>
      <c r="C43" s="105" t="s">
        <v>354</v>
      </c>
      <c r="D43" s="11" t="s">
        <v>154</v>
      </c>
      <c r="E43" s="12">
        <v>11434</v>
      </c>
      <c r="F43" s="202">
        <v>53</v>
      </c>
      <c r="G43" s="11">
        <v>60000</v>
      </c>
      <c r="H43" s="116">
        <v>-200000</v>
      </c>
      <c r="I43" s="192"/>
      <c r="J43" s="204"/>
      <c r="K43" s="193"/>
      <c r="L43" s="193"/>
      <c r="M43" s="193"/>
      <c r="N43" s="203">
        <f t="shared" si="28"/>
        <v>60000</v>
      </c>
      <c r="O43" s="203">
        <f t="shared" si="29"/>
        <v>-140000</v>
      </c>
      <c r="P43" s="203">
        <f t="shared" si="30"/>
        <v>0</v>
      </c>
      <c r="Q43" s="214"/>
      <c r="R43" s="219"/>
      <c r="S43" s="217">
        <v>46232</v>
      </c>
      <c r="T43" s="205"/>
      <c r="U43" s="205"/>
      <c r="V43" s="215"/>
      <c r="W43" s="212"/>
      <c r="X43" s="10">
        <v>7</v>
      </c>
      <c r="Y43" s="10">
        <v>7</v>
      </c>
      <c r="Z43" s="213">
        <f t="shared" si="31"/>
        <v>60000</v>
      </c>
      <c r="AA43" s="62"/>
      <c r="AB43" s="62"/>
      <c r="AC43" s="62"/>
      <c r="AD43" s="62"/>
      <c r="AE43" s="62"/>
      <c r="AF43" s="63"/>
      <c r="AG43" s="64"/>
      <c r="AH43" s="6">
        <v>1</v>
      </c>
      <c r="AI43">
        <f t="shared" si="32"/>
        <v>25</v>
      </c>
      <c r="AJ43">
        <f t="shared" si="33"/>
        <v>25</v>
      </c>
      <c r="AK43">
        <f t="shared" si="34"/>
        <v>0</v>
      </c>
      <c r="AL43">
        <f t="shared" si="35"/>
        <v>0</v>
      </c>
      <c r="AM43">
        <f t="shared" si="36"/>
        <v>0</v>
      </c>
      <c r="AN43">
        <f t="shared" si="37"/>
        <v>0</v>
      </c>
      <c r="AO43">
        <f t="shared" si="38"/>
        <v>0</v>
      </c>
      <c r="AP43">
        <f t="shared" si="39"/>
        <v>0</v>
      </c>
      <c r="AQ43">
        <f t="shared" si="40"/>
        <v>0</v>
      </c>
      <c r="AR43">
        <f t="shared" si="41"/>
        <v>0</v>
      </c>
      <c r="AS43">
        <f t="shared" si="42"/>
        <v>0</v>
      </c>
      <c r="AT43">
        <f t="shared" si="43"/>
        <v>0</v>
      </c>
      <c r="AU43">
        <f t="shared" si="44"/>
        <v>0</v>
      </c>
      <c r="AV43">
        <f t="shared" si="45"/>
        <v>0</v>
      </c>
      <c r="AW43">
        <f t="shared" si="46"/>
        <v>0</v>
      </c>
      <c r="AX43">
        <f t="shared" si="47"/>
        <v>0</v>
      </c>
      <c r="AY43">
        <f t="shared" si="48"/>
        <v>0</v>
      </c>
      <c r="AZ43">
        <f t="shared" si="49"/>
        <v>0</v>
      </c>
      <c r="BA43">
        <f t="shared" si="50"/>
        <v>0</v>
      </c>
      <c r="BB43">
        <f t="shared" si="51"/>
        <v>0</v>
      </c>
      <c r="BC43">
        <f t="shared" si="52"/>
        <v>0</v>
      </c>
      <c r="BD43">
        <f t="shared" si="53"/>
        <v>0</v>
      </c>
      <c r="BE43">
        <f t="shared" si="54"/>
        <v>0</v>
      </c>
      <c r="BF43">
        <f t="shared" si="55"/>
        <v>0</v>
      </c>
      <c r="BG43"/>
      <c r="BH43"/>
      <c r="BI43"/>
      <c r="BJ43"/>
      <c r="BK43"/>
      <c r="BL43"/>
      <c r="BM43"/>
      <c r="BN43"/>
      <c r="BO43"/>
      <c r="BP43"/>
      <c r="BQ43"/>
      <c r="BR43"/>
      <c r="BS43"/>
      <c r="BT43"/>
      <c r="BU43"/>
      <c r="BV43"/>
      <c r="BW43"/>
      <c r="BX43"/>
      <c r="BY43"/>
      <c r="BZ43"/>
      <c r="CA43"/>
      <c r="CB43"/>
      <c r="CC43"/>
      <c r="CD43"/>
      <c r="CE43"/>
      <c r="CF43"/>
      <c r="CG43"/>
      <c r="CH43"/>
      <c r="CI43"/>
      <c r="CJ43"/>
      <c r="CK43"/>
      <c r="CL43"/>
      <c r="CM43"/>
      <c r="CN43"/>
      <c r="CO43"/>
      <c r="CP43"/>
      <c r="CQ43"/>
      <c r="CR43"/>
      <c r="CS43"/>
      <c r="CT43"/>
      <c r="CU43"/>
      <c r="CV43"/>
      <c r="CW43"/>
      <c r="CX43"/>
      <c r="CY43"/>
      <c r="CZ43"/>
      <c r="DA43"/>
      <c r="DB43"/>
      <c r="DC43"/>
      <c r="DD43"/>
      <c r="DE43"/>
      <c r="DF43"/>
      <c r="DG43"/>
      <c r="DH43"/>
      <c r="DI43"/>
      <c r="DJ43"/>
      <c r="DK43"/>
      <c r="DL43"/>
      <c r="DM43"/>
      <c r="DN43"/>
      <c r="DO43"/>
      <c r="DP43"/>
      <c r="DQ43"/>
      <c r="DR43"/>
      <c r="DS43"/>
      <c r="DT43"/>
      <c r="DU43"/>
      <c r="DV43"/>
      <c r="DW43"/>
      <c r="DX43"/>
      <c r="DY43"/>
      <c r="DZ43"/>
      <c r="EA43"/>
      <c r="EB43"/>
      <c r="EC43"/>
      <c r="ED43"/>
      <c r="EE43"/>
      <c r="EF43"/>
      <c r="EG43"/>
      <c r="EH43"/>
      <c r="EI43"/>
      <c r="EJ43"/>
      <c r="EK43"/>
      <c r="EL43"/>
      <c r="EM43"/>
      <c r="EN43"/>
      <c r="EO43"/>
      <c r="EP43"/>
      <c r="EQ43"/>
      <c r="ER43"/>
      <c r="ES43"/>
      <c r="ET43"/>
      <c r="EU43"/>
      <c r="EV43"/>
      <c r="EW43"/>
      <c r="EX43"/>
      <c r="EY43"/>
      <c r="EZ43"/>
      <c r="FA43"/>
      <c r="FB43"/>
      <c r="FC43"/>
      <c r="FD43"/>
      <c r="FE43"/>
      <c r="FF43"/>
      <c r="FG43"/>
      <c r="FH43"/>
      <c r="FI43"/>
      <c r="FJ43"/>
      <c r="FK43"/>
      <c r="FL43"/>
      <c r="FM43"/>
      <c r="FN43"/>
      <c r="FO43"/>
      <c r="FP43"/>
      <c r="FQ43"/>
      <c r="FR43"/>
      <c r="FS43"/>
      <c r="FT43"/>
      <c r="FU43"/>
      <c r="FV43"/>
      <c r="FW43"/>
      <c r="FX43"/>
      <c r="FY43"/>
      <c r="FZ43"/>
      <c r="GA43"/>
      <c r="GB43"/>
      <c r="GC43"/>
      <c r="GD43"/>
      <c r="GE43"/>
      <c r="GF43"/>
      <c r="GG43"/>
      <c r="GH43"/>
      <c r="GI43"/>
      <c r="GJ43"/>
      <c r="GK43"/>
      <c r="GL43"/>
      <c r="GM43"/>
      <c r="GN43"/>
      <c r="GO43"/>
      <c r="GP43"/>
      <c r="GQ43"/>
      <c r="GR43"/>
      <c r="GS43"/>
      <c r="GT43"/>
      <c r="GU43"/>
      <c r="GV43"/>
      <c r="GW43"/>
      <c r="GX43"/>
      <c r="GY43"/>
      <c r="GZ43"/>
      <c r="HA43"/>
      <c r="HB43"/>
      <c r="HC43"/>
      <c r="HD43"/>
      <c r="HE43"/>
      <c r="HF43"/>
      <c r="HG43"/>
      <c r="HH43"/>
      <c r="HI43"/>
      <c r="HJ43"/>
      <c r="HK43"/>
      <c r="HL43"/>
      <c r="HM43"/>
      <c r="HN43"/>
      <c r="HO43"/>
      <c r="HP43"/>
      <c r="HQ43"/>
      <c r="HR43"/>
      <c r="HS43"/>
      <c r="HT43"/>
      <c r="HU43"/>
      <c r="HV43"/>
      <c r="HW43"/>
      <c r="HX43"/>
      <c r="HY43"/>
      <c r="HZ43"/>
      <c r="IA43"/>
      <c r="IB43"/>
      <c r="IC43"/>
      <c r="ID43"/>
      <c r="IE43"/>
      <c r="IF43"/>
      <c r="IG43"/>
      <c r="IH43"/>
      <c r="II43"/>
      <c r="IJ43"/>
      <c r="IK43"/>
      <c r="IL43"/>
      <c r="IM43"/>
      <c r="IN43"/>
      <c r="IO43"/>
      <c r="IP43"/>
      <c r="IQ43"/>
      <c r="IR43"/>
      <c r="IS43"/>
      <c r="IT43"/>
      <c r="IU43"/>
      <c r="IV43"/>
    </row>
    <row r="44" spans="1:256" s="201" customFormat="1" ht="14.25" x14ac:dyDescent="0.2">
      <c r="A44" s="10">
        <v>2615</v>
      </c>
      <c r="B44" s="11" t="s">
        <v>355</v>
      </c>
      <c r="C44" s="105" t="s">
        <v>356</v>
      </c>
      <c r="D44" s="11" t="s">
        <v>357</v>
      </c>
      <c r="E44" s="12">
        <v>11506</v>
      </c>
      <c r="F44" s="202">
        <v>52</v>
      </c>
      <c r="G44" s="11">
        <v>60000</v>
      </c>
      <c r="H44" s="116">
        <v>0</v>
      </c>
      <c r="I44" s="192"/>
      <c r="J44" s="204"/>
      <c r="K44" s="193"/>
      <c r="L44" s="193"/>
      <c r="M44" s="193"/>
      <c r="N44" s="203">
        <f t="shared" si="28"/>
        <v>60000</v>
      </c>
      <c r="O44" s="203">
        <f t="shared" si="29"/>
        <v>60000</v>
      </c>
      <c r="P44" s="203">
        <f t="shared" si="30"/>
        <v>60000</v>
      </c>
      <c r="Q44" s="214"/>
      <c r="R44" s="219"/>
      <c r="S44" s="217">
        <v>46218</v>
      </c>
      <c r="T44" s="205"/>
      <c r="U44" s="205"/>
      <c r="V44" s="215"/>
      <c r="W44" s="212"/>
      <c r="X44" s="10">
        <v>7</v>
      </c>
      <c r="Y44" s="10">
        <v>7</v>
      </c>
      <c r="Z44" s="213">
        <f t="shared" si="31"/>
        <v>60000</v>
      </c>
      <c r="AA44" s="62"/>
      <c r="AB44" s="62"/>
      <c r="AC44" s="62"/>
      <c r="AD44" s="62"/>
      <c r="AE44" s="62"/>
      <c r="AF44" s="63"/>
      <c r="AG44" s="64"/>
      <c r="AH44" s="6">
        <v>1</v>
      </c>
      <c r="AI44">
        <f t="shared" si="32"/>
        <v>25</v>
      </c>
      <c r="AJ44">
        <f t="shared" si="33"/>
        <v>25</v>
      </c>
      <c r="AK44">
        <f t="shared" si="34"/>
        <v>0</v>
      </c>
      <c r="AL44">
        <f t="shared" si="35"/>
        <v>0</v>
      </c>
      <c r="AM44">
        <f t="shared" si="36"/>
        <v>0</v>
      </c>
      <c r="AN44">
        <f t="shared" si="37"/>
        <v>0</v>
      </c>
      <c r="AO44">
        <f t="shared" si="38"/>
        <v>0</v>
      </c>
      <c r="AP44">
        <f t="shared" si="39"/>
        <v>0</v>
      </c>
      <c r="AQ44">
        <f t="shared" si="40"/>
        <v>0</v>
      </c>
      <c r="AR44">
        <f t="shared" si="41"/>
        <v>0</v>
      </c>
      <c r="AS44">
        <f t="shared" si="42"/>
        <v>0</v>
      </c>
      <c r="AT44">
        <f t="shared" si="43"/>
        <v>0</v>
      </c>
      <c r="AU44">
        <f t="shared" si="44"/>
        <v>1</v>
      </c>
      <c r="AV44">
        <f t="shared" si="45"/>
        <v>1</v>
      </c>
      <c r="AW44">
        <f t="shared" si="46"/>
        <v>1</v>
      </c>
      <c r="AX44">
        <f t="shared" si="47"/>
        <v>1</v>
      </c>
      <c r="AY44">
        <f t="shared" si="48"/>
        <v>60000</v>
      </c>
      <c r="AZ44">
        <f t="shared" si="49"/>
        <v>60000</v>
      </c>
      <c r="BA44">
        <f t="shared" si="50"/>
        <v>0</v>
      </c>
      <c r="BB44">
        <f t="shared" si="51"/>
        <v>0</v>
      </c>
      <c r="BC44">
        <f t="shared" si="52"/>
        <v>0</v>
      </c>
      <c r="BD44">
        <f t="shared" si="53"/>
        <v>0</v>
      </c>
      <c r="BE44">
        <f t="shared" si="54"/>
        <v>0</v>
      </c>
      <c r="BF44">
        <f t="shared" si="55"/>
        <v>0</v>
      </c>
      <c r="BG44"/>
      <c r="BH44"/>
      <c r="BI44"/>
      <c r="BJ44"/>
      <c r="BK44"/>
      <c r="BL44"/>
      <c r="BM44"/>
      <c r="BN44"/>
      <c r="BO44"/>
      <c r="BP44"/>
      <c r="BQ44"/>
      <c r="BR44"/>
      <c r="BS44"/>
      <c r="BT44"/>
      <c r="BU44"/>
      <c r="BV44"/>
      <c r="BW44"/>
      <c r="BX44"/>
      <c r="BY44"/>
      <c r="BZ44"/>
      <c r="CA44"/>
      <c r="CB44"/>
      <c r="CC44"/>
      <c r="CD44"/>
      <c r="CE44"/>
      <c r="CF44"/>
      <c r="CG44"/>
      <c r="CH44"/>
      <c r="CI44"/>
      <c r="CJ44"/>
      <c r="CK44"/>
      <c r="CL44"/>
      <c r="CM44"/>
      <c r="CN44"/>
      <c r="CO44"/>
      <c r="CP44"/>
      <c r="CQ44"/>
      <c r="CR44"/>
      <c r="CS44"/>
      <c r="CT44"/>
      <c r="CU44"/>
      <c r="CV44"/>
      <c r="CW44"/>
      <c r="CX44"/>
      <c r="CY44"/>
      <c r="CZ44"/>
      <c r="DA44"/>
      <c r="DB44"/>
      <c r="DC44"/>
      <c r="DD44"/>
      <c r="DE44"/>
      <c r="DF44"/>
      <c r="DG44"/>
      <c r="DH44"/>
      <c r="DI44"/>
      <c r="DJ44"/>
      <c r="DK44"/>
      <c r="DL44"/>
      <c r="DM44"/>
      <c r="DN44"/>
      <c r="DO44"/>
      <c r="DP44"/>
      <c r="DQ44"/>
      <c r="DR44"/>
      <c r="DS44"/>
      <c r="DT44"/>
      <c r="DU44"/>
      <c r="DV44"/>
      <c r="DW44"/>
      <c r="DX44"/>
      <c r="DY44"/>
      <c r="DZ44"/>
      <c r="EA44"/>
      <c r="EB44"/>
      <c r="EC44"/>
      <c r="ED44"/>
      <c r="EE44"/>
      <c r="EF44"/>
      <c r="EG44"/>
      <c r="EH44"/>
      <c r="EI44"/>
      <c r="EJ44"/>
      <c r="EK44"/>
      <c r="EL44"/>
      <c r="EM44"/>
      <c r="EN44"/>
      <c r="EO44"/>
      <c r="EP44"/>
      <c r="EQ44"/>
      <c r="ER44"/>
      <c r="ES44"/>
      <c r="ET44"/>
      <c r="EU44"/>
      <c r="EV44"/>
      <c r="EW44"/>
      <c r="EX44"/>
      <c r="EY44"/>
      <c r="EZ44"/>
      <c r="FA44"/>
      <c r="FB44"/>
      <c r="FC44"/>
      <c r="FD44"/>
      <c r="FE44"/>
      <c r="FF44"/>
      <c r="FG44"/>
      <c r="FH44"/>
      <c r="FI44"/>
      <c r="FJ44"/>
      <c r="FK44"/>
      <c r="FL44"/>
      <c r="FM44"/>
      <c r="FN44"/>
      <c r="FO44"/>
      <c r="FP44"/>
      <c r="FQ44"/>
      <c r="FR44"/>
      <c r="FS44"/>
      <c r="FT44"/>
      <c r="FU44"/>
      <c r="FV44"/>
      <c r="FW44"/>
      <c r="FX44"/>
      <c r="FY44"/>
      <c r="FZ44"/>
      <c r="GA44"/>
      <c r="GB44"/>
      <c r="GC44"/>
      <c r="GD44"/>
      <c r="GE44"/>
      <c r="GF44"/>
      <c r="GG44"/>
      <c r="GH44"/>
      <c r="GI44"/>
      <c r="GJ44"/>
      <c r="GK44"/>
      <c r="GL44"/>
      <c r="GM44"/>
      <c r="GN44"/>
      <c r="GO44"/>
      <c r="GP44"/>
      <c r="GQ44"/>
      <c r="GR44"/>
      <c r="GS44"/>
      <c r="GT44"/>
      <c r="GU44"/>
      <c r="GV44"/>
      <c r="GW44"/>
      <c r="GX44"/>
      <c r="GY44"/>
      <c r="GZ44"/>
      <c r="HA44"/>
      <c r="HB44"/>
      <c r="HC44"/>
      <c r="HD44"/>
      <c r="HE44"/>
      <c r="HF44"/>
      <c r="HG44"/>
      <c r="HH44"/>
      <c r="HI44"/>
      <c r="HJ44"/>
      <c r="HK44"/>
      <c r="HL44"/>
      <c r="HM44"/>
      <c r="HN44"/>
      <c r="HO44"/>
      <c r="HP44"/>
      <c r="HQ44"/>
      <c r="HR44"/>
      <c r="HS44"/>
      <c r="HT44"/>
      <c r="HU44"/>
      <c r="HV44"/>
      <c r="HW44"/>
      <c r="HX44"/>
      <c r="HY44"/>
      <c r="HZ44"/>
      <c r="IA44"/>
      <c r="IB44"/>
      <c r="IC44"/>
      <c r="ID44"/>
      <c r="IE44"/>
      <c r="IF44"/>
      <c r="IG44"/>
      <c r="IH44"/>
      <c r="II44"/>
      <c r="IJ44"/>
      <c r="IK44"/>
      <c r="IL44"/>
      <c r="IM44"/>
      <c r="IN44"/>
      <c r="IO44"/>
      <c r="IP44"/>
      <c r="IQ44"/>
      <c r="IR44"/>
      <c r="IS44"/>
      <c r="IT44"/>
      <c r="IU44"/>
      <c r="IV44"/>
    </row>
    <row r="45" spans="1:256" s="201" customFormat="1" ht="14.25" x14ac:dyDescent="0.2">
      <c r="A45" s="10">
        <v>2616</v>
      </c>
      <c r="B45" s="11" t="s">
        <v>358</v>
      </c>
      <c r="C45" s="105" t="s">
        <v>509</v>
      </c>
      <c r="D45" s="11" t="s">
        <v>218</v>
      </c>
      <c r="E45" s="12">
        <v>11516</v>
      </c>
      <c r="F45" s="202">
        <v>51</v>
      </c>
      <c r="G45" s="11">
        <v>60000</v>
      </c>
      <c r="H45" s="116">
        <v>0</v>
      </c>
      <c r="I45" s="192"/>
      <c r="J45" s="204"/>
      <c r="K45" s="193"/>
      <c r="L45" s="193"/>
      <c r="M45" s="193"/>
      <c r="N45" s="203">
        <f t="shared" si="28"/>
        <v>60000</v>
      </c>
      <c r="O45" s="203">
        <f t="shared" si="29"/>
        <v>60000</v>
      </c>
      <c r="P45" s="203">
        <f t="shared" si="30"/>
        <v>60000</v>
      </c>
      <c r="Q45" s="214"/>
      <c r="R45" s="219"/>
      <c r="S45" s="217">
        <v>46213</v>
      </c>
      <c r="T45" s="205"/>
      <c r="U45" s="205"/>
      <c r="V45" s="215"/>
      <c r="W45" s="212"/>
      <c r="X45" s="10">
        <v>7</v>
      </c>
      <c r="Y45" s="10">
        <v>7</v>
      </c>
      <c r="Z45" s="213">
        <f t="shared" si="31"/>
        <v>60000</v>
      </c>
      <c r="AA45" s="62"/>
      <c r="AB45" s="62"/>
      <c r="AC45" s="62"/>
      <c r="AD45" s="62"/>
      <c r="AE45" s="62"/>
      <c r="AF45" s="63"/>
      <c r="AG45" s="64"/>
      <c r="AH45" s="6">
        <v>1</v>
      </c>
      <c r="AI45">
        <f t="shared" si="32"/>
        <v>25</v>
      </c>
      <c r="AJ45">
        <f t="shared" si="33"/>
        <v>25</v>
      </c>
      <c r="AK45">
        <f t="shared" si="34"/>
        <v>0</v>
      </c>
      <c r="AL45">
        <f t="shared" si="35"/>
        <v>0</v>
      </c>
      <c r="AM45">
        <f t="shared" si="36"/>
        <v>0</v>
      </c>
      <c r="AN45">
        <f t="shared" si="37"/>
        <v>0</v>
      </c>
      <c r="AO45">
        <f t="shared" si="38"/>
        <v>0</v>
      </c>
      <c r="AP45">
        <f t="shared" si="39"/>
        <v>0</v>
      </c>
      <c r="AQ45">
        <f t="shared" si="40"/>
        <v>0</v>
      </c>
      <c r="AR45">
        <f t="shared" si="41"/>
        <v>0</v>
      </c>
      <c r="AS45">
        <f t="shared" si="42"/>
        <v>0</v>
      </c>
      <c r="AT45">
        <f t="shared" si="43"/>
        <v>0</v>
      </c>
      <c r="AU45">
        <f t="shared" si="44"/>
        <v>1</v>
      </c>
      <c r="AV45">
        <f t="shared" si="45"/>
        <v>1</v>
      </c>
      <c r="AW45">
        <f t="shared" si="46"/>
        <v>1</v>
      </c>
      <c r="AX45">
        <f t="shared" si="47"/>
        <v>1</v>
      </c>
      <c r="AY45">
        <f t="shared" si="48"/>
        <v>60000</v>
      </c>
      <c r="AZ45">
        <f t="shared" si="49"/>
        <v>60000</v>
      </c>
      <c r="BA45">
        <f t="shared" si="50"/>
        <v>0</v>
      </c>
      <c r="BB45">
        <f t="shared" si="51"/>
        <v>0</v>
      </c>
      <c r="BC45">
        <f t="shared" si="52"/>
        <v>0</v>
      </c>
      <c r="BD45">
        <f t="shared" si="53"/>
        <v>0</v>
      </c>
      <c r="BE45">
        <f t="shared" si="54"/>
        <v>0</v>
      </c>
      <c r="BF45">
        <f t="shared" si="55"/>
        <v>0</v>
      </c>
      <c r="BG45"/>
      <c r="BH45"/>
      <c r="BI45"/>
      <c r="BJ45"/>
      <c r="BK45"/>
      <c r="BL45"/>
      <c r="BM45"/>
      <c r="BN45"/>
      <c r="BO45"/>
      <c r="BP45"/>
      <c r="BQ45"/>
      <c r="BR45"/>
      <c r="BS45"/>
      <c r="BT45"/>
      <c r="BU45"/>
      <c r="BV45"/>
      <c r="BW45"/>
      <c r="BX45"/>
      <c r="BY45"/>
      <c r="BZ45"/>
      <c r="CA45"/>
      <c r="CB45"/>
      <c r="CC45"/>
      <c r="CD45"/>
      <c r="CE45"/>
      <c r="CF45"/>
      <c r="CG45"/>
      <c r="CH45"/>
      <c r="CI45"/>
      <c r="CJ45"/>
      <c r="CK45"/>
      <c r="CL45"/>
      <c r="CM45"/>
      <c r="CN45"/>
      <c r="CO45"/>
      <c r="CP45"/>
      <c r="CQ45"/>
      <c r="CR45"/>
      <c r="CS45"/>
      <c r="CT45"/>
      <c r="CU45"/>
      <c r="CV45"/>
      <c r="CW45"/>
      <c r="CX45"/>
      <c r="CY45"/>
      <c r="CZ45"/>
      <c r="DA45"/>
      <c r="DB45"/>
      <c r="DC45"/>
      <c r="DD45"/>
      <c r="DE45"/>
      <c r="DF45"/>
      <c r="DG45"/>
      <c r="DH45"/>
      <c r="DI45"/>
      <c r="DJ45"/>
      <c r="DK45"/>
      <c r="DL45"/>
      <c r="DM45"/>
      <c r="DN45"/>
      <c r="DO45"/>
      <c r="DP45"/>
      <c r="DQ45"/>
      <c r="DR45"/>
      <c r="DS45"/>
      <c r="DT45"/>
      <c r="DU45"/>
      <c r="DV45"/>
      <c r="DW45"/>
      <c r="DX45"/>
      <c r="DY45"/>
      <c r="DZ45"/>
      <c r="EA45"/>
      <c r="EB45"/>
      <c r="EC45"/>
      <c r="ED45"/>
      <c r="EE45"/>
      <c r="EF45"/>
      <c r="EG45"/>
      <c r="EH45"/>
      <c r="EI45"/>
      <c r="EJ45"/>
      <c r="EK45"/>
      <c r="EL45"/>
      <c r="EM45"/>
      <c r="EN45"/>
      <c r="EO45"/>
      <c r="EP45"/>
      <c r="EQ45"/>
      <c r="ER45"/>
      <c r="ES45"/>
      <c r="ET45"/>
      <c r="EU45"/>
      <c r="EV45"/>
      <c r="EW45"/>
      <c r="EX45"/>
      <c r="EY45"/>
      <c r="EZ45"/>
      <c r="FA45"/>
      <c r="FB45"/>
      <c r="FC45"/>
      <c r="FD45"/>
      <c r="FE45"/>
      <c r="FF45"/>
      <c r="FG45"/>
      <c r="FH45"/>
      <c r="FI45"/>
      <c r="FJ45"/>
      <c r="FK45"/>
      <c r="FL45"/>
      <c r="FM45"/>
      <c r="FN45"/>
      <c r="FO45"/>
      <c r="FP45"/>
      <c r="FQ45"/>
      <c r="FR45"/>
      <c r="FS45"/>
      <c r="FT45"/>
      <c r="FU45"/>
      <c r="FV45"/>
      <c r="FW45"/>
      <c r="FX45"/>
      <c r="FY45"/>
      <c r="FZ45"/>
      <c r="GA45"/>
      <c r="GB45"/>
      <c r="GC45"/>
      <c r="GD45"/>
      <c r="GE45"/>
      <c r="GF45"/>
      <c r="GG45"/>
      <c r="GH45"/>
      <c r="GI45"/>
      <c r="GJ45"/>
      <c r="GK45"/>
      <c r="GL45"/>
      <c r="GM45"/>
      <c r="GN45"/>
      <c r="GO45"/>
      <c r="GP45"/>
      <c r="GQ45"/>
      <c r="GR45"/>
      <c r="GS45"/>
      <c r="GT45"/>
      <c r="GU45"/>
      <c r="GV45"/>
      <c r="GW45"/>
      <c r="GX45"/>
      <c r="GY45"/>
      <c r="GZ45"/>
      <c r="HA45"/>
      <c r="HB45"/>
      <c r="HC45"/>
      <c r="HD45"/>
      <c r="HE45"/>
      <c r="HF45"/>
      <c r="HG45"/>
      <c r="HH45"/>
      <c r="HI45"/>
      <c r="HJ45"/>
      <c r="HK45"/>
      <c r="HL45"/>
      <c r="HM45"/>
      <c r="HN45"/>
      <c r="HO45"/>
      <c r="HP45"/>
      <c r="HQ45"/>
      <c r="HR45"/>
      <c r="HS45"/>
      <c r="HT45"/>
      <c r="HU45"/>
      <c r="HV45"/>
      <c r="HW45"/>
      <c r="HX45"/>
      <c r="HY45"/>
      <c r="HZ45"/>
      <c r="IA45"/>
      <c r="IB45"/>
      <c r="IC45"/>
      <c r="ID45"/>
      <c r="IE45"/>
      <c r="IF45"/>
      <c r="IG45"/>
      <c r="IH45"/>
      <c r="II45"/>
      <c r="IJ45"/>
      <c r="IK45"/>
      <c r="IL45"/>
      <c r="IM45"/>
      <c r="IN45"/>
      <c r="IO45"/>
      <c r="IP45"/>
      <c r="IQ45"/>
      <c r="IR45"/>
      <c r="IS45"/>
      <c r="IT45"/>
      <c r="IU45"/>
      <c r="IV45"/>
    </row>
    <row r="46" spans="1:256" s="201" customFormat="1" ht="14.25" x14ac:dyDescent="0.2">
      <c r="A46" s="10">
        <v>2622</v>
      </c>
      <c r="B46" s="11" t="s">
        <v>359</v>
      </c>
      <c r="C46" s="105" t="s">
        <v>360</v>
      </c>
      <c r="D46" s="11" t="s">
        <v>105</v>
      </c>
      <c r="E46" s="12">
        <v>11518</v>
      </c>
      <c r="F46" s="202">
        <v>51</v>
      </c>
      <c r="G46" s="11">
        <v>60000</v>
      </c>
      <c r="H46" s="116">
        <v>0</v>
      </c>
      <c r="I46" s="192"/>
      <c r="J46" s="204"/>
      <c r="K46" s="193"/>
      <c r="L46" s="193"/>
      <c r="M46" s="193"/>
      <c r="N46" s="203">
        <f t="shared" si="28"/>
        <v>60000</v>
      </c>
      <c r="O46" s="203">
        <f t="shared" si="29"/>
        <v>60000</v>
      </c>
      <c r="P46" s="203">
        <f t="shared" si="30"/>
        <v>60000</v>
      </c>
      <c r="Q46" s="214"/>
      <c r="R46" s="219"/>
      <c r="S46" s="217">
        <v>46227</v>
      </c>
      <c r="T46" s="205"/>
      <c r="U46" s="205"/>
      <c r="V46" s="215"/>
      <c r="W46" s="212"/>
      <c r="X46" s="10">
        <v>7</v>
      </c>
      <c r="Y46" s="10">
        <v>7</v>
      </c>
      <c r="Z46" s="213">
        <f t="shared" si="31"/>
        <v>60000</v>
      </c>
      <c r="AA46" s="62"/>
      <c r="AB46" s="62"/>
      <c r="AC46" s="62"/>
      <c r="AD46" s="62"/>
      <c r="AE46" s="62"/>
      <c r="AF46" s="63"/>
      <c r="AG46" s="64"/>
      <c r="AH46" s="6">
        <v>1</v>
      </c>
      <c r="AI46">
        <f t="shared" si="32"/>
        <v>25</v>
      </c>
      <c r="AJ46">
        <f t="shared" si="33"/>
        <v>25</v>
      </c>
      <c r="AK46">
        <f t="shared" si="34"/>
        <v>0</v>
      </c>
      <c r="AL46">
        <f t="shared" si="35"/>
        <v>0</v>
      </c>
      <c r="AM46">
        <f t="shared" si="36"/>
        <v>0</v>
      </c>
      <c r="AN46">
        <f t="shared" si="37"/>
        <v>0</v>
      </c>
      <c r="AO46">
        <f t="shared" si="38"/>
        <v>0</v>
      </c>
      <c r="AP46">
        <f t="shared" si="39"/>
        <v>0</v>
      </c>
      <c r="AQ46">
        <f t="shared" si="40"/>
        <v>0</v>
      </c>
      <c r="AR46">
        <f t="shared" si="41"/>
        <v>0</v>
      </c>
      <c r="AS46">
        <f t="shared" si="42"/>
        <v>0</v>
      </c>
      <c r="AT46">
        <f t="shared" si="43"/>
        <v>0</v>
      </c>
      <c r="AU46">
        <f t="shared" si="44"/>
        <v>1</v>
      </c>
      <c r="AV46">
        <f t="shared" si="45"/>
        <v>1</v>
      </c>
      <c r="AW46">
        <f t="shared" si="46"/>
        <v>1</v>
      </c>
      <c r="AX46">
        <f t="shared" si="47"/>
        <v>1</v>
      </c>
      <c r="AY46">
        <f t="shared" si="48"/>
        <v>60000</v>
      </c>
      <c r="AZ46">
        <f t="shared" si="49"/>
        <v>60000</v>
      </c>
      <c r="BA46">
        <f t="shared" si="50"/>
        <v>0</v>
      </c>
      <c r="BB46">
        <f t="shared" si="51"/>
        <v>0</v>
      </c>
      <c r="BC46">
        <f t="shared" si="52"/>
        <v>0</v>
      </c>
      <c r="BD46">
        <f t="shared" si="53"/>
        <v>0</v>
      </c>
      <c r="BE46">
        <f t="shared" si="54"/>
        <v>0</v>
      </c>
      <c r="BF46">
        <f t="shared" si="55"/>
        <v>0</v>
      </c>
      <c r="BG46"/>
      <c r="BH46"/>
      <c r="BI46"/>
      <c r="BJ46"/>
      <c r="BK46"/>
      <c r="BL46"/>
      <c r="BM46"/>
      <c r="BN46"/>
      <c r="BO46"/>
      <c r="BP46"/>
      <c r="BQ46"/>
      <c r="BR46"/>
      <c r="BS46"/>
      <c r="BT46"/>
      <c r="BU46"/>
      <c r="BV46"/>
      <c r="BW46"/>
      <c r="BX46"/>
      <c r="BY46"/>
      <c r="BZ46"/>
      <c r="CA46"/>
      <c r="CB46"/>
      <c r="CC46"/>
      <c r="CD46"/>
      <c r="CE46"/>
      <c r="CF46"/>
      <c r="CG46"/>
      <c r="CH46"/>
      <c r="CI46"/>
      <c r="CJ46"/>
      <c r="CK46"/>
      <c r="CL46"/>
      <c r="CM46"/>
      <c r="CN46"/>
      <c r="CO46"/>
      <c r="CP46"/>
      <c r="CQ46"/>
      <c r="CR46"/>
      <c r="CS46"/>
      <c r="CT46"/>
      <c r="CU46"/>
      <c r="CV46"/>
      <c r="CW46"/>
      <c r="CX46"/>
      <c r="CY46"/>
      <c r="CZ46"/>
      <c r="DA46"/>
      <c r="DB46"/>
      <c r="DC46"/>
      <c r="DD46"/>
      <c r="DE46"/>
      <c r="DF46"/>
      <c r="DG46"/>
      <c r="DH46"/>
      <c r="DI46"/>
      <c r="DJ46"/>
      <c r="DK46"/>
      <c r="DL46"/>
      <c r="DM46"/>
      <c r="DN46"/>
      <c r="DO46"/>
      <c r="DP46"/>
      <c r="DQ46"/>
      <c r="DR46"/>
      <c r="DS46"/>
      <c r="DT46"/>
      <c r="DU46"/>
      <c r="DV46"/>
      <c r="DW46"/>
      <c r="DX46"/>
      <c r="DY46"/>
      <c r="DZ46"/>
      <c r="EA46"/>
      <c r="EB46"/>
      <c r="EC46"/>
      <c r="ED46"/>
      <c r="EE46"/>
      <c r="EF46"/>
      <c r="EG46"/>
      <c r="EH46"/>
      <c r="EI46"/>
      <c r="EJ46"/>
      <c r="EK46"/>
      <c r="EL46"/>
      <c r="EM46"/>
      <c r="EN46"/>
      <c r="EO46"/>
      <c r="EP46"/>
      <c r="EQ46"/>
      <c r="ER46"/>
      <c r="ES46"/>
      <c r="ET46"/>
      <c r="EU46"/>
      <c r="EV46"/>
      <c r="EW46"/>
      <c r="EX46"/>
      <c r="EY46"/>
      <c r="EZ46"/>
      <c r="FA46"/>
      <c r="FB46"/>
      <c r="FC46"/>
      <c r="FD46"/>
      <c r="FE46"/>
      <c r="FF46"/>
      <c r="FG46"/>
      <c r="FH46"/>
      <c r="FI46"/>
      <c r="FJ46"/>
      <c r="FK46"/>
      <c r="FL46"/>
      <c r="FM46"/>
      <c r="FN46"/>
      <c r="FO46"/>
      <c r="FP46"/>
      <c r="FQ46"/>
      <c r="FR46"/>
      <c r="FS46"/>
      <c r="FT46"/>
      <c r="FU46"/>
      <c r="FV46"/>
      <c r="FW46"/>
      <c r="FX46"/>
      <c r="FY46"/>
      <c r="FZ46"/>
      <c r="GA46"/>
      <c r="GB46"/>
      <c r="GC46"/>
      <c r="GD46"/>
      <c r="GE46"/>
      <c r="GF46"/>
      <c r="GG46"/>
      <c r="GH46"/>
      <c r="GI46"/>
      <c r="GJ46"/>
      <c r="GK46"/>
      <c r="GL46"/>
      <c r="GM46"/>
      <c r="GN46"/>
      <c r="GO46"/>
      <c r="GP46"/>
      <c r="GQ46"/>
      <c r="GR46"/>
      <c r="GS46"/>
      <c r="GT46"/>
      <c r="GU46"/>
      <c r="GV46"/>
      <c r="GW46"/>
      <c r="GX46"/>
      <c r="GY46"/>
      <c r="GZ46"/>
      <c r="HA46"/>
      <c r="HB46"/>
      <c r="HC46"/>
      <c r="HD46"/>
      <c r="HE46"/>
      <c r="HF46"/>
      <c r="HG46"/>
      <c r="HH46"/>
      <c r="HI46"/>
      <c r="HJ46"/>
      <c r="HK46"/>
      <c r="HL46"/>
      <c r="HM46"/>
      <c r="HN46"/>
      <c r="HO46"/>
      <c r="HP46"/>
      <c r="HQ46"/>
      <c r="HR46"/>
      <c r="HS46"/>
      <c r="HT46"/>
      <c r="HU46"/>
      <c r="HV46"/>
      <c r="HW46"/>
      <c r="HX46"/>
      <c r="HY46"/>
      <c r="HZ46"/>
      <c r="IA46"/>
      <c r="IB46"/>
      <c r="IC46"/>
      <c r="ID46"/>
      <c r="IE46"/>
      <c r="IF46"/>
      <c r="IG46"/>
      <c r="IH46"/>
      <c r="II46"/>
      <c r="IJ46"/>
      <c r="IK46"/>
      <c r="IL46"/>
      <c r="IM46"/>
      <c r="IN46"/>
      <c r="IO46"/>
      <c r="IP46"/>
      <c r="IQ46"/>
      <c r="IR46"/>
      <c r="IS46"/>
      <c r="IT46"/>
      <c r="IU46"/>
      <c r="IV46"/>
    </row>
    <row r="47" spans="1:256" s="201" customFormat="1" ht="14.25" x14ac:dyDescent="0.2">
      <c r="A47" s="10">
        <v>2714</v>
      </c>
      <c r="B47" s="11" t="s">
        <v>361</v>
      </c>
      <c r="C47" s="105" t="s">
        <v>362</v>
      </c>
      <c r="D47" s="11" t="s">
        <v>105</v>
      </c>
      <c r="E47" s="12">
        <v>11635</v>
      </c>
      <c r="F47" s="202">
        <v>48</v>
      </c>
      <c r="G47" s="11">
        <v>80000</v>
      </c>
      <c r="H47" s="116">
        <v>-30000</v>
      </c>
      <c r="I47" s="192"/>
      <c r="J47" s="204"/>
      <c r="K47" s="193"/>
      <c r="L47" s="193"/>
      <c r="M47" s="193"/>
      <c r="N47" s="203">
        <f t="shared" si="28"/>
        <v>80000</v>
      </c>
      <c r="O47" s="203">
        <f t="shared" si="29"/>
        <v>50000</v>
      </c>
      <c r="P47" s="203">
        <f t="shared" si="30"/>
        <v>50000</v>
      </c>
      <c r="Q47" s="214"/>
      <c r="R47" s="219"/>
      <c r="S47" s="217">
        <v>46213</v>
      </c>
      <c r="T47" s="205"/>
      <c r="U47" s="205"/>
      <c r="V47" s="215"/>
      <c r="W47" s="212"/>
      <c r="X47" s="10">
        <v>7</v>
      </c>
      <c r="Y47" s="10">
        <v>7</v>
      </c>
      <c r="Z47" s="213">
        <f t="shared" si="31"/>
        <v>80000</v>
      </c>
      <c r="AA47" s="62"/>
      <c r="AB47" s="62"/>
      <c r="AC47" s="62"/>
      <c r="AD47" s="62"/>
      <c r="AE47" s="62"/>
      <c r="AF47" s="63"/>
      <c r="AG47" s="64"/>
      <c r="AH47" s="6">
        <v>1</v>
      </c>
      <c r="AI47">
        <f t="shared" si="32"/>
        <v>25</v>
      </c>
      <c r="AJ47">
        <f t="shared" si="33"/>
        <v>25</v>
      </c>
      <c r="AK47">
        <f t="shared" si="34"/>
        <v>0</v>
      </c>
      <c r="AL47">
        <f t="shared" si="35"/>
        <v>0</v>
      </c>
      <c r="AM47">
        <f t="shared" si="36"/>
        <v>0</v>
      </c>
      <c r="AN47">
        <f t="shared" si="37"/>
        <v>0</v>
      </c>
      <c r="AO47">
        <f t="shared" si="38"/>
        <v>0</v>
      </c>
      <c r="AP47">
        <f t="shared" si="39"/>
        <v>0</v>
      </c>
      <c r="AQ47">
        <f t="shared" si="40"/>
        <v>0</v>
      </c>
      <c r="AR47">
        <f t="shared" si="41"/>
        <v>0</v>
      </c>
      <c r="AS47">
        <f t="shared" si="42"/>
        <v>0</v>
      </c>
      <c r="AT47">
        <f t="shared" si="43"/>
        <v>0</v>
      </c>
      <c r="AU47">
        <f t="shared" si="44"/>
        <v>1</v>
      </c>
      <c r="AV47">
        <f t="shared" si="45"/>
        <v>1</v>
      </c>
      <c r="AW47">
        <f t="shared" si="46"/>
        <v>1</v>
      </c>
      <c r="AX47">
        <f t="shared" si="47"/>
        <v>1</v>
      </c>
      <c r="AY47">
        <f t="shared" si="48"/>
        <v>50000</v>
      </c>
      <c r="AZ47">
        <f t="shared" si="49"/>
        <v>50000</v>
      </c>
      <c r="BA47">
        <f t="shared" si="50"/>
        <v>0</v>
      </c>
      <c r="BB47">
        <f t="shared" si="51"/>
        <v>0</v>
      </c>
      <c r="BC47">
        <f t="shared" si="52"/>
        <v>0</v>
      </c>
      <c r="BD47">
        <f t="shared" si="53"/>
        <v>0</v>
      </c>
      <c r="BE47">
        <f t="shared" si="54"/>
        <v>0</v>
      </c>
      <c r="BF47">
        <f t="shared" si="55"/>
        <v>0</v>
      </c>
      <c r="BG47"/>
      <c r="BH47"/>
      <c r="BI47"/>
      <c r="BJ47"/>
      <c r="BK47"/>
      <c r="BL47"/>
      <c r="BM47"/>
      <c r="BN47"/>
      <c r="BO47"/>
      <c r="BP47"/>
      <c r="BQ47"/>
      <c r="BR47"/>
      <c r="BS47"/>
      <c r="BT47"/>
      <c r="BU47"/>
      <c r="BV47"/>
      <c r="BW47"/>
      <c r="BX47"/>
      <c r="BY47"/>
      <c r="BZ47"/>
      <c r="CA47"/>
      <c r="CB47"/>
      <c r="CC47"/>
      <c r="CD47"/>
      <c r="CE47"/>
      <c r="CF47"/>
      <c r="CG47"/>
      <c r="CH47"/>
      <c r="CI47"/>
      <c r="CJ47"/>
      <c r="CK47"/>
      <c r="CL47"/>
      <c r="CM47"/>
      <c r="CN47"/>
      <c r="CO47"/>
      <c r="CP47"/>
      <c r="CQ47"/>
      <c r="CR47"/>
      <c r="CS47"/>
      <c r="CT47"/>
      <c r="CU47"/>
      <c r="CV47"/>
      <c r="CW47"/>
      <c r="CX47"/>
      <c r="CY47"/>
      <c r="CZ47"/>
      <c r="DA47"/>
      <c r="DB47"/>
      <c r="DC47"/>
      <c r="DD47"/>
      <c r="DE47"/>
      <c r="DF47"/>
      <c r="DG47"/>
      <c r="DH47"/>
      <c r="DI47"/>
      <c r="DJ47"/>
      <c r="DK47"/>
      <c r="DL47"/>
      <c r="DM47"/>
      <c r="DN47"/>
      <c r="DO47"/>
      <c r="DP47"/>
      <c r="DQ47"/>
      <c r="DR47"/>
      <c r="DS47"/>
      <c r="DT47"/>
      <c r="DU47"/>
      <c r="DV47"/>
      <c r="DW47"/>
      <c r="DX47"/>
      <c r="DY47"/>
      <c r="DZ47"/>
      <c r="EA47"/>
      <c r="EB47"/>
      <c r="EC47"/>
      <c r="ED47"/>
      <c r="EE47"/>
      <c r="EF47"/>
      <c r="EG47"/>
      <c r="EH47"/>
      <c r="EI47"/>
      <c r="EJ47"/>
      <c r="EK47"/>
      <c r="EL47"/>
      <c r="EM47"/>
      <c r="EN47"/>
      <c r="EO47"/>
      <c r="EP47"/>
      <c r="EQ47"/>
      <c r="ER47"/>
      <c r="ES47"/>
      <c r="ET47"/>
      <c r="EU47"/>
      <c r="EV47"/>
      <c r="EW47"/>
      <c r="EX47"/>
      <c r="EY47"/>
      <c r="EZ47"/>
      <c r="FA47"/>
      <c r="FB47"/>
      <c r="FC47"/>
      <c r="FD47"/>
      <c r="FE47"/>
      <c r="FF47"/>
      <c r="FG47"/>
      <c r="FH47"/>
      <c r="FI47"/>
      <c r="FJ47"/>
      <c r="FK47"/>
      <c r="FL47"/>
      <c r="FM47"/>
      <c r="FN47"/>
      <c r="FO47"/>
      <c r="FP47"/>
      <c r="FQ47"/>
      <c r="FR47"/>
      <c r="FS47"/>
      <c r="FT47"/>
      <c r="FU47"/>
      <c r="FV47"/>
      <c r="FW47"/>
      <c r="FX47"/>
      <c r="FY47"/>
      <c r="FZ47"/>
      <c r="GA47"/>
      <c r="GB47"/>
      <c r="GC47"/>
      <c r="GD47"/>
      <c r="GE47"/>
      <c r="GF47"/>
      <c r="GG47"/>
      <c r="GH47"/>
      <c r="GI47"/>
      <c r="GJ47"/>
      <c r="GK47"/>
      <c r="GL47"/>
      <c r="GM47"/>
      <c r="GN47"/>
      <c r="GO47"/>
      <c r="GP47"/>
      <c r="GQ47"/>
      <c r="GR47"/>
      <c r="GS47"/>
      <c r="GT47"/>
      <c r="GU47"/>
      <c r="GV47"/>
      <c r="GW47"/>
      <c r="GX47"/>
      <c r="GY47"/>
      <c r="GZ47"/>
      <c r="HA47"/>
      <c r="HB47"/>
      <c r="HC47"/>
      <c r="HD47"/>
      <c r="HE47"/>
      <c r="HF47"/>
      <c r="HG47"/>
      <c r="HH47"/>
      <c r="HI47"/>
      <c r="HJ47"/>
      <c r="HK47"/>
      <c r="HL47"/>
      <c r="HM47"/>
      <c r="HN47"/>
      <c r="HO47"/>
      <c r="HP47"/>
      <c r="HQ47"/>
      <c r="HR47"/>
      <c r="HS47"/>
      <c r="HT47"/>
      <c r="HU47"/>
      <c r="HV47"/>
      <c r="HW47"/>
      <c r="HX47"/>
      <c r="HY47"/>
      <c r="HZ47"/>
      <c r="IA47"/>
      <c r="IB47"/>
      <c r="IC47"/>
      <c r="ID47"/>
      <c r="IE47"/>
      <c r="IF47"/>
      <c r="IG47"/>
      <c r="IH47"/>
      <c r="II47"/>
      <c r="IJ47"/>
      <c r="IK47"/>
      <c r="IL47"/>
      <c r="IM47"/>
      <c r="IN47"/>
      <c r="IO47"/>
      <c r="IP47"/>
      <c r="IQ47"/>
      <c r="IR47"/>
      <c r="IS47"/>
      <c r="IT47"/>
      <c r="IU47"/>
      <c r="IV47"/>
    </row>
    <row r="48" spans="1:256" s="201" customFormat="1" ht="14.25" x14ac:dyDescent="0.2">
      <c r="A48" s="10">
        <v>2717</v>
      </c>
      <c r="B48" s="11" t="s">
        <v>363</v>
      </c>
      <c r="C48" s="105" t="s">
        <v>364</v>
      </c>
      <c r="D48" s="11" t="s">
        <v>144</v>
      </c>
      <c r="E48" s="12">
        <v>11639</v>
      </c>
      <c r="F48" s="202">
        <v>48</v>
      </c>
      <c r="G48" s="11">
        <v>70000</v>
      </c>
      <c r="H48" s="116">
        <v>70000</v>
      </c>
      <c r="I48" s="192"/>
      <c r="J48" s="204"/>
      <c r="K48" s="193"/>
      <c r="L48" s="193"/>
      <c r="M48" s="193"/>
      <c r="N48" s="203">
        <f t="shared" si="28"/>
        <v>140000</v>
      </c>
      <c r="O48" s="203">
        <f t="shared" si="29"/>
        <v>140000</v>
      </c>
      <c r="P48" s="203">
        <f t="shared" si="30"/>
        <v>140000</v>
      </c>
      <c r="Q48" s="214">
        <v>46235</v>
      </c>
      <c r="R48" s="219"/>
      <c r="S48" s="217">
        <v>46203</v>
      </c>
      <c r="T48" s="205"/>
      <c r="U48" s="205"/>
      <c r="V48" s="215" t="s">
        <v>521</v>
      </c>
      <c r="W48" s="212"/>
      <c r="X48" s="10">
        <v>7</v>
      </c>
      <c r="Y48" s="10">
        <v>7</v>
      </c>
      <c r="Z48" s="213">
        <f t="shared" si="31"/>
        <v>140000</v>
      </c>
      <c r="AA48" s="62"/>
      <c r="AB48" s="62"/>
      <c r="AC48" s="62"/>
      <c r="AD48" s="62"/>
      <c r="AE48" s="62"/>
      <c r="AF48" s="63"/>
      <c r="AG48" s="64"/>
      <c r="AH48" s="6">
        <v>1</v>
      </c>
      <c r="AI48">
        <f t="shared" si="32"/>
        <v>25</v>
      </c>
      <c r="AJ48">
        <f t="shared" si="33"/>
        <v>25</v>
      </c>
      <c r="AK48">
        <f t="shared" si="34"/>
        <v>0</v>
      </c>
      <c r="AL48">
        <f t="shared" si="35"/>
        <v>0</v>
      </c>
      <c r="AM48">
        <f t="shared" si="36"/>
        <v>0</v>
      </c>
      <c r="AN48">
        <f t="shared" si="37"/>
        <v>0</v>
      </c>
      <c r="AO48">
        <f t="shared" si="38"/>
        <v>0</v>
      </c>
      <c r="AP48">
        <f t="shared" si="39"/>
        <v>0</v>
      </c>
      <c r="AQ48">
        <f t="shared" si="40"/>
        <v>0</v>
      </c>
      <c r="AR48">
        <f t="shared" si="41"/>
        <v>0</v>
      </c>
      <c r="AS48">
        <f t="shared" si="42"/>
        <v>0</v>
      </c>
      <c r="AT48">
        <f t="shared" si="43"/>
        <v>0</v>
      </c>
      <c r="AU48">
        <f t="shared" si="44"/>
        <v>1</v>
      </c>
      <c r="AV48">
        <f t="shared" si="45"/>
        <v>1</v>
      </c>
      <c r="AW48">
        <f t="shared" si="46"/>
        <v>1</v>
      </c>
      <c r="AX48">
        <f t="shared" si="47"/>
        <v>1</v>
      </c>
      <c r="AY48">
        <f t="shared" si="48"/>
        <v>140000</v>
      </c>
      <c r="AZ48">
        <f t="shared" si="49"/>
        <v>140000</v>
      </c>
      <c r="BA48">
        <f t="shared" si="50"/>
        <v>0</v>
      </c>
      <c r="BB48">
        <f t="shared" si="51"/>
        <v>0</v>
      </c>
      <c r="BC48">
        <f t="shared" si="52"/>
        <v>0</v>
      </c>
      <c r="BD48">
        <f t="shared" si="53"/>
        <v>0</v>
      </c>
      <c r="BE48">
        <f t="shared" si="54"/>
        <v>0</v>
      </c>
      <c r="BF48">
        <f t="shared" si="55"/>
        <v>0</v>
      </c>
      <c r="BG48"/>
      <c r="BH48"/>
      <c r="BI48"/>
      <c r="BJ48"/>
      <c r="BK48"/>
      <c r="BL48"/>
      <c r="BM48"/>
      <c r="BN48"/>
      <c r="BO48"/>
      <c r="BP48"/>
      <c r="BQ48"/>
      <c r="BR48"/>
      <c r="BS48"/>
      <c r="BT48"/>
      <c r="BU48"/>
      <c r="BV48"/>
      <c r="BW48"/>
      <c r="BX48"/>
      <c r="BY48"/>
      <c r="BZ48"/>
      <c r="CA48"/>
      <c r="CB48"/>
      <c r="CC48"/>
      <c r="CD48"/>
      <c r="CE48"/>
      <c r="CF48"/>
      <c r="CG48"/>
      <c r="CH48"/>
      <c r="CI48"/>
      <c r="CJ48"/>
      <c r="CK48"/>
      <c r="CL48"/>
      <c r="CM48"/>
      <c r="CN48"/>
      <c r="CO48"/>
      <c r="CP48"/>
      <c r="CQ48"/>
      <c r="CR48"/>
      <c r="CS48"/>
      <c r="CT48"/>
      <c r="CU48"/>
      <c r="CV48"/>
      <c r="CW48"/>
      <c r="CX48"/>
      <c r="CY48"/>
      <c r="CZ48"/>
      <c r="DA48"/>
      <c r="DB48"/>
      <c r="DC48"/>
      <c r="DD48"/>
      <c r="DE48"/>
      <c r="DF48"/>
      <c r="DG48"/>
      <c r="DH48"/>
      <c r="DI48"/>
      <c r="DJ48"/>
      <c r="DK48"/>
      <c r="DL48"/>
      <c r="DM48"/>
      <c r="DN48"/>
      <c r="DO48"/>
      <c r="DP48"/>
      <c r="DQ48"/>
      <c r="DR48"/>
      <c r="DS48"/>
      <c r="DT48"/>
      <c r="DU48"/>
      <c r="DV48"/>
      <c r="DW48"/>
      <c r="DX48"/>
      <c r="DY48"/>
      <c r="DZ48"/>
      <c r="EA48"/>
      <c r="EB48"/>
      <c r="EC48"/>
      <c r="ED48"/>
      <c r="EE48"/>
      <c r="EF48"/>
      <c r="EG48"/>
      <c r="EH48"/>
      <c r="EI48"/>
      <c r="EJ48"/>
      <c r="EK48"/>
      <c r="EL48"/>
      <c r="EM48"/>
      <c r="EN48"/>
      <c r="EO48"/>
      <c r="EP48"/>
      <c r="EQ48"/>
      <c r="ER48"/>
      <c r="ES48"/>
      <c r="ET48"/>
      <c r="EU48"/>
      <c r="EV48"/>
      <c r="EW48"/>
      <c r="EX48"/>
      <c r="EY48"/>
      <c r="EZ48"/>
      <c r="FA48"/>
      <c r="FB48"/>
      <c r="FC48"/>
      <c r="FD48"/>
      <c r="FE48"/>
      <c r="FF48"/>
      <c r="FG48"/>
      <c r="FH48"/>
      <c r="FI48"/>
      <c r="FJ48"/>
      <c r="FK48"/>
      <c r="FL48"/>
      <c r="FM48"/>
      <c r="FN48"/>
      <c r="FO48"/>
      <c r="FP48"/>
      <c r="FQ48"/>
      <c r="FR48"/>
      <c r="FS48"/>
      <c r="FT48"/>
      <c r="FU48"/>
      <c r="FV48"/>
      <c r="FW48"/>
      <c r="FX48"/>
      <c r="FY48"/>
      <c r="FZ48"/>
      <c r="GA48"/>
      <c r="GB48"/>
      <c r="GC48"/>
      <c r="GD48"/>
      <c r="GE48"/>
      <c r="GF48"/>
      <c r="GG48"/>
      <c r="GH48"/>
      <c r="GI48"/>
      <c r="GJ48"/>
      <c r="GK48"/>
      <c r="GL48"/>
      <c r="GM48"/>
      <c r="GN48"/>
      <c r="GO48"/>
      <c r="GP48"/>
      <c r="GQ48"/>
      <c r="GR48"/>
      <c r="GS48"/>
      <c r="GT48"/>
      <c r="GU48"/>
      <c r="GV48"/>
      <c r="GW48"/>
      <c r="GX48"/>
      <c r="GY48"/>
      <c r="GZ48"/>
      <c r="HA48"/>
      <c r="HB48"/>
      <c r="HC48"/>
      <c r="HD48"/>
      <c r="HE48"/>
      <c r="HF48"/>
      <c r="HG48"/>
      <c r="HH48"/>
      <c r="HI48"/>
      <c r="HJ48"/>
      <c r="HK48"/>
      <c r="HL48"/>
      <c r="HM48"/>
      <c r="HN48"/>
      <c r="HO48"/>
      <c r="HP48"/>
      <c r="HQ48"/>
      <c r="HR48"/>
      <c r="HS48"/>
      <c r="HT48"/>
      <c r="HU48"/>
      <c r="HV48"/>
      <c r="HW48"/>
      <c r="HX48"/>
      <c r="HY48"/>
      <c r="HZ48"/>
      <c r="IA48"/>
      <c r="IB48"/>
      <c r="IC48"/>
      <c r="ID48"/>
      <c r="IE48"/>
      <c r="IF48"/>
      <c r="IG48"/>
      <c r="IH48"/>
      <c r="II48"/>
      <c r="IJ48"/>
      <c r="IK48"/>
      <c r="IL48"/>
      <c r="IM48"/>
      <c r="IN48"/>
      <c r="IO48"/>
      <c r="IP48"/>
      <c r="IQ48"/>
      <c r="IR48"/>
      <c r="IS48"/>
      <c r="IT48"/>
      <c r="IU48"/>
      <c r="IV48"/>
    </row>
    <row r="49" spans="1:256" s="201" customFormat="1" ht="14.25" x14ac:dyDescent="0.2">
      <c r="A49" s="10">
        <v>2727</v>
      </c>
      <c r="B49" s="11" t="s">
        <v>365</v>
      </c>
      <c r="C49" s="105" t="s">
        <v>366</v>
      </c>
      <c r="D49" s="11" t="s">
        <v>144</v>
      </c>
      <c r="E49" s="12">
        <v>11644</v>
      </c>
      <c r="F49" s="202">
        <v>48</v>
      </c>
      <c r="G49" s="11">
        <v>70000</v>
      </c>
      <c r="H49" s="116">
        <v>0</v>
      </c>
      <c r="I49" s="192"/>
      <c r="J49" s="204"/>
      <c r="K49" s="193"/>
      <c r="L49" s="193"/>
      <c r="M49" s="193"/>
      <c r="N49" s="203">
        <f t="shared" si="28"/>
        <v>70000</v>
      </c>
      <c r="O49" s="203">
        <f t="shared" si="29"/>
        <v>70000</v>
      </c>
      <c r="P49" s="203">
        <f t="shared" si="30"/>
        <v>70000</v>
      </c>
      <c r="Q49" s="214"/>
      <c r="R49" s="219"/>
      <c r="S49" s="217">
        <v>46233</v>
      </c>
      <c r="T49" s="205"/>
      <c r="U49" s="205"/>
      <c r="V49" s="215"/>
      <c r="W49" s="212"/>
      <c r="X49" s="10">
        <v>7</v>
      </c>
      <c r="Y49" s="10">
        <v>7</v>
      </c>
      <c r="Z49" s="213">
        <f t="shared" si="31"/>
        <v>70000</v>
      </c>
      <c r="AA49" s="62"/>
      <c r="AB49" s="62"/>
      <c r="AC49" s="62"/>
      <c r="AD49" s="62"/>
      <c r="AE49" s="62"/>
      <c r="AF49" s="63"/>
      <c r="AG49" s="64"/>
      <c r="AH49" s="6">
        <v>1</v>
      </c>
      <c r="AI49">
        <f t="shared" si="32"/>
        <v>25</v>
      </c>
      <c r="AJ49">
        <f t="shared" si="33"/>
        <v>25</v>
      </c>
      <c r="AK49">
        <f t="shared" si="34"/>
        <v>0</v>
      </c>
      <c r="AL49">
        <f t="shared" si="35"/>
        <v>0</v>
      </c>
      <c r="AM49">
        <f t="shared" si="36"/>
        <v>0</v>
      </c>
      <c r="AN49">
        <f t="shared" si="37"/>
        <v>0</v>
      </c>
      <c r="AO49">
        <f t="shared" si="38"/>
        <v>0</v>
      </c>
      <c r="AP49">
        <f t="shared" si="39"/>
        <v>0</v>
      </c>
      <c r="AQ49">
        <f t="shared" si="40"/>
        <v>0</v>
      </c>
      <c r="AR49">
        <f t="shared" si="41"/>
        <v>0</v>
      </c>
      <c r="AS49">
        <f t="shared" si="42"/>
        <v>0</v>
      </c>
      <c r="AT49">
        <f t="shared" si="43"/>
        <v>0</v>
      </c>
      <c r="AU49">
        <f t="shared" si="44"/>
        <v>1</v>
      </c>
      <c r="AV49">
        <f t="shared" si="45"/>
        <v>1</v>
      </c>
      <c r="AW49">
        <f t="shared" si="46"/>
        <v>1</v>
      </c>
      <c r="AX49">
        <f t="shared" si="47"/>
        <v>1</v>
      </c>
      <c r="AY49">
        <f t="shared" si="48"/>
        <v>70000</v>
      </c>
      <c r="AZ49">
        <f t="shared" si="49"/>
        <v>70000</v>
      </c>
      <c r="BA49">
        <f t="shared" si="50"/>
        <v>0</v>
      </c>
      <c r="BB49">
        <f t="shared" si="51"/>
        <v>0</v>
      </c>
      <c r="BC49">
        <f t="shared" si="52"/>
        <v>0</v>
      </c>
      <c r="BD49">
        <f t="shared" si="53"/>
        <v>0</v>
      </c>
      <c r="BE49">
        <f t="shared" si="54"/>
        <v>0</v>
      </c>
      <c r="BF49">
        <f t="shared" si="55"/>
        <v>0</v>
      </c>
      <c r="BG49"/>
      <c r="BH49"/>
      <c r="BI49"/>
      <c r="BJ49"/>
      <c r="BK49"/>
      <c r="BL49"/>
      <c r="BM49"/>
      <c r="BN49"/>
      <c r="BO49"/>
      <c r="BP49"/>
      <c r="BQ49"/>
      <c r="BR49"/>
      <c r="BS49"/>
      <c r="BT49"/>
      <c r="BU49"/>
      <c r="BV49"/>
      <c r="BW49"/>
      <c r="BX49"/>
      <c r="BY49"/>
      <c r="BZ49"/>
      <c r="CA49"/>
      <c r="CB49"/>
      <c r="CC49"/>
      <c r="CD49"/>
      <c r="CE49"/>
      <c r="CF49"/>
      <c r="CG49"/>
      <c r="CH49"/>
      <c r="CI49"/>
      <c r="CJ49"/>
      <c r="CK49"/>
      <c r="CL49"/>
      <c r="CM49"/>
      <c r="CN49"/>
      <c r="CO49"/>
      <c r="CP49"/>
      <c r="CQ49"/>
      <c r="CR49"/>
      <c r="CS49"/>
      <c r="CT49"/>
      <c r="CU49"/>
      <c r="CV49"/>
      <c r="CW49"/>
      <c r="CX49"/>
      <c r="CY49"/>
      <c r="CZ49"/>
      <c r="DA49"/>
      <c r="DB49"/>
      <c r="DC49"/>
      <c r="DD49"/>
      <c r="DE49"/>
      <c r="DF49"/>
      <c r="DG49"/>
      <c r="DH49"/>
      <c r="DI49"/>
      <c r="DJ49"/>
      <c r="DK49"/>
      <c r="DL49"/>
      <c r="DM49"/>
      <c r="DN49"/>
      <c r="DO49"/>
      <c r="DP49"/>
      <c r="DQ49"/>
      <c r="DR49"/>
      <c r="DS49"/>
      <c r="DT49"/>
      <c r="DU49"/>
      <c r="DV49"/>
      <c r="DW49"/>
      <c r="DX49"/>
      <c r="DY49"/>
      <c r="DZ49"/>
      <c r="EA49"/>
      <c r="EB49"/>
      <c r="EC49"/>
      <c r="ED49"/>
      <c r="EE49"/>
      <c r="EF49"/>
      <c r="EG49"/>
      <c r="EH49"/>
      <c r="EI49"/>
      <c r="EJ49"/>
      <c r="EK49"/>
      <c r="EL49"/>
      <c r="EM49"/>
      <c r="EN49"/>
      <c r="EO49"/>
      <c r="EP49"/>
      <c r="EQ49"/>
      <c r="ER49"/>
      <c r="ES49"/>
      <c r="ET49"/>
      <c r="EU49"/>
      <c r="EV49"/>
      <c r="EW49"/>
      <c r="EX49"/>
      <c r="EY49"/>
      <c r="EZ49"/>
      <c r="FA49"/>
      <c r="FB49"/>
      <c r="FC49"/>
      <c r="FD49"/>
      <c r="FE49"/>
      <c r="FF49"/>
      <c r="FG49"/>
      <c r="FH49"/>
      <c r="FI49"/>
      <c r="FJ49"/>
      <c r="FK49"/>
      <c r="FL49"/>
      <c r="FM49"/>
      <c r="FN49"/>
      <c r="FO49"/>
      <c r="FP49"/>
      <c r="FQ49"/>
      <c r="FR49"/>
      <c r="FS49"/>
      <c r="FT49"/>
      <c r="FU49"/>
      <c r="FV49"/>
      <c r="FW49"/>
      <c r="FX49"/>
      <c r="FY49"/>
      <c r="FZ49"/>
      <c r="GA49"/>
      <c r="GB49"/>
      <c r="GC49"/>
      <c r="GD49"/>
      <c r="GE49"/>
      <c r="GF49"/>
      <c r="GG49"/>
      <c r="GH49"/>
      <c r="GI49"/>
      <c r="GJ49"/>
      <c r="GK49"/>
      <c r="GL49"/>
      <c r="GM49"/>
      <c r="GN49"/>
      <c r="GO49"/>
      <c r="GP49"/>
      <c r="GQ49"/>
      <c r="GR49"/>
      <c r="GS49"/>
      <c r="GT49"/>
      <c r="GU49"/>
      <c r="GV49"/>
      <c r="GW49"/>
      <c r="GX49"/>
      <c r="GY49"/>
      <c r="GZ49"/>
      <c r="HA49"/>
      <c r="HB49"/>
      <c r="HC49"/>
      <c r="HD49"/>
      <c r="HE49"/>
      <c r="HF49"/>
      <c r="HG49"/>
      <c r="HH49"/>
      <c r="HI49"/>
      <c r="HJ49"/>
      <c r="HK49"/>
      <c r="HL49"/>
      <c r="HM49"/>
      <c r="HN49"/>
      <c r="HO49"/>
      <c r="HP49"/>
      <c r="HQ49"/>
      <c r="HR49"/>
      <c r="HS49"/>
      <c r="HT49"/>
      <c r="HU49"/>
      <c r="HV49"/>
      <c r="HW49"/>
      <c r="HX49"/>
      <c r="HY49"/>
      <c r="HZ49"/>
      <c r="IA49"/>
      <c r="IB49"/>
      <c r="IC49"/>
      <c r="ID49"/>
      <c r="IE49"/>
      <c r="IF49"/>
      <c r="IG49"/>
      <c r="IH49"/>
      <c r="II49"/>
      <c r="IJ49"/>
      <c r="IK49"/>
      <c r="IL49"/>
      <c r="IM49"/>
      <c r="IN49"/>
      <c r="IO49"/>
      <c r="IP49"/>
      <c r="IQ49"/>
      <c r="IR49"/>
      <c r="IS49"/>
      <c r="IT49"/>
      <c r="IU49"/>
      <c r="IV49"/>
    </row>
    <row r="50" spans="1:256" s="201" customFormat="1" ht="14.25" x14ac:dyDescent="0.2">
      <c r="A50" s="10">
        <v>2744</v>
      </c>
      <c r="B50" s="11" t="s">
        <v>367</v>
      </c>
      <c r="C50" s="105" t="s">
        <v>368</v>
      </c>
      <c r="D50" s="11" t="s">
        <v>369</v>
      </c>
      <c r="E50" s="12">
        <v>11631</v>
      </c>
      <c r="F50" s="202">
        <v>47</v>
      </c>
      <c r="G50" s="11">
        <v>60000</v>
      </c>
      <c r="H50" s="116">
        <v>-24000</v>
      </c>
      <c r="I50" s="192"/>
      <c r="J50" s="204"/>
      <c r="K50" s="193"/>
      <c r="L50" s="193"/>
      <c r="M50" s="193"/>
      <c r="N50" s="203">
        <f t="shared" si="28"/>
        <v>60000</v>
      </c>
      <c r="O50" s="203">
        <f t="shared" si="29"/>
        <v>36000</v>
      </c>
      <c r="P50" s="203">
        <f t="shared" si="30"/>
        <v>36000</v>
      </c>
      <c r="Q50" s="214"/>
      <c r="R50" s="219"/>
      <c r="S50" s="217">
        <v>46218</v>
      </c>
      <c r="T50" s="205"/>
      <c r="U50" s="205"/>
      <c r="V50" s="215"/>
      <c r="W50" s="212"/>
      <c r="X50" s="10">
        <v>7</v>
      </c>
      <c r="Y50" s="10">
        <v>7</v>
      </c>
      <c r="Z50" s="213">
        <f t="shared" si="31"/>
        <v>60000</v>
      </c>
      <c r="AA50" s="62"/>
      <c r="AB50" s="62"/>
      <c r="AC50" s="62"/>
      <c r="AD50" s="62"/>
      <c r="AE50" s="62"/>
      <c r="AF50" s="63"/>
      <c r="AG50" s="64"/>
      <c r="AH50" s="6">
        <v>1</v>
      </c>
      <c r="AI50">
        <f t="shared" si="32"/>
        <v>25</v>
      </c>
      <c r="AJ50">
        <f t="shared" si="33"/>
        <v>25</v>
      </c>
      <c r="AK50">
        <f t="shared" si="34"/>
        <v>0</v>
      </c>
      <c r="AL50">
        <f t="shared" si="35"/>
        <v>0</v>
      </c>
      <c r="AM50">
        <f t="shared" si="36"/>
        <v>0</v>
      </c>
      <c r="AN50">
        <f t="shared" si="37"/>
        <v>0</v>
      </c>
      <c r="AO50">
        <f t="shared" si="38"/>
        <v>0</v>
      </c>
      <c r="AP50">
        <f t="shared" si="39"/>
        <v>0</v>
      </c>
      <c r="AQ50">
        <f t="shared" si="40"/>
        <v>0</v>
      </c>
      <c r="AR50">
        <f t="shared" si="41"/>
        <v>0</v>
      </c>
      <c r="AS50">
        <f t="shared" si="42"/>
        <v>0</v>
      </c>
      <c r="AT50">
        <f t="shared" si="43"/>
        <v>0</v>
      </c>
      <c r="AU50">
        <f t="shared" si="44"/>
        <v>1</v>
      </c>
      <c r="AV50">
        <f t="shared" si="45"/>
        <v>1</v>
      </c>
      <c r="AW50">
        <f t="shared" si="46"/>
        <v>1</v>
      </c>
      <c r="AX50">
        <f t="shared" si="47"/>
        <v>1</v>
      </c>
      <c r="AY50">
        <f t="shared" si="48"/>
        <v>36000</v>
      </c>
      <c r="AZ50">
        <f t="shared" si="49"/>
        <v>36000</v>
      </c>
      <c r="BA50">
        <f t="shared" si="50"/>
        <v>0</v>
      </c>
      <c r="BB50">
        <f t="shared" si="51"/>
        <v>0</v>
      </c>
      <c r="BC50">
        <f t="shared" si="52"/>
        <v>0</v>
      </c>
      <c r="BD50">
        <f t="shared" si="53"/>
        <v>0</v>
      </c>
      <c r="BE50">
        <f t="shared" si="54"/>
        <v>0</v>
      </c>
      <c r="BF50">
        <f t="shared" si="55"/>
        <v>0</v>
      </c>
      <c r="BG50"/>
      <c r="BH50"/>
      <c r="BI50"/>
      <c r="BJ50"/>
      <c r="BK50"/>
      <c r="BL50"/>
      <c r="BM50"/>
      <c r="BN50"/>
      <c r="BO50"/>
      <c r="BP50"/>
      <c r="BQ50"/>
      <c r="BR50"/>
      <c r="BS50"/>
      <c r="BT50"/>
      <c r="BU50"/>
      <c r="BV50"/>
      <c r="BW50"/>
      <c r="BX50"/>
      <c r="BY50"/>
      <c r="BZ50"/>
      <c r="CA50"/>
      <c r="CB50"/>
      <c r="CC50"/>
      <c r="CD50"/>
      <c r="CE50"/>
      <c r="CF50"/>
      <c r="CG50"/>
      <c r="CH50"/>
      <c r="CI50"/>
      <c r="CJ50"/>
      <c r="CK50"/>
      <c r="CL50"/>
      <c r="CM50"/>
      <c r="CN50"/>
      <c r="CO50"/>
      <c r="CP50"/>
      <c r="CQ50"/>
      <c r="CR50"/>
      <c r="CS50"/>
      <c r="CT50"/>
      <c r="CU50"/>
      <c r="CV50"/>
      <c r="CW50"/>
      <c r="CX50"/>
      <c r="CY50"/>
      <c r="CZ50"/>
      <c r="DA50"/>
      <c r="DB50"/>
      <c r="DC50"/>
      <c r="DD50"/>
      <c r="DE50"/>
      <c r="DF50"/>
      <c r="DG50"/>
      <c r="DH50"/>
      <c r="DI50"/>
      <c r="DJ50"/>
      <c r="DK50"/>
      <c r="DL50"/>
      <c r="DM50"/>
      <c r="DN50"/>
      <c r="DO50"/>
      <c r="DP50"/>
      <c r="DQ50"/>
      <c r="DR50"/>
      <c r="DS50"/>
      <c r="DT50"/>
      <c r="DU50"/>
      <c r="DV50"/>
      <c r="DW50"/>
      <c r="DX50"/>
      <c r="DY50"/>
      <c r="DZ50"/>
      <c r="EA50"/>
      <c r="EB50"/>
      <c r="EC50"/>
      <c r="ED50"/>
      <c r="EE50"/>
      <c r="EF50"/>
      <c r="EG50"/>
      <c r="EH50"/>
      <c r="EI50"/>
      <c r="EJ50"/>
      <c r="EK50"/>
      <c r="EL50"/>
      <c r="EM50"/>
      <c r="EN50"/>
      <c r="EO50"/>
      <c r="EP50"/>
      <c r="EQ50"/>
      <c r="ER50"/>
      <c r="ES50"/>
      <c r="ET50"/>
      <c r="EU50"/>
      <c r="EV50"/>
      <c r="EW50"/>
      <c r="EX50"/>
      <c r="EY50"/>
      <c r="EZ50"/>
      <c r="FA50"/>
      <c r="FB50"/>
      <c r="FC50"/>
      <c r="FD50"/>
      <c r="FE50"/>
      <c r="FF50"/>
      <c r="FG50"/>
      <c r="FH50"/>
      <c r="FI50"/>
      <c r="FJ50"/>
      <c r="FK50"/>
      <c r="FL50"/>
      <c r="FM50"/>
      <c r="FN50"/>
      <c r="FO50"/>
      <c r="FP50"/>
      <c r="FQ50"/>
      <c r="FR50"/>
      <c r="FS50"/>
      <c r="FT50"/>
      <c r="FU50"/>
      <c r="FV50"/>
      <c r="FW50"/>
      <c r="FX50"/>
      <c r="FY50"/>
      <c r="FZ50"/>
      <c r="GA50"/>
      <c r="GB50"/>
      <c r="GC50"/>
      <c r="GD50"/>
      <c r="GE50"/>
      <c r="GF50"/>
      <c r="GG50"/>
      <c r="GH50"/>
      <c r="GI50"/>
      <c r="GJ50"/>
      <c r="GK50"/>
      <c r="GL50"/>
      <c r="GM50"/>
      <c r="GN50"/>
      <c r="GO50"/>
      <c r="GP50"/>
      <c r="GQ50"/>
      <c r="GR50"/>
      <c r="GS50"/>
      <c r="GT50"/>
      <c r="GU50"/>
      <c r="GV50"/>
      <c r="GW50"/>
      <c r="GX50"/>
      <c r="GY50"/>
      <c r="GZ50"/>
      <c r="HA50"/>
      <c r="HB50"/>
      <c r="HC50"/>
      <c r="HD50"/>
      <c r="HE50"/>
      <c r="HF50"/>
      <c r="HG50"/>
      <c r="HH50"/>
      <c r="HI50"/>
      <c r="HJ50"/>
      <c r="HK50"/>
      <c r="HL50"/>
      <c r="HM50"/>
      <c r="HN50"/>
      <c r="HO50"/>
      <c r="HP50"/>
      <c r="HQ50"/>
      <c r="HR50"/>
      <c r="HS50"/>
      <c r="HT50"/>
      <c r="HU50"/>
      <c r="HV50"/>
      <c r="HW50"/>
      <c r="HX50"/>
      <c r="HY50"/>
      <c r="HZ50"/>
      <c r="IA50"/>
      <c r="IB50"/>
      <c r="IC50"/>
      <c r="ID50"/>
      <c r="IE50"/>
      <c r="IF50"/>
      <c r="IG50"/>
      <c r="IH50"/>
      <c r="II50"/>
      <c r="IJ50"/>
      <c r="IK50"/>
      <c r="IL50"/>
      <c r="IM50"/>
      <c r="IN50"/>
      <c r="IO50"/>
      <c r="IP50"/>
      <c r="IQ50"/>
      <c r="IR50"/>
      <c r="IS50"/>
      <c r="IT50"/>
      <c r="IU50"/>
      <c r="IV50"/>
    </row>
    <row r="51" spans="1:256" s="201" customFormat="1" ht="14.25" x14ac:dyDescent="0.2">
      <c r="A51" s="10">
        <v>2747</v>
      </c>
      <c r="B51" s="11" t="s">
        <v>370</v>
      </c>
      <c r="C51" s="105" t="s">
        <v>371</v>
      </c>
      <c r="D51" s="11" t="s">
        <v>106</v>
      </c>
      <c r="E51" s="12">
        <v>11656</v>
      </c>
      <c r="F51" s="202">
        <v>47</v>
      </c>
      <c r="G51" s="11">
        <v>99999</v>
      </c>
      <c r="H51" s="116">
        <v>-260011</v>
      </c>
      <c r="I51" s="192"/>
      <c r="J51" s="204"/>
      <c r="K51" s="193"/>
      <c r="L51" s="193"/>
      <c r="M51" s="193"/>
      <c r="N51" s="203">
        <f t="shared" si="28"/>
        <v>99999</v>
      </c>
      <c r="O51" s="203">
        <f t="shared" si="29"/>
        <v>-160012</v>
      </c>
      <c r="P51" s="203">
        <f t="shared" si="30"/>
        <v>0</v>
      </c>
      <c r="Q51" s="214"/>
      <c r="R51" s="219"/>
      <c r="S51" s="217">
        <v>46211</v>
      </c>
      <c r="T51" s="205"/>
      <c r="U51" s="205"/>
      <c r="V51" s="215"/>
      <c r="W51" s="212"/>
      <c r="X51" s="10">
        <v>7</v>
      </c>
      <c r="Y51" s="10">
        <v>7</v>
      </c>
      <c r="Z51" s="213">
        <f t="shared" si="31"/>
        <v>99999</v>
      </c>
      <c r="AA51" s="62"/>
      <c r="AB51" s="62"/>
      <c r="AC51" s="62"/>
      <c r="AD51" s="62"/>
      <c r="AE51" s="62"/>
      <c r="AF51" s="63"/>
      <c r="AG51" s="64"/>
      <c r="AH51" s="6">
        <v>1</v>
      </c>
      <c r="AI51">
        <f t="shared" si="32"/>
        <v>25</v>
      </c>
      <c r="AJ51">
        <f t="shared" si="33"/>
        <v>25</v>
      </c>
      <c r="AK51">
        <f t="shared" si="34"/>
        <v>0</v>
      </c>
      <c r="AL51">
        <f t="shared" si="35"/>
        <v>0</v>
      </c>
      <c r="AM51">
        <f t="shared" si="36"/>
        <v>0</v>
      </c>
      <c r="AN51">
        <f t="shared" si="37"/>
        <v>0</v>
      </c>
      <c r="AO51">
        <f t="shared" si="38"/>
        <v>0</v>
      </c>
      <c r="AP51">
        <f t="shared" si="39"/>
        <v>0</v>
      </c>
      <c r="AQ51">
        <f t="shared" si="40"/>
        <v>0</v>
      </c>
      <c r="AR51">
        <f t="shared" si="41"/>
        <v>0</v>
      </c>
      <c r="AS51">
        <f t="shared" si="42"/>
        <v>0</v>
      </c>
      <c r="AT51">
        <f t="shared" si="43"/>
        <v>0</v>
      </c>
      <c r="AU51">
        <f t="shared" si="44"/>
        <v>0</v>
      </c>
      <c r="AV51">
        <f t="shared" si="45"/>
        <v>0</v>
      </c>
      <c r="AW51">
        <f t="shared" si="46"/>
        <v>0</v>
      </c>
      <c r="AX51">
        <f t="shared" si="47"/>
        <v>0</v>
      </c>
      <c r="AY51">
        <f t="shared" si="48"/>
        <v>0</v>
      </c>
      <c r="AZ51">
        <f t="shared" si="49"/>
        <v>0</v>
      </c>
      <c r="BA51">
        <f t="shared" si="50"/>
        <v>0</v>
      </c>
      <c r="BB51">
        <f t="shared" si="51"/>
        <v>0</v>
      </c>
      <c r="BC51">
        <f t="shared" si="52"/>
        <v>0</v>
      </c>
      <c r="BD51">
        <f t="shared" si="53"/>
        <v>0</v>
      </c>
      <c r="BE51">
        <f t="shared" si="54"/>
        <v>0</v>
      </c>
      <c r="BF51">
        <f t="shared" si="55"/>
        <v>0</v>
      </c>
      <c r="BG51"/>
      <c r="BH51"/>
      <c r="BI51"/>
      <c r="BJ51"/>
      <c r="BK51"/>
      <c r="BL51"/>
      <c r="BM51"/>
      <c r="BN51"/>
      <c r="BO51"/>
      <c r="BP51"/>
      <c r="BQ51"/>
      <c r="BR51"/>
      <c r="BS51"/>
      <c r="BT51"/>
      <c r="BU51"/>
      <c r="BV51"/>
      <c r="BW51"/>
      <c r="BX51"/>
      <c r="BY51"/>
      <c r="BZ51"/>
      <c r="CA51"/>
      <c r="CB51"/>
      <c r="CC51"/>
      <c r="CD51"/>
      <c r="CE51"/>
      <c r="CF51"/>
      <c r="CG51"/>
      <c r="CH51"/>
      <c r="CI51"/>
      <c r="CJ51"/>
      <c r="CK51"/>
      <c r="CL51"/>
      <c r="CM51"/>
      <c r="CN51"/>
      <c r="CO51"/>
      <c r="CP51"/>
      <c r="CQ51"/>
      <c r="CR51"/>
      <c r="CS51"/>
      <c r="CT51"/>
      <c r="CU51"/>
      <c r="CV51"/>
      <c r="CW51"/>
      <c r="CX51"/>
      <c r="CY51"/>
      <c r="CZ51"/>
      <c r="DA51"/>
      <c r="DB51"/>
      <c r="DC51"/>
      <c r="DD51"/>
      <c r="DE51"/>
      <c r="DF51"/>
      <c r="DG51"/>
      <c r="DH51"/>
      <c r="DI51"/>
      <c r="DJ51"/>
      <c r="DK51"/>
      <c r="DL51"/>
      <c r="DM51"/>
      <c r="DN51"/>
      <c r="DO51"/>
      <c r="DP51"/>
      <c r="DQ51"/>
      <c r="DR51"/>
      <c r="DS51"/>
      <c r="DT51"/>
      <c r="DU51"/>
      <c r="DV51"/>
      <c r="DW51"/>
      <c r="DX51"/>
      <c r="DY51"/>
      <c r="DZ51"/>
      <c r="EA51"/>
      <c r="EB51"/>
      <c r="EC51"/>
      <c r="ED51"/>
      <c r="EE51"/>
      <c r="EF51"/>
      <c r="EG51"/>
      <c r="EH51"/>
      <c r="EI51"/>
      <c r="EJ51"/>
      <c r="EK51"/>
      <c r="EL51"/>
      <c r="EM51"/>
      <c r="EN51"/>
      <c r="EO51"/>
      <c r="EP51"/>
      <c r="EQ51"/>
      <c r="ER51"/>
      <c r="ES51"/>
      <c r="ET51"/>
      <c r="EU51"/>
      <c r="EV51"/>
      <c r="EW51"/>
      <c r="EX51"/>
      <c r="EY51"/>
      <c r="EZ51"/>
      <c r="FA51"/>
      <c r="FB51"/>
      <c r="FC51"/>
      <c r="FD51"/>
      <c r="FE51"/>
      <c r="FF51"/>
      <c r="FG51"/>
      <c r="FH51"/>
      <c r="FI51"/>
      <c r="FJ51"/>
      <c r="FK51"/>
      <c r="FL51"/>
      <c r="FM51"/>
      <c r="FN51"/>
      <c r="FO51"/>
      <c r="FP51"/>
      <c r="FQ51"/>
      <c r="FR51"/>
      <c r="FS51"/>
      <c r="FT51"/>
      <c r="FU51"/>
      <c r="FV51"/>
      <c r="FW51"/>
      <c r="FX51"/>
      <c r="FY51"/>
      <c r="FZ51"/>
      <c r="GA51"/>
      <c r="GB51"/>
      <c r="GC51"/>
      <c r="GD51"/>
      <c r="GE51"/>
      <c r="GF51"/>
      <c r="GG51"/>
      <c r="GH51"/>
      <c r="GI51"/>
      <c r="GJ51"/>
      <c r="GK51"/>
      <c r="GL51"/>
      <c r="GM51"/>
      <c r="GN51"/>
      <c r="GO51"/>
      <c r="GP51"/>
      <c r="GQ51"/>
      <c r="GR51"/>
      <c r="GS51"/>
      <c r="GT51"/>
      <c r="GU51"/>
      <c r="GV51"/>
      <c r="GW51"/>
      <c r="GX51"/>
      <c r="GY51"/>
      <c r="GZ51"/>
      <c r="HA51"/>
      <c r="HB51"/>
      <c r="HC51"/>
      <c r="HD51"/>
      <c r="HE51"/>
      <c r="HF51"/>
      <c r="HG51"/>
      <c r="HH51"/>
      <c r="HI51"/>
      <c r="HJ51"/>
      <c r="HK51"/>
      <c r="HL51"/>
      <c r="HM51"/>
      <c r="HN51"/>
      <c r="HO51"/>
      <c r="HP51"/>
      <c r="HQ51"/>
      <c r="HR51"/>
      <c r="HS51"/>
      <c r="HT51"/>
      <c r="HU51"/>
      <c r="HV51"/>
      <c r="HW51"/>
      <c r="HX51"/>
      <c r="HY51"/>
      <c r="HZ51"/>
      <c r="IA51"/>
      <c r="IB51"/>
      <c r="IC51"/>
      <c r="ID51"/>
      <c r="IE51"/>
      <c r="IF51"/>
      <c r="IG51"/>
      <c r="IH51"/>
      <c r="II51"/>
      <c r="IJ51"/>
      <c r="IK51"/>
      <c r="IL51"/>
      <c r="IM51"/>
      <c r="IN51"/>
      <c r="IO51"/>
      <c r="IP51"/>
      <c r="IQ51"/>
      <c r="IR51"/>
      <c r="IS51"/>
      <c r="IT51"/>
      <c r="IU51"/>
      <c r="IV51"/>
    </row>
    <row r="52" spans="1:256" s="201" customFormat="1" ht="14.25" x14ac:dyDescent="0.2">
      <c r="A52" s="10">
        <v>2755</v>
      </c>
      <c r="B52" s="11" t="s">
        <v>372</v>
      </c>
      <c r="C52" s="105" t="s">
        <v>373</v>
      </c>
      <c r="D52" s="11" t="s">
        <v>282</v>
      </c>
      <c r="E52" s="12">
        <v>11668</v>
      </c>
      <c r="F52" s="202">
        <v>47</v>
      </c>
      <c r="G52" s="11">
        <v>60000</v>
      </c>
      <c r="H52" s="116">
        <v>0</v>
      </c>
      <c r="I52" s="192"/>
      <c r="J52" s="204"/>
      <c r="K52" s="193"/>
      <c r="L52" s="193"/>
      <c r="M52" s="193"/>
      <c r="N52" s="203">
        <f t="shared" si="28"/>
        <v>60000</v>
      </c>
      <c r="O52" s="203">
        <f t="shared" si="29"/>
        <v>60000</v>
      </c>
      <c r="P52" s="203">
        <f t="shared" si="30"/>
        <v>60000</v>
      </c>
      <c r="Q52" s="214"/>
      <c r="R52" s="219"/>
      <c r="S52" s="217">
        <v>46205</v>
      </c>
      <c r="T52" s="205"/>
      <c r="U52" s="205"/>
      <c r="V52" s="215"/>
      <c r="W52" s="212"/>
      <c r="X52" s="10">
        <v>7</v>
      </c>
      <c r="Y52" s="10">
        <v>7</v>
      </c>
      <c r="Z52" s="213">
        <f t="shared" si="31"/>
        <v>60000</v>
      </c>
      <c r="AA52" s="62"/>
      <c r="AB52" s="62"/>
      <c r="AC52" s="62"/>
      <c r="AD52" s="62"/>
      <c r="AE52" s="62"/>
      <c r="AF52" s="63"/>
      <c r="AG52" s="64"/>
      <c r="AH52" s="6">
        <v>1</v>
      </c>
      <c r="AI52">
        <f t="shared" si="32"/>
        <v>25</v>
      </c>
      <c r="AJ52">
        <f t="shared" si="33"/>
        <v>25</v>
      </c>
      <c r="AK52">
        <f t="shared" si="34"/>
        <v>0</v>
      </c>
      <c r="AL52">
        <f t="shared" si="35"/>
        <v>0</v>
      </c>
      <c r="AM52">
        <f t="shared" si="36"/>
        <v>0</v>
      </c>
      <c r="AN52">
        <f t="shared" si="37"/>
        <v>0</v>
      </c>
      <c r="AO52">
        <f t="shared" si="38"/>
        <v>0</v>
      </c>
      <c r="AP52">
        <f t="shared" si="39"/>
        <v>0</v>
      </c>
      <c r="AQ52">
        <f t="shared" si="40"/>
        <v>0</v>
      </c>
      <c r="AR52">
        <f t="shared" si="41"/>
        <v>0</v>
      </c>
      <c r="AS52">
        <f t="shared" si="42"/>
        <v>0</v>
      </c>
      <c r="AT52">
        <f t="shared" si="43"/>
        <v>0</v>
      </c>
      <c r="AU52">
        <f t="shared" si="44"/>
        <v>1</v>
      </c>
      <c r="AV52">
        <f t="shared" si="45"/>
        <v>1</v>
      </c>
      <c r="AW52">
        <f t="shared" si="46"/>
        <v>1</v>
      </c>
      <c r="AX52">
        <f t="shared" si="47"/>
        <v>1</v>
      </c>
      <c r="AY52">
        <f t="shared" si="48"/>
        <v>60000</v>
      </c>
      <c r="AZ52">
        <f t="shared" si="49"/>
        <v>60000</v>
      </c>
      <c r="BA52">
        <f t="shared" si="50"/>
        <v>0</v>
      </c>
      <c r="BB52">
        <f t="shared" si="51"/>
        <v>0</v>
      </c>
      <c r="BC52">
        <f t="shared" si="52"/>
        <v>0</v>
      </c>
      <c r="BD52">
        <f t="shared" si="53"/>
        <v>0</v>
      </c>
      <c r="BE52">
        <f t="shared" si="54"/>
        <v>0</v>
      </c>
      <c r="BF52">
        <f t="shared" si="55"/>
        <v>0</v>
      </c>
      <c r="BG52"/>
      <c r="BH52"/>
      <c r="BI52"/>
      <c r="BJ52"/>
      <c r="BK52"/>
      <c r="BL52"/>
      <c r="BM52"/>
      <c r="BN52"/>
      <c r="BO52"/>
      <c r="BP52"/>
      <c r="BQ52"/>
      <c r="BR52"/>
      <c r="BS52"/>
      <c r="BT52"/>
      <c r="BU52"/>
      <c r="BV52"/>
      <c r="BW52"/>
      <c r="BX52"/>
      <c r="BY52"/>
      <c r="BZ52"/>
      <c r="CA52"/>
      <c r="CB52"/>
      <c r="CC52"/>
      <c r="CD52"/>
      <c r="CE52"/>
      <c r="CF52"/>
      <c r="CG52"/>
      <c r="CH52"/>
      <c r="CI52"/>
      <c r="CJ52"/>
      <c r="CK52"/>
      <c r="CL52"/>
      <c r="CM52"/>
      <c r="CN52"/>
      <c r="CO52"/>
      <c r="CP52"/>
      <c r="CQ52"/>
      <c r="CR52"/>
      <c r="CS52"/>
      <c r="CT52"/>
      <c r="CU52"/>
      <c r="CV52"/>
      <c r="CW52"/>
      <c r="CX52"/>
      <c r="CY52"/>
      <c r="CZ52"/>
      <c r="DA52"/>
      <c r="DB52"/>
      <c r="DC52"/>
      <c r="DD52"/>
      <c r="DE52"/>
      <c r="DF52"/>
      <c r="DG52"/>
      <c r="DH52"/>
      <c r="DI52"/>
      <c r="DJ52"/>
      <c r="DK52"/>
      <c r="DL52"/>
      <c r="DM52"/>
      <c r="DN52"/>
      <c r="DO52"/>
      <c r="DP52"/>
      <c r="DQ52"/>
      <c r="DR52"/>
      <c r="DS52"/>
      <c r="DT52"/>
      <c r="DU52"/>
      <c r="DV52"/>
      <c r="DW52"/>
      <c r="DX52"/>
      <c r="DY52"/>
      <c r="DZ52"/>
      <c r="EA52"/>
      <c r="EB52"/>
      <c r="EC52"/>
      <c r="ED52"/>
      <c r="EE52"/>
      <c r="EF52"/>
      <c r="EG52"/>
      <c r="EH52"/>
      <c r="EI52"/>
      <c r="EJ52"/>
      <c r="EK52"/>
      <c r="EL52"/>
      <c r="EM52"/>
      <c r="EN52"/>
      <c r="EO52"/>
      <c r="EP52"/>
      <c r="EQ52"/>
      <c r="ER52"/>
      <c r="ES52"/>
      <c r="ET52"/>
      <c r="EU52"/>
      <c r="EV52"/>
      <c r="EW52"/>
      <c r="EX52"/>
      <c r="EY52"/>
      <c r="EZ52"/>
      <c r="FA52"/>
      <c r="FB52"/>
      <c r="FC52"/>
      <c r="FD52"/>
      <c r="FE52"/>
      <c r="FF52"/>
      <c r="FG52"/>
      <c r="FH52"/>
      <c r="FI52"/>
      <c r="FJ52"/>
      <c r="FK52"/>
      <c r="FL52"/>
      <c r="FM52"/>
      <c r="FN52"/>
      <c r="FO52"/>
      <c r="FP52"/>
      <c r="FQ52"/>
      <c r="FR52"/>
      <c r="FS52"/>
      <c r="FT52"/>
      <c r="FU52"/>
      <c r="FV52"/>
      <c r="FW52"/>
      <c r="FX52"/>
      <c r="FY52"/>
      <c r="FZ52"/>
      <c r="GA52"/>
      <c r="GB52"/>
      <c r="GC52"/>
      <c r="GD52"/>
      <c r="GE52"/>
      <c r="GF52"/>
      <c r="GG52"/>
      <c r="GH52"/>
      <c r="GI52"/>
      <c r="GJ52"/>
      <c r="GK52"/>
      <c r="GL52"/>
      <c r="GM52"/>
      <c r="GN52"/>
      <c r="GO52"/>
      <c r="GP52"/>
      <c r="GQ52"/>
      <c r="GR52"/>
      <c r="GS52"/>
      <c r="GT52"/>
      <c r="GU52"/>
      <c r="GV52"/>
      <c r="GW52"/>
      <c r="GX52"/>
      <c r="GY52"/>
      <c r="GZ52"/>
      <c r="HA52"/>
      <c r="HB52"/>
      <c r="HC52"/>
      <c r="HD52"/>
      <c r="HE52"/>
      <c r="HF52"/>
      <c r="HG52"/>
      <c r="HH52"/>
      <c r="HI52"/>
      <c r="HJ52"/>
      <c r="HK52"/>
      <c r="HL52"/>
      <c r="HM52"/>
      <c r="HN52"/>
      <c r="HO52"/>
      <c r="HP52"/>
      <c r="HQ52"/>
      <c r="HR52"/>
      <c r="HS52"/>
      <c r="HT52"/>
      <c r="HU52"/>
      <c r="HV52"/>
      <c r="HW52"/>
      <c r="HX52"/>
      <c r="HY52"/>
      <c r="HZ52"/>
      <c r="IA52"/>
      <c r="IB52"/>
      <c r="IC52"/>
      <c r="ID52"/>
      <c r="IE52"/>
      <c r="IF52"/>
      <c r="IG52"/>
      <c r="IH52"/>
      <c r="II52"/>
      <c r="IJ52"/>
      <c r="IK52"/>
      <c r="IL52"/>
      <c r="IM52"/>
      <c r="IN52"/>
      <c r="IO52"/>
      <c r="IP52"/>
      <c r="IQ52"/>
      <c r="IR52"/>
      <c r="IS52"/>
      <c r="IT52"/>
      <c r="IU52"/>
      <c r="IV52"/>
    </row>
    <row r="53" spans="1:256" s="201" customFormat="1" ht="14.25" x14ac:dyDescent="0.2">
      <c r="A53" s="10">
        <v>2760</v>
      </c>
      <c r="B53" s="11" t="s">
        <v>374</v>
      </c>
      <c r="C53" s="105" t="s">
        <v>375</v>
      </c>
      <c r="D53" s="11" t="s">
        <v>376</v>
      </c>
      <c r="E53" s="12">
        <v>11688</v>
      </c>
      <c r="F53" s="202">
        <v>47</v>
      </c>
      <c r="G53" s="11">
        <v>60000</v>
      </c>
      <c r="H53" s="116">
        <v>0</v>
      </c>
      <c r="I53" s="192"/>
      <c r="J53" s="204"/>
      <c r="K53" s="193"/>
      <c r="L53" s="193"/>
      <c r="M53" s="193"/>
      <c r="N53" s="203">
        <f t="shared" si="28"/>
        <v>60000</v>
      </c>
      <c r="O53" s="203">
        <f t="shared" si="29"/>
        <v>60000</v>
      </c>
      <c r="P53" s="203">
        <f t="shared" si="30"/>
        <v>60000</v>
      </c>
      <c r="Q53" s="214"/>
      <c r="R53" s="219"/>
      <c r="S53" s="217">
        <v>46213</v>
      </c>
      <c r="T53" s="205"/>
      <c r="U53" s="205"/>
      <c r="V53" s="215"/>
      <c r="W53" s="212"/>
      <c r="X53" s="10">
        <v>7</v>
      </c>
      <c r="Y53" s="10">
        <v>7</v>
      </c>
      <c r="Z53" s="213">
        <f t="shared" si="31"/>
        <v>60000</v>
      </c>
      <c r="AA53" s="62"/>
      <c r="AB53" s="62"/>
      <c r="AC53" s="62"/>
      <c r="AD53" s="62"/>
      <c r="AE53" s="62"/>
      <c r="AF53" s="63"/>
      <c r="AG53" s="64"/>
      <c r="AH53" s="6">
        <v>1</v>
      </c>
      <c r="AI53">
        <f t="shared" si="32"/>
        <v>25</v>
      </c>
      <c r="AJ53">
        <f t="shared" si="33"/>
        <v>25</v>
      </c>
      <c r="AK53">
        <f t="shared" si="34"/>
        <v>0</v>
      </c>
      <c r="AL53">
        <f t="shared" si="35"/>
        <v>0</v>
      </c>
      <c r="AM53">
        <f t="shared" si="36"/>
        <v>0</v>
      </c>
      <c r="AN53">
        <f t="shared" si="37"/>
        <v>0</v>
      </c>
      <c r="AO53">
        <f t="shared" si="38"/>
        <v>0</v>
      </c>
      <c r="AP53">
        <f t="shared" si="39"/>
        <v>0</v>
      </c>
      <c r="AQ53">
        <f t="shared" si="40"/>
        <v>0</v>
      </c>
      <c r="AR53">
        <f t="shared" si="41"/>
        <v>0</v>
      </c>
      <c r="AS53">
        <f t="shared" si="42"/>
        <v>0</v>
      </c>
      <c r="AT53">
        <f t="shared" si="43"/>
        <v>0</v>
      </c>
      <c r="AU53">
        <f t="shared" si="44"/>
        <v>1</v>
      </c>
      <c r="AV53">
        <f t="shared" si="45"/>
        <v>1</v>
      </c>
      <c r="AW53">
        <f t="shared" si="46"/>
        <v>1</v>
      </c>
      <c r="AX53">
        <f t="shared" si="47"/>
        <v>1</v>
      </c>
      <c r="AY53">
        <f t="shared" si="48"/>
        <v>60000</v>
      </c>
      <c r="AZ53">
        <f t="shared" si="49"/>
        <v>60000</v>
      </c>
      <c r="BA53">
        <f t="shared" si="50"/>
        <v>0</v>
      </c>
      <c r="BB53">
        <f t="shared" si="51"/>
        <v>0</v>
      </c>
      <c r="BC53">
        <f t="shared" si="52"/>
        <v>0</v>
      </c>
      <c r="BD53">
        <f t="shared" si="53"/>
        <v>0</v>
      </c>
      <c r="BE53">
        <f t="shared" si="54"/>
        <v>0</v>
      </c>
      <c r="BF53">
        <f t="shared" si="55"/>
        <v>0</v>
      </c>
      <c r="BG53"/>
      <c r="BH53"/>
      <c r="BI53"/>
      <c r="BJ53"/>
      <c r="BK53"/>
      <c r="BL53"/>
      <c r="BM53"/>
      <c r="BN53"/>
      <c r="BO53"/>
      <c r="BP53"/>
      <c r="BQ53"/>
      <c r="BR53"/>
      <c r="BS53"/>
      <c r="BT53"/>
      <c r="BU53"/>
      <c r="BV53"/>
      <c r="BW53"/>
      <c r="BX53"/>
      <c r="BY53"/>
      <c r="BZ53"/>
      <c r="CA53"/>
      <c r="CB53"/>
      <c r="CC53"/>
      <c r="CD53"/>
      <c r="CE53"/>
      <c r="CF53"/>
      <c r="CG53"/>
      <c r="CH53"/>
      <c r="CI53"/>
      <c r="CJ53"/>
      <c r="CK53"/>
      <c r="CL53"/>
      <c r="CM53"/>
      <c r="CN53"/>
      <c r="CO53"/>
      <c r="CP53"/>
      <c r="CQ53"/>
      <c r="CR53"/>
      <c r="CS53"/>
      <c r="CT53"/>
      <c r="CU53"/>
      <c r="CV53"/>
      <c r="CW53"/>
      <c r="CX53"/>
      <c r="CY53"/>
      <c r="CZ53"/>
      <c r="DA53"/>
      <c r="DB53"/>
      <c r="DC53"/>
      <c r="DD53"/>
      <c r="DE53"/>
      <c r="DF53"/>
      <c r="DG53"/>
      <c r="DH53"/>
      <c r="DI53"/>
      <c r="DJ53"/>
      <c r="DK53"/>
      <c r="DL53"/>
      <c r="DM53"/>
      <c r="DN53"/>
      <c r="DO53"/>
      <c r="DP53"/>
      <c r="DQ53"/>
      <c r="DR53"/>
      <c r="DS53"/>
      <c r="DT53"/>
      <c r="DU53"/>
      <c r="DV53"/>
      <c r="DW53"/>
      <c r="DX53"/>
      <c r="DY53"/>
      <c r="DZ53"/>
      <c r="EA53"/>
      <c r="EB53"/>
      <c r="EC53"/>
      <c r="ED53"/>
      <c r="EE53"/>
      <c r="EF53"/>
      <c r="EG53"/>
      <c r="EH53"/>
      <c r="EI53"/>
      <c r="EJ53"/>
      <c r="EK53"/>
      <c r="EL53"/>
      <c r="EM53"/>
      <c r="EN53"/>
      <c r="EO53"/>
      <c r="EP53"/>
      <c r="EQ53"/>
      <c r="ER53"/>
      <c r="ES53"/>
      <c r="ET53"/>
      <c r="EU53"/>
      <c r="EV53"/>
      <c r="EW53"/>
      <c r="EX53"/>
      <c r="EY53"/>
      <c r="EZ53"/>
      <c r="FA53"/>
      <c r="FB53"/>
      <c r="FC53"/>
      <c r="FD53"/>
      <c r="FE53"/>
      <c r="FF53"/>
      <c r="FG53"/>
      <c r="FH53"/>
      <c r="FI53"/>
      <c r="FJ53"/>
      <c r="FK53"/>
      <c r="FL53"/>
      <c r="FM53"/>
      <c r="FN53"/>
      <c r="FO53"/>
      <c r="FP53"/>
      <c r="FQ53"/>
      <c r="FR53"/>
      <c r="FS53"/>
      <c r="FT53"/>
      <c r="FU53"/>
      <c r="FV53"/>
      <c r="FW53"/>
      <c r="FX53"/>
      <c r="FY53"/>
      <c r="FZ53"/>
      <c r="GA53"/>
      <c r="GB53"/>
      <c r="GC53"/>
      <c r="GD53"/>
      <c r="GE53"/>
      <c r="GF53"/>
      <c r="GG53"/>
      <c r="GH53"/>
      <c r="GI53"/>
      <c r="GJ53"/>
      <c r="GK53"/>
      <c r="GL53"/>
      <c r="GM53"/>
      <c r="GN53"/>
      <c r="GO53"/>
      <c r="GP53"/>
      <c r="GQ53"/>
      <c r="GR53"/>
      <c r="GS53"/>
      <c r="GT53"/>
      <c r="GU53"/>
      <c r="GV53"/>
      <c r="GW53"/>
      <c r="GX53"/>
      <c r="GY53"/>
      <c r="GZ53"/>
      <c r="HA53"/>
      <c r="HB53"/>
      <c r="HC53"/>
      <c r="HD53"/>
      <c r="HE53"/>
      <c r="HF53"/>
      <c r="HG53"/>
      <c r="HH53"/>
      <c r="HI53"/>
      <c r="HJ53"/>
      <c r="HK53"/>
      <c r="HL53"/>
      <c r="HM53"/>
      <c r="HN53"/>
      <c r="HO53"/>
      <c r="HP53"/>
      <c r="HQ53"/>
      <c r="HR53"/>
      <c r="HS53"/>
      <c r="HT53"/>
      <c r="HU53"/>
      <c r="HV53"/>
      <c r="HW53"/>
      <c r="HX53"/>
      <c r="HY53"/>
      <c r="HZ53"/>
      <c r="IA53"/>
      <c r="IB53"/>
      <c r="IC53"/>
      <c r="ID53"/>
      <c r="IE53"/>
      <c r="IF53"/>
      <c r="IG53"/>
      <c r="IH53"/>
      <c r="II53"/>
      <c r="IJ53"/>
      <c r="IK53"/>
      <c r="IL53"/>
      <c r="IM53"/>
      <c r="IN53"/>
      <c r="IO53"/>
      <c r="IP53"/>
      <c r="IQ53"/>
      <c r="IR53"/>
      <c r="IS53"/>
      <c r="IT53"/>
      <c r="IU53"/>
      <c r="IV53"/>
    </row>
    <row r="54" spans="1:256" s="201" customFormat="1" ht="14.25" x14ac:dyDescent="0.2">
      <c r="A54" s="10">
        <v>2802</v>
      </c>
      <c r="B54" s="11" t="s">
        <v>377</v>
      </c>
      <c r="C54" s="105" t="s">
        <v>378</v>
      </c>
      <c r="D54" s="11" t="s">
        <v>379</v>
      </c>
      <c r="E54" s="12">
        <v>11702</v>
      </c>
      <c r="F54" s="202">
        <v>45</v>
      </c>
      <c r="G54" s="11">
        <v>60000</v>
      </c>
      <c r="H54" s="116">
        <v>0</v>
      </c>
      <c r="I54" s="192"/>
      <c r="J54" s="204"/>
      <c r="K54" s="193"/>
      <c r="L54" s="193"/>
      <c r="M54" s="193"/>
      <c r="N54" s="203">
        <f t="shared" si="28"/>
        <v>60000</v>
      </c>
      <c r="O54" s="203">
        <f t="shared" si="29"/>
        <v>60000</v>
      </c>
      <c r="P54" s="203">
        <f t="shared" si="30"/>
        <v>60000</v>
      </c>
      <c r="Q54" s="214"/>
      <c r="R54" s="219"/>
      <c r="S54" s="217">
        <v>46219</v>
      </c>
      <c r="T54" s="205"/>
      <c r="U54" s="205"/>
      <c r="V54" s="215"/>
      <c r="W54" s="212"/>
      <c r="X54" s="10">
        <v>7</v>
      </c>
      <c r="Y54" s="10">
        <v>7</v>
      </c>
      <c r="Z54" s="213">
        <f t="shared" si="31"/>
        <v>60000</v>
      </c>
      <c r="AA54" s="62"/>
      <c r="AB54" s="62"/>
      <c r="AC54" s="62"/>
      <c r="AD54" s="62"/>
      <c r="AE54" s="62"/>
      <c r="AF54" s="63"/>
      <c r="AG54" s="64"/>
      <c r="AH54" s="6">
        <v>1</v>
      </c>
      <c r="AI54">
        <f t="shared" si="32"/>
        <v>25</v>
      </c>
      <c r="AJ54">
        <f t="shared" si="33"/>
        <v>25</v>
      </c>
      <c r="AK54">
        <f t="shared" si="34"/>
        <v>0</v>
      </c>
      <c r="AL54">
        <f t="shared" si="35"/>
        <v>0</v>
      </c>
      <c r="AM54">
        <f t="shared" si="36"/>
        <v>0</v>
      </c>
      <c r="AN54">
        <f t="shared" si="37"/>
        <v>0</v>
      </c>
      <c r="AO54">
        <f t="shared" si="38"/>
        <v>0</v>
      </c>
      <c r="AP54">
        <f t="shared" si="39"/>
        <v>0</v>
      </c>
      <c r="AQ54">
        <f t="shared" si="40"/>
        <v>0</v>
      </c>
      <c r="AR54">
        <f t="shared" si="41"/>
        <v>0</v>
      </c>
      <c r="AS54">
        <f t="shared" si="42"/>
        <v>0</v>
      </c>
      <c r="AT54">
        <f t="shared" si="43"/>
        <v>0</v>
      </c>
      <c r="AU54">
        <f t="shared" si="44"/>
        <v>1</v>
      </c>
      <c r="AV54">
        <f t="shared" si="45"/>
        <v>1</v>
      </c>
      <c r="AW54">
        <f t="shared" si="46"/>
        <v>1</v>
      </c>
      <c r="AX54">
        <f t="shared" si="47"/>
        <v>1</v>
      </c>
      <c r="AY54">
        <f t="shared" si="48"/>
        <v>60000</v>
      </c>
      <c r="AZ54">
        <f t="shared" si="49"/>
        <v>60000</v>
      </c>
      <c r="BA54">
        <f t="shared" si="50"/>
        <v>0</v>
      </c>
      <c r="BB54">
        <f t="shared" si="51"/>
        <v>0</v>
      </c>
      <c r="BC54">
        <f t="shared" si="52"/>
        <v>0</v>
      </c>
      <c r="BD54">
        <f t="shared" si="53"/>
        <v>0</v>
      </c>
      <c r="BE54">
        <f t="shared" si="54"/>
        <v>0</v>
      </c>
      <c r="BF54">
        <f t="shared" si="55"/>
        <v>0</v>
      </c>
      <c r="BG54"/>
      <c r="BH54"/>
      <c r="BI54"/>
      <c r="BJ54"/>
      <c r="BK54"/>
      <c r="BL54"/>
      <c r="BM54"/>
      <c r="BN54"/>
      <c r="BO54"/>
      <c r="BP54"/>
      <c r="BQ54"/>
      <c r="BR54"/>
      <c r="BS54"/>
      <c r="BT54"/>
      <c r="BU54"/>
      <c r="BV54"/>
      <c r="BW54"/>
      <c r="BX54"/>
      <c r="BY54"/>
      <c r="BZ54"/>
      <c r="CA54"/>
      <c r="CB54"/>
      <c r="CC54"/>
      <c r="CD54"/>
      <c r="CE54"/>
      <c r="CF54"/>
      <c r="CG54"/>
      <c r="CH54"/>
      <c r="CI54"/>
      <c r="CJ54"/>
      <c r="CK54"/>
      <c r="CL54"/>
      <c r="CM54"/>
      <c r="CN54"/>
      <c r="CO54"/>
      <c r="CP54"/>
      <c r="CQ54"/>
      <c r="CR54"/>
      <c r="CS54"/>
      <c r="CT54"/>
      <c r="CU54"/>
      <c r="CV54"/>
      <c r="CW54"/>
      <c r="CX54"/>
      <c r="CY54"/>
      <c r="CZ54"/>
      <c r="DA54"/>
      <c r="DB54"/>
      <c r="DC54"/>
      <c r="DD54"/>
      <c r="DE54"/>
      <c r="DF54"/>
      <c r="DG54"/>
      <c r="DH54"/>
      <c r="DI54"/>
      <c r="DJ54"/>
      <c r="DK54"/>
      <c r="DL54"/>
      <c r="DM54"/>
      <c r="DN54"/>
      <c r="DO54"/>
      <c r="DP54"/>
      <c r="DQ54"/>
      <c r="DR54"/>
      <c r="DS54"/>
      <c r="DT54"/>
      <c r="DU54"/>
      <c r="DV54"/>
      <c r="DW54"/>
      <c r="DX54"/>
      <c r="DY54"/>
      <c r="DZ54"/>
      <c r="EA54"/>
      <c r="EB54"/>
      <c r="EC54"/>
      <c r="ED54"/>
      <c r="EE54"/>
      <c r="EF54"/>
      <c r="EG54"/>
      <c r="EH54"/>
      <c r="EI54"/>
      <c r="EJ54"/>
      <c r="EK54"/>
      <c r="EL54"/>
      <c r="EM54"/>
      <c r="EN54"/>
      <c r="EO54"/>
      <c r="EP54"/>
      <c r="EQ54"/>
      <c r="ER54"/>
      <c r="ES54"/>
      <c r="ET54"/>
      <c r="EU54"/>
      <c r="EV54"/>
      <c r="EW54"/>
      <c r="EX54"/>
      <c r="EY54"/>
      <c r="EZ54"/>
      <c r="FA54"/>
      <c r="FB54"/>
      <c r="FC54"/>
      <c r="FD54"/>
      <c r="FE54"/>
      <c r="FF54"/>
      <c r="FG54"/>
      <c r="FH54"/>
      <c r="FI54"/>
      <c r="FJ54"/>
      <c r="FK54"/>
      <c r="FL54"/>
      <c r="FM54"/>
      <c r="FN54"/>
      <c r="FO54"/>
      <c r="FP54"/>
      <c r="FQ54"/>
      <c r="FR54"/>
      <c r="FS54"/>
      <c r="FT54"/>
      <c r="FU54"/>
      <c r="FV54"/>
      <c r="FW54"/>
      <c r="FX54"/>
      <c r="FY54"/>
      <c r="FZ54"/>
      <c r="GA54"/>
      <c r="GB54"/>
      <c r="GC54"/>
      <c r="GD54"/>
      <c r="GE54"/>
      <c r="GF54"/>
      <c r="GG54"/>
      <c r="GH54"/>
      <c r="GI54"/>
      <c r="GJ54"/>
      <c r="GK54"/>
      <c r="GL54"/>
      <c r="GM54"/>
      <c r="GN54"/>
      <c r="GO54"/>
      <c r="GP54"/>
      <c r="GQ54"/>
      <c r="GR54"/>
      <c r="GS54"/>
      <c r="GT54"/>
      <c r="GU54"/>
      <c r="GV54"/>
      <c r="GW54"/>
      <c r="GX54"/>
      <c r="GY54"/>
      <c r="GZ54"/>
      <c r="HA54"/>
      <c r="HB54"/>
      <c r="HC54"/>
      <c r="HD54"/>
      <c r="HE54"/>
      <c r="HF54"/>
      <c r="HG54"/>
      <c r="HH54"/>
      <c r="HI54"/>
      <c r="HJ54"/>
      <c r="HK54"/>
      <c r="HL54"/>
      <c r="HM54"/>
      <c r="HN54"/>
      <c r="HO54"/>
      <c r="HP54"/>
      <c r="HQ54"/>
      <c r="HR54"/>
      <c r="HS54"/>
      <c r="HT54"/>
      <c r="HU54"/>
      <c r="HV54"/>
      <c r="HW54"/>
      <c r="HX54"/>
      <c r="HY54"/>
      <c r="HZ54"/>
      <c r="IA54"/>
      <c r="IB54"/>
      <c r="IC54"/>
      <c r="ID54"/>
      <c r="IE54"/>
      <c r="IF54"/>
      <c r="IG54"/>
      <c r="IH54"/>
      <c r="II54"/>
      <c r="IJ54"/>
      <c r="IK54"/>
      <c r="IL54"/>
      <c r="IM54"/>
      <c r="IN54"/>
      <c r="IO54"/>
      <c r="IP54"/>
      <c r="IQ54"/>
      <c r="IR54"/>
      <c r="IS54"/>
      <c r="IT54"/>
      <c r="IU54"/>
      <c r="IV54"/>
    </row>
    <row r="55" spans="1:256" s="201" customFormat="1" ht="14.25" x14ac:dyDescent="0.2">
      <c r="A55" s="10">
        <v>2816</v>
      </c>
      <c r="B55" s="11" t="s">
        <v>380</v>
      </c>
      <c r="C55" s="105" t="s">
        <v>381</v>
      </c>
      <c r="D55" s="11" t="s">
        <v>157</v>
      </c>
      <c r="E55" s="12">
        <v>11701</v>
      </c>
      <c r="F55" s="202">
        <v>44</v>
      </c>
      <c r="G55" s="11">
        <v>60000</v>
      </c>
      <c r="H55" s="116">
        <v>0</v>
      </c>
      <c r="I55" s="192"/>
      <c r="J55" s="204"/>
      <c r="K55" s="193"/>
      <c r="L55" s="193"/>
      <c r="M55" s="193"/>
      <c r="N55" s="203">
        <f t="shared" si="28"/>
        <v>60000</v>
      </c>
      <c r="O55" s="203">
        <f t="shared" si="29"/>
        <v>60000</v>
      </c>
      <c r="P55" s="203">
        <f t="shared" si="30"/>
        <v>60000</v>
      </c>
      <c r="Q55" s="214"/>
      <c r="R55" s="219"/>
      <c r="S55" s="217">
        <v>46234</v>
      </c>
      <c r="T55" s="205"/>
      <c r="U55" s="205"/>
      <c r="V55" s="215"/>
      <c r="W55" s="212"/>
      <c r="X55" s="10">
        <v>7</v>
      </c>
      <c r="Y55" s="10">
        <v>7</v>
      </c>
      <c r="Z55" s="213">
        <f t="shared" si="31"/>
        <v>60000</v>
      </c>
      <c r="AA55" s="62"/>
      <c r="AB55" s="62"/>
      <c r="AC55" s="62"/>
      <c r="AD55" s="62"/>
      <c r="AE55" s="62"/>
      <c r="AF55" s="63"/>
      <c r="AG55" s="64"/>
      <c r="AH55" s="6">
        <v>1</v>
      </c>
      <c r="AI55">
        <f t="shared" si="32"/>
        <v>25</v>
      </c>
      <c r="AJ55">
        <f t="shared" si="33"/>
        <v>25</v>
      </c>
      <c r="AK55">
        <f t="shared" si="34"/>
        <v>0</v>
      </c>
      <c r="AL55">
        <f t="shared" si="35"/>
        <v>0</v>
      </c>
      <c r="AM55">
        <f t="shared" si="36"/>
        <v>0</v>
      </c>
      <c r="AN55">
        <f t="shared" si="37"/>
        <v>0</v>
      </c>
      <c r="AO55">
        <f t="shared" si="38"/>
        <v>0</v>
      </c>
      <c r="AP55">
        <f t="shared" si="39"/>
        <v>0</v>
      </c>
      <c r="AQ55">
        <f t="shared" si="40"/>
        <v>0</v>
      </c>
      <c r="AR55">
        <f t="shared" si="41"/>
        <v>0</v>
      </c>
      <c r="AS55">
        <f t="shared" si="42"/>
        <v>0</v>
      </c>
      <c r="AT55">
        <f t="shared" si="43"/>
        <v>0</v>
      </c>
      <c r="AU55">
        <f t="shared" si="44"/>
        <v>1</v>
      </c>
      <c r="AV55">
        <f t="shared" si="45"/>
        <v>1</v>
      </c>
      <c r="AW55">
        <f t="shared" si="46"/>
        <v>1</v>
      </c>
      <c r="AX55">
        <f t="shared" si="47"/>
        <v>1</v>
      </c>
      <c r="AY55">
        <f t="shared" si="48"/>
        <v>60000</v>
      </c>
      <c r="AZ55">
        <f t="shared" si="49"/>
        <v>60000</v>
      </c>
      <c r="BA55">
        <f t="shared" si="50"/>
        <v>0</v>
      </c>
      <c r="BB55">
        <f t="shared" si="51"/>
        <v>0</v>
      </c>
      <c r="BC55">
        <f t="shared" si="52"/>
        <v>0</v>
      </c>
      <c r="BD55">
        <f t="shared" si="53"/>
        <v>0</v>
      </c>
      <c r="BE55">
        <f t="shared" si="54"/>
        <v>0</v>
      </c>
      <c r="BF55">
        <f t="shared" si="55"/>
        <v>0</v>
      </c>
      <c r="BG55"/>
      <c r="BH55"/>
      <c r="BI55"/>
      <c r="BJ55"/>
      <c r="BK55"/>
      <c r="BL55"/>
      <c r="BM55"/>
      <c r="BN55"/>
      <c r="BO55"/>
      <c r="BP55"/>
      <c r="BQ55"/>
      <c r="BR55"/>
      <c r="BS55"/>
      <c r="BT55"/>
      <c r="BU55"/>
      <c r="BV55"/>
      <c r="BW55"/>
      <c r="BX55"/>
      <c r="BY55"/>
      <c r="BZ55"/>
      <c r="CA55"/>
      <c r="CB55"/>
      <c r="CC55"/>
      <c r="CD55"/>
      <c r="CE55"/>
      <c r="CF55"/>
      <c r="CG55"/>
      <c r="CH55"/>
      <c r="CI55"/>
      <c r="CJ55"/>
      <c r="CK55"/>
      <c r="CL55"/>
      <c r="CM55"/>
      <c r="CN55"/>
      <c r="CO55"/>
      <c r="CP55"/>
      <c r="CQ55"/>
      <c r="CR55"/>
      <c r="CS55"/>
      <c r="CT55"/>
      <c r="CU55"/>
      <c r="CV55"/>
      <c r="CW55"/>
      <c r="CX55"/>
      <c r="CY55"/>
      <c r="CZ55"/>
      <c r="DA55"/>
      <c r="DB55"/>
      <c r="DC55"/>
      <c r="DD55"/>
      <c r="DE55"/>
      <c r="DF55"/>
      <c r="DG55"/>
      <c r="DH55"/>
      <c r="DI55"/>
      <c r="DJ55"/>
      <c r="DK55"/>
      <c r="DL55"/>
      <c r="DM55"/>
      <c r="DN55"/>
      <c r="DO55"/>
      <c r="DP55"/>
      <c r="DQ55"/>
      <c r="DR55"/>
      <c r="DS55"/>
      <c r="DT55"/>
      <c r="DU55"/>
      <c r="DV55"/>
      <c r="DW55"/>
      <c r="DX55"/>
      <c r="DY55"/>
      <c r="DZ55"/>
      <c r="EA55"/>
      <c r="EB55"/>
      <c r="EC55"/>
      <c r="ED55"/>
      <c r="EE55"/>
      <c r="EF55"/>
      <c r="EG55"/>
      <c r="EH55"/>
      <c r="EI55"/>
      <c r="EJ55"/>
      <c r="EK55"/>
      <c r="EL55"/>
      <c r="EM55"/>
      <c r="EN55"/>
      <c r="EO55"/>
      <c r="EP55"/>
      <c r="EQ55"/>
      <c r="ER55"/>
      <c r="ES55"/>
      <c r="ET55"/>
      <c r="EU55"/>
      <c r="EV55"/>
      <c r="EW55"/>
      <c r="EX55"/>
      <c r="EY55"/>
      <c r="EZ55"/>
      <c r="FA55"/>
      <c r="FB55"/>
      <c r="FC55"/>
      <c r="FD55"/>
      <c r="FE55"/>
      <c r="FF55"/>
      <c r="FG55"/>
      <c r="FH55"/>
      <c r="FI55"/>
      <c r="FJ55"/>
      <c r="FK55"/>
      <c r="FL55"/>
      <c r="FM55"/>
      <c r="FN55"/>
      <c r="FO55"/>
      <c r="FP55"/>
      <c r="FQ55"/>
      <c r="FR55"/>
      <c r="FS55"/>
      <c r="FT55"/>
      <c r="FU55"/>
      <c r="FV55"/>
      <c r="FW55"/>
      <c r="FX55"/>
      <c r="FY55"/>
      <c r="FZ55"/>
      <c r="GA55"/>
      <c r="GB55"/>
      <c r="GC55"/>
      <c r="GD55"/>
      <c r="GE55"/>
      <c r="GF55"/>
      <c r="GG55"/>
      <c r="GH55"/>
      <c r="GI55"/>
      <c r="GJ55"/>
      <c r="GK55"/>
      <c r="GL55"/>
      <c r="GM55"/>
      <c r="GN55"/>
      <c r="GO55"/>
      <c r="GP55"/>
      <c r="GQ55"/>
      <c r="GR55"/>
      <c r="GS55"/>
      <c r="GT55"/>
      <c r="GU55"/>
      <c r="GV55"/>
      <c r="GW55"/>
      <c r="GX55"/>
      <c r="GY55"/>
      <c r="GZ55"/>
      <c r="HA55"/>
      <c r="HB55"/>
      <c r="HC55"/>
      <c r="HD55"/>
      <c r="HE55"/>
      <c r="HF55"/>
      <c r="HG55"/>
      <c r="HH55"/>
      <c r="HI55"/>
      <c r="HJ55"/>
      <c r="HK55"/>
      <c r="HL55"/>
      <c r="HM55"/>
      <c r="HN55"/>
      <c r="HO55"/>
      <c r="HP55"/>
      <c r="HQ55"/>
      <c r="HR55"/>
      <c r="HS55"/>
      <c r="HT55"/>
      <c r="HU55"/>
      <c r="HV55"/>
      <c r="HW55"/>
      <c r="HX55"/>
      <c r="HY55"/>
      <c r="HZ55"/>
      <c r="IA55"/>
      <c r="IB55"/>
      <c r="IC55"/>
      <c r="ID55"/>
      <c r="IE55"/>
      <c r="IF55"/>
      <c r="IG55"/>
      <c r="IH55"/>
      <c r="II55"/>
      <c r="IJ55"/>
      <c r="IK55"/>
      <c r="IL55"/>
      <c r="IM55"/>
      <c r="IN55"/>
      <c r="IO55"/>
      <c r="IP55"/>
      <c r="IQ55"/>
      <c r="IR55"/>
      <c r="IS55"/>
      <c r="IT55"/>
      <c r="IU55"/>
      <c r="IV55"/>
    </row>
    <row r="56" spans="1:256" s="201" customFormat="1" ht="14.25" x14ac:dyDescent="0.2">
      <c r="A56" s="10">
        <v>2836</v>
      </c>
      <c r="B56" s="11" t="s">
        <v>382</v>
      </c>
      <c r="C56" s="105" t="s">
        <v>383</v>
      </c>
      <c r="D56" s="11" t="s">
        <v>106</v>
      </c>
      <c r="E56" s="12">
        <v>11737</v>
      </c>
      <c r="F56" s="202">
        <v>43</v>
      </c>
      <c r="G56" s="11">
        <v>55000</v>
      </c>
      <c r="H56" s="116">
        <v>0</v>
      </c>
      <c r="I56" s="192"/>
      <c r="J56" s="204"/>
      <c r="K56" s="193"/>
      <c r="L56" s="193"/>
      <c r="M56" s="193"/>
      <c r="N56" s="203">
        <f t="shared" si="28"/>
        <v>55000</v>
      </c>
      <c r="O56" s="203">
        <f t="shared" si="29"/>
        <v>55000</v>
      </c>
      <c r="P56" s="203">
        <f t="shared" si="30"/>
        <v>55000</v>
      </c>
      <c r="Q56" s="214"/>
      <c r="R56" s="219"/>
      <c r="S56" s="217">
        <v>46218</v>
      </c>
      <c r="T56" s="205"/>
      <c r="U56" s="205"/>
      <c r="V56" s="215"/>
      <c r="W56" s="212"/>
      <c r="X56" s="10">
        <v>7</v>
      </c>
      <c r="Y56" s="10">
        <v>7</v>
      </c>
      <c r="Z56" s="213">
        <f t="shared" si="31"/>
        <v>55000</v>
      </c>
      <c r="AA56" s="62"/>
      <c r="AB56" s="62"/>
      <c r="AC56" s="62"/>
      <c r="AD56" s="62"/>
      <c r="AE56" s="62"/>
      <c r="AF56" s="63"/>
      <c r="AG56" s="64"/>
      <c r="AH56" s="6">
        <v>1</v>
      </c>
      <c r="AI56">
        <f t="shared" si="32"/>
        <v>25</v>
      </c>
      <c r="AJ56">
        <f t="shared" si="33"/>
        <v>25</v>
      </c>
      <c r="AK56">
        <f t="shared" si="34"/>
        <v>0</v>
      </c>
      <c r="AL56">
        <f t="shared" si="35"/>
        <v>0</v>
      </c>
      <c r="AM56">
        <f t="shared" si="36"/>
        <v>0</v>
      </c>
      <c r="AN56">
        <f t="shared" si="37"/>
        <v>0</v>
      </c>
      <c r="AO56">
        <f t="shared" si="38"/>
        <v>0</v>
      </c>
      <c r="AP56">
        <f t="shared" si="39"/>
        <v>0</v>
      </c>
      <c r="AQ56">
        <f t="shared" si="40"/>
        <v>0</v>
      </c>
      <c r="AR56">
        <f t="shared" si="41"/>
        <v>0</v>
      </c>
      <c r="AS56">
        <f t="shared" si="42"/>
        <v>0</v>
      </c>
      <c r="AT56">
        <f t="shared" si="43"/>
        <v>0</v>
      </c>
      <c r="AU56">
        <f t="shared" si="44"/>
        <v>1</v>
      </c>
      <c r="AV56">
        <f t="shared" si="45"/>
        <v>1</v>
      </c>
      <c r="AW56">
        <f t="shared" si="46"/>
        <v>1</v>
      </c>
      <c r="AX56">
        <f t="shared" si="47"/>
        <v>1</v>
      </c>
      <c r="AY56">
        <f t="shared" si="48"/>
        <v>55000</v>
      </c>
      <c r="AZ56">
        <f t="shared" si="49"/>
        <v>55000</v>
      </c>
      <c r="BA56">
        <f t="shared" si="50"/>
        <v>0</v>
      </c>
      <c r="BB56">
        <f t="shared" si="51"/>
        <v>0</v>
      </c>
      <c r="BC56">
        <f t="shared" si="52"/>
        <v>0</v>
      </c>
      <c r="BD56">
        <f t="shared" si="53"/>
        <v>0</v>
      </c>
      <c r="BE56">
        <f t="shared" si="54"/>
        <v>0</v>
      </c>
      <c r="BF56">
        <f t="shared" si="55"/>
        <v>0</v>
      </c>
      <c r="BG56"/>
      <c r="BH56"/>
      <c r="BI56"/>
      <c r="BJ56"/>
      <c r="BK56"/>
      <c r="BL56"/>
      <c r="BM56"/>
      <c r="BN56"/>
      <c r="BO56"/>
      <c r="BP56"/>
      <c r="BQ56"/>
      <c r="BR56"/>
      <c r="BS56"/>
      <c r="BT56"/>
      <c r="BU56"/>
      <c r="BV56"/>
      <c r="BW56"/>
      <c r="BX56"/>
      <c r="BY56"/>
      <c r="BZ56"/>
      <c r="CA56"/>
      <c r="CB56"/>
      <c r="CC56"/>
      <c r="CD56"/>
      <c r="CE56"/>
      <c r="CF56"/>
      <c r="CG56"/>
      <c r="CH56"/>
      <c r="CI56"/>
      <c r="CJ56"/>
      <c r="CK56"/>
      <c r="CL56"/>
      <c r="CM56"/>
      <c r="CN56"/>
      <c r="CO56"/>
      <c r="CP56"/>
      <c r="CQ56"/>
      <c r="CR56"/>
      <c r="CS56"/>
      <c r="CT56"/>
      <c r="CU56"/>
      <c r="CV56"/>
      <c r="CW56"/>
      <c r="CX56"/>
      <c r="CY56"/>
      <c r="CZ56"/>
      <c r="DA56"/>
      <c r="DB56"/>
      <c r="DC56"/>
      <c r="DD56"/>
      <c r="DE56"/>
      <c r="DF56"/>
      <c r="DG56"/>
      <c r="DH56"/>
      <c r="DI56"/>
      <c r="DJ56"/>
      <c r="DK56"/>
      <c r="DL56"/>
      <c r="DM56"/>
      <c r="DN56"/>
      <c r="DO56"/>
      <c r="DP56"/>
      <c r="DQ56"/>
      <c r="DR56"/>
      <c r="DS56"/>
      <c r="DT56"/>
      <c r="DU56"/>
      <c r="DV56"/>
      <c r="DW56"/>
      <c r="DX56"/>
      <c r="DY56"/>
      <c r="DZ56"/>
      <c r="EA56"/>
      <c r="EB56"/>
      <c r="EC56"/>
      <c r="ED56"/>
      <c r="EE56"/>
      <c r="EF56"/>
      <c r="EG56"/>
      <c r="EH56"/>
      <c r="EI56"/>
      <c r="EJ56"/>
      <c r="EK56"/>
      <c r="EL56"/>
      <c r="EM56"/>
      <c r="EN56"/>
      <c r="EO56"/>
      <c r="EP56"/>
      <c r="EQ56"/>
      <c r="ER56"/>
      <c r="ES56"/>
      <c r="ET56"/>
      <c r="EU56"/>
      <c r="EV56"/>
      <c r="EW56"/>
      <c r="EX56"/>
      <c r="EY56"/>
      <c r="EZ56"/>
      <c r="FA56"/>
      <c r="FB56"/>
      <c r="FC56"/>
      <c r="FD56"/>
      <c r="FE56"/>
      <c r="FF56"/>
      <c r="FG56"/>
      <c r="FH56"/>
      <c r="FI56"/>
      <c r="FJ56"/>
      <c r="FK56"/>
      <c r="FL56"/>
      <c r="FM56"/>
      <c r="FN56"/>
      <c r="FO56"/>
      <c r="FP56"/>
      <c r="FQ56"/>
      <c r="FR56"/>
      <c r="FS56"/>
      <c r="FT56"/>
      <c r="FU56"/>
      <c r="FV56"/>
      <c r="FW56"/>
      <c r="FX56"/>
      <c r="FY56"/>
      <c r="FZ56"/>
      <c r="GA56"/>
      <c r="GB56"/>
      <c r="GC56"/>
      <c r="GD56"/>
      <c r="GE56"/>
      <c r="GF56"/>
      <c r="GG56"/>
      <c r="GH56"/>
      <c r="GI56"/>
      <c r="GJ56"/>
      <c r="GK56"/>
      <c r="GL56"/>
      <c r="GM56"/>
      <c r="GN56"/>
      <c r="GO56"/>
      <c r="GP56"/>
      <c r="GQ56"/>
      <c r="GR56"/>
      <c r="GS56"/>
      <c r="GT56"/>
      <c r="GU56"/>
      <c r="GV56"/>
      <c r="GW56"/>
      <c r="GX56"/>
      <c r="GY56"/>
      <c r="GZ56"/>
      <c r="HA56"/>
      <c r="HB56"/>
      <c r="HC56"/>
      <c r="HD56"/>
      <c r="HE56"/>
      <c r="HF56"/>
      <c r="HG56"/>
      <c r="HH56"/>
      <c r="HI56"/>
      <c r="HJ56"/>
      <c r="HK56"/>
      <c r="HL56"/>
      <c r="HM56"/>
      <c r="HN56"/>
      <c r="HO56"/>
      <c r="HP56"/>
      <c r="HQ56"/>
      <c r="HR56"/>
      <c r="HS56"/>
      <c r="HT56"/>
      <c r="HU56"/>
      <c r="HV56"/>
      <c r="HW56"/>
      <c r="HX56"/>
      <c r="HY56"/>
      <c r="HZ56"/>
      <c r="IA56"/>
      <c r="IB56"/>
      <c r="IC56"/>
      <c r="ID56"/>
      <c r="IE56"/>
      <c r="IF56"/>
      <c r="IG56"/>
      <c r="IH56"/>
      <c r="II56"/>
      <c r="IJ56"/>
      <c r="IK56"/>
      <c r="IL56"/>
      <c r="IM56"/>
      <c r="IN56"/>
      <c r="IO56"/>
      <c r="IP56"/>
      <c r="IQ56"/>
      <c r="IR56"/>
      <c r="IS56"/>
      <c r="IT56"/>
      <c r="IU56"/>
      <c r="IV56"/>
    </row>
    <row r="57" spans="1:256" s="201" customFormat="1" ht="14.25" x14ac:dyDescent="0.2">
      <c r="A57" s="10">
        <v>2853</v>
      </c>
      <c r="B57" s="11" t="s">
        <v>273</v>
      </c>
      <c r="C57" s="105" t="s">
        <v>274</v>
      </c>
      <c r="D57" s="11" t="s">
        <v>105</v>
      </c>
      <c r="E57" s="12">
        <v>11750</v>
      </c>
      <c r="F57" s="202">
        <v>42</v>
      </c>
      <c r="G57" s="11">
        <v>45000</v>
      </c>
      <c r="H57" s="116">
        <v>-70000</v>
      </c>
      <c r="I57" s="192"/>
      <c r="J57" s="204"/>
      <c r="K57" s="193"/>
      <c r="L57" s="193"/>
      <c r="M57" s="193"/>
      <c r="N57" s="203">
        <f t="shared" si="28"/>
        <v>45000</v>
      </c>
      <c r="O57" s="203">
        <f t="shared" si="29"/>
        <v>-25000</v>
      </c>
      <c r="P57" s="203">
        <f t="shared" si="30"/>
        <v>0</v>
      </c>
      <c r="Q57" s="214"/>
      <c r="R57" s="219"/>
      <c r="S57" s="217">
        <v>46230</v>
      </c>
      <c r="T57" s="205"/>
      <c r="U57" s="205"/>
      <c r="V57" s="215"/>
      <c r="W57" s="212"/>
      <c r="X57" s="10">
        <v>7</v>
      </c>
      <c r="Y57" s="10">
        <v>7</v>
      </c>
      <c r="Z57" s="213">
        <f t="shared" si="31"/>
        <v>45000</v>
      </c>
      <c r="AA57" s="62"/>
      <c r="AB57" s="62"/>
      <c r="AC57" s="62"/>
      <c r="AD57" s="62"/>
      <c r="AE57" s="62"/>
      <c r="AF57" s="63"/>
      <c r="AG57" s="64"/>
      <c r="AH57" s="6">
        <v>1</v>
      </c>
      <c r="AI57">
        <f t="shared" si="32"/>
        <v>25</v>
      </c>
      <c r="AJ57">
        <f t="shared" si="33"/>
        <v>25</v>
      </c>
      <c r="AK57">
        <f t="shared" si="34"/>
        <v>0</v>
      </c>
      <c r="AL57">
        <f t="shared" si="35"/>
        <v>0</v>
      </c>
      <c r="AM57">
        <f t="shared" si="36"/>
        <v>0</v>
      </c>
      <c r="AN57">
        <f t="shared" si="37"/>
        <v>0</v>
      </c>
      <c r="AO57">
        <f t="shared" si="38"/>
        <v>0</v>
      </c>
      <c r="AP57">
        <f t="shared" si="39"/>
        <v>0</v>
      </c>
      <c r="AQ57">
        <f t="shared" si="40"/>
        <v>0</v>
      </c>
      <c r="AR57">
        <f t="shared" si="41"/>
        <v>0</v>
      </c>
      <c r="AS57">
        <f t="shared" si="42"/>
        <v>0</v>
      </c>
      <c r="AT57">
        <f t="shared" si="43"/>
        <v>0</v>
      </c>
      <c r="AU57">
        <f t="shared" si="44"/>
        <v>0</v>
      </c>
      <c r="AV57">
        <f t="shared" si="45"/>
        <v>0</v>
      </c>
      <c r="AW57">
        <f t="shared" si="46"/>
        <v>0</v>
      </c>
      <c r="AX57">
        <f t="shared" si="47"/>
        <v>0</v>
      </c>
      <c r="AY57">
        <f t="shared" si="48"/>
        <v>0</v>
      </c>
      <c r="AZ57">
        <f t="shared" si="49"/>
        <v>0</v>
      </c>
      <c r="BA57">
        <f t="shared" si="50"/>
        <v>0</v>
      </c>
      <c r="BB57">
        <f t="shared" si="51"/>
        <v>0</v>
      </c>
      <c r="BC57">
        <f t="shared" si="52"/>
        <v>0</v>
      </c>
      <c r="BD57">
        <f t="shared" si="53"/>
        <v>0</v>
      </c>
      <c r="BE57">
        <f t="shared" si="54"/>
        <v>0</v>
      </c>
      <c r="BF57">
        <f t="shared" si="55"/>
        <v>0</v>
      </c>
      <c r="BG57"/>
      <c r="BH57"/>
      <c r="BI57"/>
      <c r="BJ57"/>
      <c r="BK57"/>
      <c r="BL57"/>
      <c r="BM57"/>
      <c r="BN57"/>
      <c r="BO57"/>
      <c r="BP57"/>
      <c r="BQ57"/>
      <c r="BR57"/>
      <c r="BS57"/>
      <c r="BT57"/>
      <c r="BU57"/>
      <c r="BV57"/>
      <c r="BW57"/>
      <c r="BX57"/>
      <c r="BY57"/>
      <c r="BZ57"/>
      <c r="CA57"/>
      <c r="CB57"/>
      <c r="CC57"/>
      <c r="CD57"/>
      <c r="CE57"/>
      <c r="CF57"/>
      <c r="CG57"/>
      <c r="CH57"/>
      <c r="CI57"/>
      <c r="CJ57"/>
      <c r="CK57"/>
      <c r="CL57"/>
      <c r="CM57"/>
      <c r="CN57"/>
      <c r="CO57"/>
      <c r="CP57"/>
      <c r="CQ57"/>
      <c r="CR57"/>
      <c r="CS57"/>
      <c r="CT57"/>
      <c r="CU57"/>
      <c r="CV57"/>
      <c r="CW57"/>
      <c r="CX57"/>
      <c r="CY57"/>
      <c r="CZ57"/>
      <c r="DA57"/>
      <c r="DB57"/>
      <c r="DC57"/>
      <c r="DD57"/>
      <c r="DE57"/>
      <c r="DF57"/>
      <c r="DG57"/>
      <c r="DH57"/>
      <c r="DI57"/>
      <c r="DJ57"/>
      <c r="DK57"/>
      <c r="DL57"/>
      <c r="DM57"/>
      <c r="DN57"/>
      <c r="DO57"/>
      <c r="DP57"/>
      <c r="DQ57"/>
      <c r="DR57"/>
      <c r="DS57"/>
      <c r="DT57"/>
      <c r="DU57"/>
      <c r="DV57"/>
      <c r="DW57"/>
      <c r="DX57"/>
      <c r="DY57"/>
      <c r="DZ57"/>
      <c r="EA57"/>
      <c r="EB57"/>
      <c r="EC57"/>
      <c r="ED57"/>
      <c r="EE57"/>
      <c r="EF57"/>
      <c r="EG57"/>
      <c r="EH57"/>
      <c r="EI57"/>
      <c r="EJ57"/>
      <c r="EK57"/>
      <c r="EL57"/>
      <c r="EM57"/>
      <c r="EN57"/>
      <c r="EO57"/>
      <c r="EP57"/>
      <c r="EQ57"/>
      <c r="ER57"/>
      <c r="ES57"/>
      <c r="ET57"/>
      <c r="EU57"/>
      <c r="EV57"/>
      <c r="EW57"/>
      <c r="EX57"/>
      <c r="EY57"/>
      <c r="EZ57"/>
      <c r="FA57"/>
      <c r="FB57"/>
      <c r="FC57"/>
      <c r="FD57"/>
      <c r="FE57"/>
      <c r="FF57"/>
      <c r="FG57"/>
      <c r="FH57"/>
      <c r="FI57"/>
      <c r="FJ57"/>
      <c r="FK57"/>
      <c r="FL57"/>
      <c r="FM57"/>
      <c r="FN57"/>
      <c r="FO57"/>
      <c r="FP57"/>
      <c r="FQ57"/>
      <c r="FR57"/>
      <c r="FS57"/>
      <c r="FT57"/>
      <c r="FU57"/>
      <c r="FV57"/>
      <c r="FW57"/>
      <c r="FX57"/>
      <c r="FY57"/>
      <c r="FZ57"/>
      <c r="GA57"/>
      <c r="GB57"/>
      <c r="GC57"/>
      <c r="GD57"/>
      <c r="GE57"/>
      <c r="GF57"/>
      <c r="GG57"/>
      <c r="GH57"/>
      <c r="GI57"/>
      <c r="GJ57"/>
      <c r="GK57"/>
      <c r="GL57"/>
      <c r="GM57"/>
      <c r="GN57"/>
      <c r="GO57"/>
      <c r="GP57"/>
      <c r="GQ57"/>
      <c r="GR57"/>
      <c r="GS57"/>
      <c r="GT57"/>
      <c r="GU57"/>
      <c r="GV57"/>
      <c r="GW57"/>
      <c r="GX57"/>
      <c r="GY57"/>
      <c r="GZ57"/>
      <c r="HA57"/>
      <c r="HB57"/>
      <c r="HC57"/>
      <c r="HD57"/>
      <c r="HE57"/>
      <c r="HF57"/>
      <c r="HG57"/>
      <c r="HH57"/>
      <c r="HI57"/>
      <c r="HJ57"/>
      <c r="HK57"/>
      <c r="HL57"/>
      <c r="HM57"/>
      <c r="HN57"/>
      <c r="HO57"/>
      <c r="HP57"/>
      <c r="HQ57"/>
      <c r="HR57"/>
      <c r="HS57"/>
      <c r="HT57"/>
      <c r="HU57"/>
      <c r="HV57"/>
      <c r="HW57"/>
      <c r="HX57"/>
      <c r="HY57"/>
      <c r="HZ57"/>
      <c r="IA57"/>
      <c r="IB57"/>
      <c r="IC57"/>
      <c r="ID57"/>
      <c r="IE57"/>
      <c r="IF57"/>
      <c r="IG57"/>
      <c r="IH57"/>
      <c r="II57"/>
      <c r="IJ57"/>
      <c r="IK57"/>
      <c r="IL57"/>
      <c r="IM57"/>
      <c r="IN57"/>
      <c r="IO57"/>
      <c r="IP57"/>
      <c r="IQ57"/>
      <c r="IR57"/>
      <c r="IS57"/>
      <c r="IT57"/>
      <c r="IU57"/>
      <c r="IV57"/>
    </row>
    <row r="58" spans="1:256" s="201" customFormat="1" ht="14.25" x14ac:dyDescent="0.2">
      <c r="A58" s="10">
        <v>2872</v>
      </c>
      <c r="B58" s="11" t="s">
        <v>384</v>
      </c>
      <c r="C58" s="105" t="s">
        <v>385</v>
      </c>
      <c r="D58" s="11" t="s">
        <v>369</v>
      </c>
      <c r="E58" s="12">
        <v>11648</v>
      </c>
      <c r="F58" s="202">
        <v>41</v>
      </c>
      <c r="G58" s="11">
        <v>55000</v>
      </c>
      <c r="H58" s="116">
        <v>0</v>
      </c>
      <c r="I58" s="192"/>
      <c r="J58" s="204"/>
      <c r="K58" s="193"/>
      <c r="L58" s="193"/>
      <c r="M58" s="193"/>
      <c r="N58" s="203">
        <f t="shared" si="28"/>
        <v>55000</v>
      </c>
      <c r="O58" s="203">
        <f t="shared" si="29"/>
        <v>55000</v>
      </c>
      <c r="P58" s="203">
        <f t="shared" si="30"/>
        <v>55000</v>
      </c>
      <c r="Q58" s="214"/>
      <c r="R58" s="219"/>
      <c r="S58" s="217">
        <v>46220</v>
      </c>
      <c r="T58" s="205"/>
      <c r="U58" s="205"/>
      <c r="V58" s="215"/>
      <c r="W58" s="212"/>
      <c r="X58" s="10">
        <v>7</v>
      </c>
      <c r="Y58" s="10">
        <v>7</v>
      </c>
      <c r="Z58" s="213">
        <f t="shared" si="31"/>
        <v>55000</v>
      </c>
      <c r="AA58" s="62"/>
      <c r="AB58" s="62"/>
      <c r="AC58" s="62"/>
      <c r="AD58" s="62"/>
      <c r="AE58" s="62"/>
      <c r="AF58" s="63"/>
      <c r="AG58" s="64"/>
      <c r="AH58" s="6">
        <v>1</v>
      </c>
      <c r="AI58">
        <f t="shared" si="32"/>
        <v>25</v>
      </c>
      <c r="AJ58">
        <f t="shared" si="33"/>
        <v>25</v>
      </c>
      <c r="AK58">
        <f t="shared" si="34"/>
        <v>0</v>
      </c>
      <c r="AL58">
        <f t="shared" si="35"/>
        <v>0</v>
      </c>
      <c r="AM58">
        <f t="shared" si="36"/>
        <v>0</v>
      </c>
      <c r="AN58">
        <f t="shared" si="37"/>
        <v>0</v>
      </c>
      <c r="AO58">
        <f t="shared" si="38"/>
        <v>0</v>
      </c>
      <c r="AP58">
        <f t="shared" si="39"/>
        <v>0</v>
      </c>
      <c r="AQ58">
        <f t="shared" si="40"/>
        <v>0</v>
      </c>
      <c r="AR58">
        <f t="shared" si="41"/>
        <v>0</v>
      </c>
      <c r="AS58">
        <f t="shared" si="42"/>
        <v>0</v>
      </c>
      <c r="AT58">
        <f t="shared" si="43"/>
        <v>0</v>
      </c>
      <c r="AU58">
        <f t="shared" si="44"/>
        <v>1</v>
      </c>
      <c r="AV58">
        <f t="shared" si="45"/>
        <v>1</v>
      </c>
      <c r="AW58">
        <f t="shared" si="46"/>
        <v>1</v>
      </c>
      <c r="AX58">
        <f t="shared" si="47"/>
        <v>1</v>
      </c>
      <c r="AY58">
        <f t="shared" si="48"/>
        <v>55000</v>
      </c>
      <c r="AZ58">
        <f t="shared" si="49"/>
        <v>55000</v>
      </c>
      <c r="BA58">
        <f t="shared" si="50"/>
        <v>0</v>
      </c>
      <c r="BB58">
        <f t="shared" si="51"/>
        <v>0</v>
      </c>
      <c r="BC58">
        <f t="shared" si="52"/>
        <v>0</v>
      </c>
      <c r="BD58">
        <f t="shared" si="53"/>
        <v>0</v>
      </c>
      <c r="BE58">
        <f t="shared" si="54"/>
        <v>0</v>
      </c>
      <c r="BF58">
        <f t="shared" si="55"/>
        <v>0</v>
      </c>
      <c r="BG58"/>
      <c r="BH58"/>
      <c r="BI58"/>
      <c r="BJ58"/>
      <c r="BK58"/>
      <c r="BL58"/>
      <c r="BM58"/>
      <c r="BN58"/>
      <c r="BO58"/>
      <c r="BP58"/>
      <c r="BQ58"/>
      <c r="BR58"/>
      <c r="BS58"/>
      <c r="BT58"/>
      <c r="BU58"/>
      <c r="BV58"/>
      <c r="BW58"/>
      <c r="BX58"/>
      <c r="BY58"/>
      <c r="BZ58"/>
      <c r="CA58"/>
      <c r="CB58"/>
      <c r="CC58"/>
      <c r="CD58"/>
      <c r="CE58"/>
      <c r="CF58"/>
      <c r="CG58"/>
      <c r="CH58"/>
      <c r="CI58"/>
      <c r="CJ58"/>
      <c r="CK58"/>
      <c r="CL58"/>
      <c r="CM58"/>
      <c r="CN58"/>
      <c r="CO58"/>
      <c r="CP58"/>
      <c r="CQ58"/>
      <c r="CR58"/>
      <c r="CS58"/>
      <c r="CT58"/>
      <c r="CU58"/>
      <c r="CV58"/>
      <c r="CW58"/>
      <c r="CX58"/>
      <c r="CY58"/>
      <c r="CZ58"/>
      <c r="DA58"/>
      <c r="DB58"/>
      <c r="DC58"/>
      <c r="DD58"/>
      <c r="DE58"/>
      <c r="DF58"/>
      <c r="DG58"/>
      <c r="DH58"/>
      <c r="DI58"/>
      <c r="DJ58"/>
      <c r="DK58"/>
      <c r="DL58"/>
      <c r="DM58"/>
      <c r="DN58"/>
      <c r="DO58"/>
      <c r="DP58"/>
      <c r="DQ58"/>
      <c r="DR58"/>
      <c r="DS58"/>
      <c r="DT58"/>
      <c r="DU58"/>
      <c r="DV58"/>
      <c r="DW58"/>
      <c r="DX58"/>
      <c r="DY58"/>
      <c r="DZ58"/>
      <c r="EA58"/>
      <c r="EB58"/>
      <c r="EC58"/>
      <c r="ED58"/>
      <c r="EE58"/>
      <c r="EF58"/>
      <c r="EG58"/>
      <c r="EH58"/>
      <c r="EI58"/>
      <c r="EJ58"/>
      <c r="EK58"/>
      <c r="EL58"/>
      <c r="EM58"/>
      <c r="EN58"/>
      <c r="EO58"/>
      <c r="EP58"/>
      <c r="EQ58"/>
      <c r="ER58"/>
      <c r="ES58"/>
      <c r="ET58"/>
      <c r="EU58"/>
      <c r="EV58"/>
      <c r="EW58"/>
      <c r="EX58"/>
      <c r="EY58"/>
      <c r="EZ58"/>
      <c r="FA58"/>
      <c r="FB58"/>
      <c r="FC58"/>
      <c r="FD58"/>
      <c r="FE58"/>
      <c r="FF58"/>
      <c r="FG58"/>
      <c r="FH58"/>
      <c r="FI58"/>
      <c r="FJ58"/>
      <c r="FK58"/>
      <c r="FL58"/>
      <c r="FM58"/>
      <c r="FN58"/>
      <c r="FO58"/>
      <c r="FP58"/>
      <c r="FQ58"/>
      <c r="FR58"/>
      <c r="FS58"/>
      <c r="FT58"/>
      <c r="FU58"/>
      <c r="FV58"/>
      <c r="FW58"/>
      <c r="FX58"/>
      <c r="FY58"/>
      <c r="FZ58"/>
      <c r="GA58"/>
      <c r="GB58"/>
      <c r="GC58"/>
      <c r="GD58"/>
      <c r="GE58"/>
      <c r="GF58"/>
      <c r="GG58"/>
      <c r="GH58"/>
      <c r="GI58"/>
      <c r="GJ58"/>
      <c r="GK58"/>
      <c r="GL58"/>
      <c r="GM58"/>
      <c r="GN58"/>
      <c r="GO58"/>
      <c r="GP58"/>
      <c r="GQ58"/>
      <c r="GR58"/>
      <c r="GS58"/>
      <c r="GT58"/>
      <c r="GU58"/>
      <c r="GV58"/>
      <c r="GW58"/>
      <c r="GX58"/>
      <c r="GY58"/>
      <c r="GZ58"/>
      <c r="HA58"/>
      <c r="HB58"/>
      <c r="HC58"/>
      <c r="HD58"/>
      <c r="HE58"/>
      <c r="HF58"/>
      <c r="HG58"/>
      <c r="HH58"/>
      <c r="HI58"/>
      <c r="HJ58"/>
      <c r="HK58"/>
      <c r="HL58"/>
      <c r="HM58"/>
      <c r="HN58"/>
      <c r="HO58"/>
      <c r="HP58"/>
      <c r="HQ58"/>
      <c r="HR58"/>
      <c r="HS58"/>
      <c r="HT58"/>
      <c r="HU58"/>
      <c r="HV58"/>
      <c r="HW58"/>
      <c r="HX58"/>
      <c r="HY58"/>
      <c r="HZ58"/>
      <c r="IA58"/>
      <c r="IB58"/>
      <c r="IC58"/>
      <c r="ID58"/>
      <c r="IE58"/>
      <c r="IF58"/>
      <c r="IG58"/>
      <c r="IH58"/>
      <c r="II58"/>
      <c r="IJ58"/>
      <c r="IK58"/>
      <c r="IL58"/>
      <c r="IM58"/>
      <c r="IN58"/>
      <c r="IO58"/>
      <c r="IP58"/>
      <c r="IQ58"/>
      <c r="IR58"/>
      <c r="IS58"/>
      <c r="IT58"/>
      <c r="IU58"/>
      <c r="IV58"/>
    </row>
    <row r="59" spans="1:256" s="201" customFormat="1" ht="14.25" x14ac:dyDescent="0.2">
      <c r="A59" s="10">
        <v>2877</v>
      </c>
      <c r="B59" s="11" t="s">
        <v>246</v>
      </c>
      <c r="C59" s="105" t="s">
        <v>247</v>
      </c>
      <c r="D59" s="11" t="s">
        <v>105</v>
      </c>
      <c r="E59" s="12">
        <v>11783</v>
      </c>
      <c r="F59" s="202">
        <v>41</v>
      </c>
      <c r="G59" s="11">
        <v>40000</v>
      </c>
      <c r="H59" s="116">
        <v>-20000</v>
      </c>
      <c r="I59" s="192"/>
      <c r="J59" s="204"/>
      <c r="K59" s="193"/>
      <c r="L59" s="193"/>
      <c r="M59" s="193"/>
      <c r="N59" s="203">
        <f t="shared" si="28"/>
        <v>40000</v>
      </c>
      <c r="O59" s="203">
        <f t="shared" si="29"/>
        <v>20000</v>
      </c>
      <c r="P59" s="203">
        <f t="shared" si="30"/>
        <v>20000</v>
      </c>
      <c r="Q59" s="214"/>
      <c r="R59" s="219"/>
      <c r="S59" s="217">
        <v>46234</v>
      </c>
      <c r="T59" s="205"/>
      <c r="U59" s="205"/>
      <c r="V59" s="215"/>
      <c r="W59" s="212"/>
      <c r="X59" s="10">
        <v>7</v>
      </c>
      <c r="Y59" s="10">
        <v>7</v>
      </c>
      <c r="Z59" s="213">
        <f t="shared" si="31"/>
        <v>40000</v>
      </c>
      <c r="AA59" s="62"/>
      <c r="AB59" s="62"/>
      <c r="AC59" s="62"/>
      <c r="AD59" s="62"/>
      <c r="AE59" s="62"/>
      <c r="AF59" s="63"/>
      <c r="AG59" s="64"/>
      <c r="AH59" s="6">
        <v>1</v>
      </c>
      <c r="AI59">
        <f t="shared" si="32"/>
        <v>25</v>
      </c>
      <c r="AJ59">
        <f t="shared" si="33"/>
        <v>25</v>
      </c>
      <c r="AK59">
        <f t="shared" si="34"/>
        <v>0</v>
      </c>
      <c r="AL59">
        <f t="shared" si="35"/>
        <v>0</v>
      </c>
      <c r="AM59">
        <f t="shared" si="36"/>
        <v>0</v>
      </c>
      <c r="AN59">
        <f t="shared" si="37"/>
        <v>0</v>
      </c>
      <c r="AO59">
        <f t="shared" si="38"/>
        <v>0</v>
      </c>
      <c r="AP59">
        <f t="shared" si="39"/>
        <v>0</v>
      </c>
      <c r="AQ59">
        <f t="shared" si="40"/>
        <v>0</v>
      </c>
      <c r="AR59">
        <f t="shared" si="41"/>
        <v>0</v>
      </c>
      <c r="AS59">
        <f t="shared" si="42"/>
        <v>0</v>
      </c>
      <c r="AT59">
        <f t="shared" si="43"/>
        <v>0</v>
      </c>
      <c r="AU59">
        <f t="shared" si="44"/>
        <v>1</v>
      </c>
      <c r="AV59">
        <f t="shared" si="45"/>
        <v>1</v>
      </c>
      <c r="AW59">
        <f t="shared" si="46"/>
        <v>1</v>
      </c>
      <c r="AX59">
        <f t="shared" si="47"/>
        <v>1</v>
      </c>
      <c r="AY59">
        <f t="shared" si="48"/>
        <v>20000</v>
      </c>
      <c r="AZ59">
        <f t="shared" si="49"/>
        <v>20000</v>
      </c>
      <c r="BA59">
        <f t="shared" si="50"/>
        <v>0</v>
      </c>
      <c r="BB59">
        <f t="shared" si="51"/>
        <v>0</v>
      </c>
      <c r="BC59">
        <f t="shared" si="52"/>
        <v>0</v>
      </c>
      <c r="BD59">
        <f t="shared" si="53"/>
        <v>0</v>
      </c>
      <c r="BE59">
        <f t="shared" si="54"/>
        <v>0</v>
      </c>
      <c r="BF59">
        <f t="shared" si="55"/>
        <v>0</v>
      </c>
      <c r="BG59"/>
      <c r="BH59"/>
      <c r="BI59"/>
      <c r="BJ59"/>
      <c r="BK59"/>
      <c r="BL59"/>
      <c r="BM59"/>
      <c r="BN59"/>
      <c r="BO59"/>
      <c r="BP59"/>
      <c r="BQ59"/>
      <c r="BR59"/>
      <c r="BS59"/>
      <c r="BT59"/>
      <c r="BU59"/>
      <c r="BV59"/>
      <c r="BW59"/>
      <c r="BX59"/>
      <c r="BY59"/>
      <c r="BZ59"/>
      <c r="CA59"/>
      <c r="CB59"/>
      <c r="CC59"/>
      <c r="CD59"/>
      <c r="CE59"/>
      <c r="CF59"/>
      <c r="CG59"/>
      <c r="CH59"/>
      <c r="CI59"/>
      <c r="CJ59"/>
      <c r="CK59"/>
      <c r="CL59"/>
      <c r="CM59"/>
      <c r="CN59"/>
      <c r="CO59"/>
      <c r="CP59"/>
      <c r="CQ59"/>
      <c r="CR59"/>
      <c r="CS59"/>
      <c r="CT59"/>
      <c r="CU59"/>
      <c r="CV59"/>
      <c r="CW59"/>
      <c r="CX59"/>
      <c r="CY59"/>
      <c r="CZ59"/>
      <c r="DA59"/>
      <c r="DB59"/>
      <c r="DC59"/>
      <c r="DD59"/>
      <c r="DE59"/>
      <c r="DF59"/>
      <c r="DG59"/>
      <c r="DH59"/>
      <c r="DI59"/>
      <c r="DJ59"/>
      <c r="DK59"/>
      <c r="DL59"/>
      <c r="DM59"/>
      <c r="DN59"/>
      <c r="DO59"/>
      <c r="DP59"/>
      <c r="DQ59"/>
      <c r="DR59"/>
      <c r="DS59"/>
      <c r="DT59"/>
      <c r="DU59"/>
      <c r="DV59"/>
      <c r="DW59"/>
      <c r="DX59"/>
      <c r="DY59"/>
      <c r="DZ59"/>
      <c r="EA59"/>
      <c r="EB59"/>
      <c r="EC59"/>
      <c r="ED59"/>
      <c r="EE59"/>
      <c r="EF59"/>
      <c r="EG59"/>
      <c r="EH59"/>
      <c r="EI59"/>
      <c r="EJ59"/>
      <c r="EK59"/>
      <c r="EL59"/>
      <c r="EM59"/>
      <c r="EN59"/>
      <c r="EO59"/>
      <c r="EP59"/>
      <c r="EQ59"/>
      <c r="ER59"/>
      <c r="ES59"/>
      <c r="ET59"/>
      <c r="EU59"/>
      <c r="EV59"/>
      <c r="EW59"/>
      <c r="EX59"/>
      <c r="EY59"/>
      <c r="EZ59"/>
      <c r="FA59"/>
      <c r="FB59"/>
      <c r="FC59"/>
      <c r="FD59"/>
      <c r="FE59"/>
      <c r="FF59"/>
      <c r="FG59"/>
      <c r="FH59"/>
      <c r="FI59"/>
      <c r="FJ59"/>
      <c r="FK59"/>
      <c r="FL59"/>
      <c r="FM59"/>
      <c r="FN59"/>
      <c r="FO59"/>
      <c r="FP59"/>
      <c r="FQ59"/>
      <c r="FR59"/>
      <c r="FS59"/>
      <c r="FT59"/>
      <c r="FU59"/>
      <c r="FV59"/>
      <c r="FW59"/>
      <c r="FX59"/>
      <c r="FY59"/>
      <c r="FZ59"/>
      <c r="GA59"/>
      <c r="GB59"/>
      <c r="GC59"/>
      <c r="GD59"/>
      <c r="GE59"/>
      <c r="GF59"/>
      <c r="GG59"/>
      <c r="GH59"/>
      <c r="GI59"/>
      <c r="GJ59"/>
      <c r="GK59"/>
      <c r="GL59"/>
      <c r="GM59"/>
      <c r="GN59"/>
      <c r="GO59"/>
      <c r="GP59"/>
      <c r="GQ59"/>
      <c r="GR59"/>
      <c r="GS59"/>
      <c r="GT59"/>
      <c r="GU59"/>
      <c r="GV59"/>
      <c r="GW59"/>
      <c r="GX59"/>
      <c r="GY59"/>
      <c r="GZ59"/>
      <c r="HA59"/>
      <c r="HB59"/>
      <c r="HC59"/>
      <c r="HD59"/>
      <c r="HE59"/>
      <c r="HF59"/>
      <c r="HG59"/>
      <c r="HH59"/>
      <c r="HI59"/>
      <c r="HJ59"/>
      <c r="HK59"/>
      <c r="HL59"/>
      <c r="HM59"/>
      <c r="HN59"/>
      <c r="HO59"/>
      <c r="HP59"/>
      <c r="HQ59"/>
      <c r="HR59"/>
      <c r="HS59"/>
      <c r="HT59"/>
      <c r="HU59"/>
      <c r="HV59"/>
      <c r="HW59"/>
      <c r="HX59"/>
      <c r="HY59"/>
      <c r="HZ59"/>
      <c r="IA59"/>
      <c r="IB59"/>
      <c r="IC59"/>
      <c r="ID59"/>
      <c r="IE59"/>
      <c r="IF59"/>
      <c r="IG59"/>
      <c r="IH59"/>
      <c r="II59"/>
      <c r="IJ59"/>
      <c r="IK59"/>
      <c r="IL59"/>
      <c r="IM59"/>
      <c r="IN59"/>
      <c r="IO59"/>
      <c r="IP59"/>
      <c r="IQ59"/>
      <c r="IR59"/>
      <c r="IS59"/>
      <c r="IT59"/>
      <c r="IU59"/>
      <c r="IV59"/>
    </row>
    <row r="60" spans="1:256" s="201" customFormat="1" ht="14.25" x14ac:dyDescent="0.2">
      <c r="A60" s="10">
        <v>2890</v>
      </c>
      <c r="B60" s="11" t="s">
        <v>386</v>
      </c>
      <c r="C60" s="105" t="s">
        <v>387</v>
      </c>
      <c r="D60" s="11" t="s">
        <v>105</v>
      </c>
      <c r="E60" s="12">
        <v>11801</v>
      </c>
      <c r="F60" s="202">
        <v>41</v>
      </c>
      <c r="G60" s="11">
        <v>90000</v>
      </c>
      <c r="H60" s="116">
        <v>0</v>
      </c>
      <c r="I60" s="192"/>
      <c r="J60" s="204"/>
      <c r="K60" s="193"/>
      <c r="L60" s="193"/>
      <c r="M60" s="193"/>
      <c r="N60" s="203">
        <f t="shared" si="28"/>
        <v>90000</v>
      </c>
      <c r="O60" s="203">
        <f t="shared" si="29"/>
        <v>90000</v>
      </c>
      <c r="P60" s="203">
        <f t="shared" si="30"/>
        <v>90000</v>
      </c>
      <c r="Q60" s="214"/>
      <c r="R60" s="219"/>
      <c r="S60" s="217">
        <v>46234</v>
      </c>
      <c r="T60" s="205"/>
      <c r="U60" s="205"/>
      <c r="V60" s="215"/>
      <c r="W60" s="212"/>
      <c r="X60" s="10">
        <v>7</v>
      </c>
      <c r="Y60" s="10">
        <v>7</v>
      </c>
      <c r="Z60" s="213">
        <f t="shared" si="31"/>
        <v>90000</v>
      </c>
      <c r="AA60" s="62"/>
      <c r="AB60" s="62"/>
      <c r="AC60" s="62"/>
      <c r="AD60" s="62"/>
      <c r="AE60" s="62"/>
      <c r="AF60" s="63"/>
      <c r="AG60" s="64"/>
      <c r="AH60" s="6">
        <v>1</v>
      </c>
      <c r="AI60">
        <f t="shared" si="32"/>
        <v>25</v>
      </c>
      <c r="AJ60">
        <f t="shared" si="33"/>
        <v>25</v>
      </c>
      <c r="AK60">
        <f t="shared" si="34"/>
        <v>0</v>
      </c>
      <c r="AL60">
        <f t="shared" si="35"/>
        <v>0</v>
      </c>
      <c r="AM60">
        <f t="shared" si="36"/>
        <v>0</v>
      </c>
      <c r="AN60">
        <f t="shared" si="37"/>
        <v>0</v>
      </c>
      <c r="AO60">
        <f t="shared" si="38"/>
        <v>0</v>
      </c>
      <c r="AP60">
        <f t="shared" si="39"/>
        <v>0</v>
      </c>
      <c r="AQ60">
        <f t="shared" si="40"/>
        <v>0</v>
      </c>
      <c r="AR60">
        <f t="shared" si="41"/>
        <v>0</v>
      </c>
      <c r="AS60">
        <f t="shared" si="42"/>
        <v>0</v>
      </c>
      <c r="AT60">
        <f t="shared" si="43"/>
        <v>0</v>
      </c>
      <c r="AU60">
        <f t="shared" si="44"/>
        <v>1</v>
      </c>
      <c r="AV60">
        <f t="shared" si="45"/>
        <v>1</v>
      </c>
      <c r="AW60">
        <f t="shared" si="46"/>
        <v>1</v>
      </c>
      <c r="AX60">
        <f t="shared" si="47"/>
        <v>1</v>
      </c>
      <c r="AY60">
        <f t="shared" si="48"/>
        <v>90000</v>
      </c>
      <c r="AZ60">
        <f t="shared" si="49"/>
        <v>90000</v>
      </c>
      <c r="BA60">
        <f t="shared" si="50"/>
        <v>0</v>
      </c>
      <c r="BB60">
        <f t="shared" si="51"/>
        <v>0</v>
      </c>
      <c r="BC60">
        <f t="shared" si="52"/>
        <v>0</v>
      </c>
      <c r="BD60">
        <f t="shared" si="53"/>
        <v>0</v>
      </c>
      <c r="BE60">
        <f t="shared" si="54"/>
        <v>0</v>
      </c>
      <c r="BF60">
        <f t="shared" si="55"/>
        <v>0</v>
      </c>
      <c r="BG60"/>
      <c r="BH60"/>
      <c r="BI60"/>
      <c r="BJ60"/>
      <c r="BK60"/>
      <c r="BL60"/>
      <c r="BM60"/>
      <c r="BN60"/>
      <c r="BO60"/>
      <c r="BP60"/>
      <c r="BQ60"/>
      <c r="BR60"/>
      <c r="BS60"/>
      <c r="BT60"/>
      <c r="BU60"/>
      <c r="BV60"/>
      <c r="BW60"/>
      <c r="BX60"/>
      <c r="BY60"/>
      <c r="BZ60"/>
      <c r="CA60"/>
      <c r="CB60"/>
      <c r="CC60"/>
      <c r="CD60"/>
      <c r="CE60"/>
      <c r="CF60"/>
      <c r="CG60"/>
      <c r="CH60"/>
      <c r="CI60"/>
      <c r="CJ60"/>
      <c r="CK60"/>
      <c r="CL60"/>
      <c r="CM60"/>
      <c r="CN60"/>
      <c r="CO60"/>
      <c r="CP60"/>
      <c r="CQ60"/>
      <c r="CR60"/>
      <c r="CS60"/>
      <c r="CT60"/>
      <c r="CU60"/>
      <c r="CV60"/>
      <c r="CW60"/>
      <c r="CX60"/>
      <c r="CY60"/>
      <c r="CZ60"/>
      <c r="DA60"/>
      <c r="DB60"/>
      <c r="DC60"/>
      <c r="DD60"/>
      <c r="DE60"/>
      <c r="DF60"/>
      <c r="DG60"/>
      <c r="DH60"/>
      <c r="DI60"/>
      <c r="DJ60"/>
      <c r="DK60"/>
      <c r="DL60"/>
      <c r="DM60"/>
      <c r="DN60"/>
      <c r="DO60"/>
      <c r="DP60"/>
      <c r="DQ60"/>
      <c r="DR60"/>
      <c r="DS60"/>
      <c r="DT60"/>
      <c r="DU60"/>
      <c r="DV60"/>
      <c r="DW60"/>
      <c r="DX60"/>
      <c r="DY60"/>
      <c r="DZ60"/>
      <c r="EA60"/>
      <c r="EB60"/>
      <c r="EC60"/>
      <c r="ED60"/>
      <c r="EE60"/>
      <c r="EF60"/>
      <c r="EG60"/>
      <c r="EH60"/>
      <c r="EI60"/>
      <c r="EJ60"/>
      <c r="EK60"/>
      <c r="EL60"/>
      <c r="EM60"/>
      <c r="EN60"/>
      <c r="EO60"/>
      <c r="EP60"/>
      <c r="EQ60"/>
      <c r="ER60"/>
      <c r="ES60"/>
      <c r="ET60"/>
      <c r="EU60"/>
      <c r="EV60"/>
      <c r="EW60"/>
      <c r="EX60"/>
      <c r="EY60"/>
      <c r="EZ60"/>
      <c r="FA60"/>
      <c r="FB60"/>
      <c r="FC60"/>
      <c r="FD60"/>
      <c r="FE60"/>
      <c r="FF60"/>
      <c r="FG60"/>
      <c r="FH60"/>
      <c r="FI60"/>
      <c r="FJ60"/>
      <c r="FK60"/>
      <c r="FL60"/>
      <c r="FM60"/>
      <c r="FN60"/>
      <c r="FO60"/>
      <c r="FP60"/>
      <c r="FQ60"/>
      <c r="FR60"/>
      <c r="FS60"/>
      <c r="FT60"/>
      <c r="FU60"/>
      <c r="FV60"/>
      <c r="FW60"/>
      <c r="FX60"/>
      <c r="FY60"/>
      <c r="FZ60"/>
      <c r="GA60"/>
      <c r="GB60"/>
      <c r="GC60"/>
      <c r="GD60"/>
      <c r="GE60"/>
      <c r="GF60"/>
      <c r="GG60"/>
      <c r="GH60"/>
      <c r="GI60"/>
      <c r="GJ60"/>
      <c r="GK60"/>
      <c r="GL60"/>
      <c r="GM60"/>
      <c r="GN60"/>
      <c r="GO60"/>
      <c r="GP60"/>
      <c r="GQ60"/>
      <c r="GR60"/>
      <c r="GS60"/>
      <c r="GT60"/>
      <c r="GU60"/>
      <c r="GV60"/>
      <c r="GW60"/>
      <c r="GX60"/>
      <c r="GY60"/>
      <c r="GZ60"/>
      <c r="HA60"/>
      <c r="HB60"/>
      <c r="HC60"/>
      <c r="HD60"/>
      <c r="HE60"/>
      <c r="HF60"/>
      <c r="HG60"/>
      <c r="HH60"/>
      <c r="HI60"/>
      <c r="HJ60"/>
      <c r="HK60"/>
      <c r="HL60"/>
      <c r="HM60"/>
      <c r="HN60"/>
      <c r="HO60"/>
      <c r="HP60"/>
      <c r="HQ60"/>
      <c r="HR60"/>
      <c r="HS60"/>
      <c r="HT60"/>
      <c r="HU60"/>
      <c r="HV60"/>
      <c r="HW60"/>
      <c r="HX60"/>
      <c r="HY60"/>
      <c r="HZ60"/>
      <c r="IA60"/>
      <c r="IB60"/>
      <c r="IC60"/>
      <c r="ID60"/>
      <c r="IE60"/>
      <c r="IF60"/>
      <c r="IG60"/>
      <c r="IH60"/>
      <c r="II60"/>
      <c r="IJ60"/>
      <c r="IK60"/>
      <c r="IL60"/>
      <c r="IM60"/>
      <c r="IN60"/>
      <c r="IO60"/>
      <c r="IP60"/>
      <c r="IQ60"/>
      <c r="IR60"/>
      <c r="IS60"/>
      <c r="IT60"/>
      <c r="IU60"/>
      <c r="IV60"/>
    </row>
    <row r="61" spans="1:256" s="201" customFormat="1" ht="14.25" x14ac:dyDescent="0.2">
      <c r="A61" s="10">
        <v>2892</v>
      </c>
      <c r="B61" s="11" t="s">
        <v>388</v>
      </c>
      <c r="C61" s="105" t="s">
        <v>389</v>
      </c>
      <c r="D61" s="11" t="s">
        <v>105</v>
      </c>
      <c r="E61" s="12">
        <v>11803</v>
      </c>
      <c r="F61" s="202">
        <v>41</v>
      </c>
      <c r="G61" s="11">
        <v>80000</v>
      </c>
      <c r="H61" s="116">
        <v>0</v>
      </c>
      <c r="I61" s="192"/>
      <c r="J61" s="204"/>
      <c r="K61" s="193"/>
      <c r="L61" s="193"/>
      <c r="M61" s="193"/>
      <c r="N61" s="203">
        <f t="shared" si="28"/>
        <v>80000</v>
      </c>
      <c r="O61" s="203">
        <f t="shared" si="29"/>
        <v>80000</v>
      </c>
      <c r="P61" s="203">
        <f t="shared" si="30"/>
        <v>80000</v>
      </c>
      <c r="Q61" s="214"/>
      <c r="R61" s="219"/>
      <c r="S61" s="217">
        <v>46225</v>
      </c>
      <c r="T61" s="205"/>
      <c r="U61" s="205"/>
      <c r="V61" s="215"/>
      <c r="W61" s="212"/>
      <c r="X61" s="10">
        <v>7</v>
      </c>
      <c r="Y61" s="10">
        <v>7</v>
      </c>
      <c r="Z61" s="213">
        <f t="shared" si="31"/>
        <v>80000</v>
      </c>
      <c r="AA61" s="62"/>
      <c r="AB61" s="62"/>
      <c r="AC61" s="62"/>
      <c r="AD61" s="62"/>
      <c r="AE61" s="62"/>
      <c r="AF61" s="63"/>
      <c r="AG61" s="64"/>
      <c r="AH61" s="6">
        <v>1</v>
      </c>
      <c r="AI61">
        <f t="shared" si="32"/>
        <v>25</v>
      </c>
      <c r="AJ61">
        <f t="shared" si="33"/>
        <v>25</v>
      </c>
      <c r="AK61">
        <f t="shared" si="34"/>
        <v>0</v>
      </c>
      <c r="AL61">
        <f t="shared" si="35"/>
        <v>0</v>
      </c>
      <c r="AM61">
        <f t="shared" si="36"/>
        <v>0</v>
      </c>
      <c r="AN61">
        <f t="shared" si="37"/>
        <v>0</v>
      </c>
      <c r="AO61">
        <f t="shared" si="38"/>
        <v>0</v>
      </c>
      <c r="AP61">
        <f t="shared" si="39"/>
        <v>0</v>
      </c>
      <c r="AQ61">
        <f t="shared" si="40"/>
        <v>0</v>
      </c>
      <c r="AR61">
        <f t="shared" si="41"/>
        <v>0</v>
      </c>
      <c r="AS61">
        <f t="shared" si="42"/>
        <v>0</v>
      </c>
      <c r="AT61">
        <f t="shared" si="43"/>
        <v>0</v>
      </c>
      <c r="AU61">
        <f t="shared" si="44"/>
        <v>1</v>
      </c>
      <c r="AV61">
        <f t="shared" si="45"/>
        <v>1</v>
      </c>
      <c r="AW61">
        <f t="shared" si="46"/>
        <v>1</v>
      </c>
      <c r="AX61">
        <f t="shared" si="47"/>
        <v>1</v>
      </c>
      <c r="AY61">
        <f t="shared" si="48"/>
        <v>80000</v>
      </c>
      <c r="AZ61">
        <f t="shared" si="49"/>
        <v>80000</v>
      </c>
      <c r="BA61">
        <f t="shared" si="50"/>
        <v>0</v>
      </c>
      <c r="BB61">
        <f t="shared" si="51"/>
        <v>0</v>
      </c>
      <c r="BC61">
        <f t="shared" si="52"/>
        <v>0</v>
      </c>
      <c r="BD61">
        <f t="shared" si="53"/>
        <v>0</v>
      </c>
      <c r="BE61">
        <f t="shared" si="54"/>
        <v>0</v>
      </c>
      <c r="BF61">
        <f t="shared" si="55"/>
        <v>0</v>
      </c>
      <c r="BG61"/>
      <c r="BH61"/>
      <c r="BI61"/>
      <c r="BJ61"/>
      <c r="BK61"/>
      <c r="BL61"/>
      <c r="BM61"/>
      <c r="BN61"/>
      <c r="BO61"/>
      <c r="BP61"/>
      <c r="BQ61"/>
      <c r="BR61"/>
      <c r="BS61"/>
      <c r="BT61"/>
      <c r="BU61"/>
      <c r="BV61"/>
      <c r="BW61"/>
      <c r="BX61"/>
      <c r="BY61"/>
      <c r="BZ61"/>
      <c r="CA61"/>
      <c r="CB61"/>
      <c r="CC61"/>
      <c r="CD61"/>
      <c r="CE61"/>
      <c r="CF61"/>
      <c r="CG61"/>
      <c r="CH61"/>
      <c r="CI61"/>
      <c r="CJ61"/>
      <c r="CK61"/>
      <c r="CL61"/>
      <c r="CM61"/>
      <c r="CN61"/>
      <c r="CO61"/>
      <c r="CP61"/>
      <c r="CQ61"/>
      <c r="CR61"/>
      <c r="CS61"/>
      <c r="CT61"/>
      <c r="CU61"/>
      <c r="CV61"/>
      <c r="CW61"/>
      <c r="CX61"/>
      <c r="CY61"/>
      <c r="CZ61"/>
      <c r="DA61"/>
      <c r="DB61"/>
      <c r="DC61"/>
      <c r="DD61"/>
      <c r="DE61"/>
      <c r="DF61"/>
      <c r="DG61"/>
      <c r="DH61"/>
      <c r="DI61"/>
      <c r="DJ61"/>
      <c r="DK61"/>
      <c r="DL61"/>
      <c r="DM61"/>
      <c r="DN61"/>
      <c r="DO61"/>
      <c r="DP61"/>
      <c r="DQ61"/>
      <c r="DR61"/>
      <c r="DS61"/>
      <c r="DT61"/>
      <c r="DU61"/>
      <c r="DV61"/>
      <c r="DW61"/>
      <c r="DX61"/>
      <c r="DY61"/>
      <c r="DZ61"/>
      <c r="EA61"/>
      <c r="EB61"/>
      <c r="EC61"/>
      <c r="ED61"/>
      <c r="EE61"/>
      <c r="EF61"/>
      <c r="EG61"/>
      <c r="EH61"/>
      <c r="EI61"/>
      <c r="EJ61"/>
      <c r="EK61"/>
      <c r="EL61"/>
      <c r="EM61"/>
      <c r="EN61"/>
      <c r="EO61"/>
      <c r="EP61"/>
      <c r="EQ61"/>
      <c r="ER61"/>
      <c r="ES61"/>
      <c r="ET61"/>
      <c r="EU61"/>
      <c r="EV61"/>
      <c r="EW61"/>
      <c r="EX61"/>
      <c r="EY61"/>
      <c r="EZ61"/>
      <c r="FA61"/>
      <c r="FB61"/>
      <c r="FC61"/>
      <c r="FD61"/>
      <c r="FE61"/>
      <c r="FF61"/>
      <c r="FG61"/>
      <c r="FH61"/>
      <c r="FI61"/>
      <c r="FJ61"/>
      <c r="FK61"/>
      <c r="FL61"/>
      <c r="FM61"/>
      <c r="FN61"/>
      <c r="FO61"/>
      <c r="FP61"/>
      <c r="FQ61"/>
      <c r="FR61"/>
      <c r="FS61"/>
      <c r="FT61"/>
      <c r="FU61"/>
      <c r="FV61"/>
      <c r="FW61"/>
      <c r="FX61"/>
      <c r="FY61"/>
      <c r="FZ61"/>
      <c r="GA61"/>
      <c r="GB61"/>
      <c r="GC61"/>
      <c r="GD61"/>
      <c r="GE61"/>
      <c r="GF61"/>
      <c r="GG61"/>
      <c r="GH61"/>
      <c r="GI61"/>
      <c r="GJ61"/>
      <c r="GK61"/>
      <c r="GL61"/>
      <c r="GM61"/>
      <c r="GN61"/>
      <c r="GO61"/>
      <c r="GP61"/>
      <c r="GQ61"/>
      <c r="GR61"/>
      <c r="GS61"/>
      <c r="GT61"/>
      <c r="GU61"/>
      <c r="GV61"/>
      <c r="GW61"/>
      <c r="GX61"/>
      <c r="GY61"/>
      <c r="GZ61"/>
      <c r="HA61"/>
      <c r="HB61"/>
      <c r="HC61"/>
      <c r="HD61"/>
      <c r="HE61"/>
      <c r="HF61"/>
      <c r="HG61"/>
      <c r="HH61"/>
      <c r="HI61"/>
      <c r="HJ61"/>
      <c r="HK61"/>
      <c r="HL61"/>
      <c r="HM61"/>
      <c r="HN61"/>
      <c r="HO61"/>
      <c r="HP61"/>
      <c r="HQ61"/>
      <c r="HR61"/>
      <c r="HS61"/>
      <c r="HT61"/>
      <c r="HU61"/>
      <c r="HV61"/>
      <c r="HW61"/>
      <c r="HX61"/>
      <c r="HY61"/>
      <c r="HZ61"/>
      <c r="IA61"/>
      <c r="IB61"/>
      <c r="IC61"/>
      <c r="ID61"/>
      <c r="IE61"/>
      <c r="IF61"/>
      <c r="IG61"/>
      <c r="IH61"/>
      <c r="II61"/>
      <c r="IJ61"/>
      <c r="IK61"/>
      <c r="IL61"/>
      <c r="IM61"/>
      <c r="IN61"/>
      <c r="IO61"/>
      <c r="IP61"/>
      <c r="IQ61"/>
      <c r="IR61"/>
      <c r="IS61"/>
      <c r="IT61"/>
      <c r="IU61"/>
      <c r="IV61"/>
    </row>
    <row r="62" spans="1:256" s="201" customFormat="1" ht="14.25" x14ac:dyDescent="0.2">
      <c r="A62" s="10">
        <v>2897</v>
      </c>
      <c r="B62" s="11" t="s">
        <v>390</v>
      </c>
      <c r="C62" s="105" t="s">
        <v>391</v>
      </c>
      <c r="D62" s="11" t="s">
        <v>106</v>
      </c>
      <c r="E62" s="12">
        <v>11810</v>
      </c>
      <c r="F62" s="202">
        <v>41</v>
      </c>
      <c r="G62" s="11">
        <v>80000</v>
      </c>
      <c r="H62" s="116">
        <v>0</v>
      </c>
      <c r="I62" s="192"/>
      <c r="J62" s="204"/>
      <c r="K62" s="193"/>
      <c r="L62" s="193"/>
      <c r="M62" s="193"/>
      <c r="N62" s="203">
        <f t="shared" si="28"/>
        <v>80000</v>
      </c>
      <c r="O62" s="203">
        <f t="shared" si="29"/>
        <v>80000</v>
      </c>
      <c r="P62" s="203">
        <f t="shared" si="30"/>
        <v>80000</v>
      </c>
      <c r="Q62" s="214"/>
      <c r="R62" s="219"/>
      <c r="S62" s="217">
        <v>46218</v>
      </c>
      <c r="T62" s="205"/>
      <c r="U62" s="205"/>
      <c r="V62" s="215"/>
      <c r="W62" s="212"/>
      <c r="X62" s="10">
        <v>7</v>
      </c>
      <c r="Y62" s="10">
        <v>7</v>
      </c>
      <c r="Z62" s="213">
        <f t="shared" si="31"/>
        <v>80000</v>
      </c>
      <c r="AA62" s="62"/>
      <c r="AB62" s="62"/>
      <c r="AC62" s="62"/>
      <c r="AD62" s="62"/>
      <c r="AE62" s="62"/>
      <c r="AF62" s="63"/>
      <c r="AG62" s="64"/>
      <c r="AH62" s="6">
        <v>1</v>
      </c>
      <c r="AI62">
        <f t="shared" si="32"/>
        <v>25</v>
      </c>
      <c r="AJ62">
        <f t="shared" si="33"/>
        <v>25</v>
      </c>
      <c r="AK62">
        <f t="shared" si="34"/>
        <v>0</v>
      </c>
      <c r="AL62">
        <f t="shared" si="35"/>
        <v>0</v>
      </c>
      <c r="AM62">
        <f t="shared" si="36"/>
        <v>0</v>
      </c>
      <c r="AN62">
        <f t="shared" si="37"/>
        <v>0</v>
      </c>
      <c r="AO62">
        <f t="shared" si="38"/>
        <v>0</v>
      </c>
      <c r="AP62">
        <f t="shared" si="39"/>
        <v>0</v>
      </c>
      <c r="AQ62">
        <f t="shared" si="40"/>
        <v>0</v>
      </c>
      <c r="AR62">
        <f t="shared" si="41"/>
        <v>0</v>
      </c>
      <c r="AS62">
        <f t="shared" si="42"/>
        <v>0</v>
      </c>
      <c r="AT62">
        <f t="shared" si="43"/>
        <v>0</v>
      </c>
      <c r="AU62">
        <f t="shared" si="44"/>
        <v>1</v>
      </c>
      <c r="AV62">
        <f t="shared" si="45"/>
        <v>1</v>
      </c>
      <c r="AW62">
        <f t="shared" si="46"/>
        <v>1</v>
      </c>
      <c r="AX62">
        <f t="shared" si="47"/>
        <v>1</v>
      </c>
      <c r="AY62">
        <f t="shared" si="48"/>
        <v>80000</v>
      </c>
      <c r="AZ62">
        <f t="shared" si="49"/>
        <v>80000</v>
      </c>
      <c r="BA62">
        <f t="shared" si="50"/>
        <v>0</v>
      </c>
      <c r="BB62">
        <f t="shared" si="51"/>
        <v>0</v>
      </c>
      <c r="BC62">
        <f t="shared" si="52"/>
        <v>0</v>
      </c>
      <c r="BD62">
        <f t="shared" si="53"/>
        <v>0</v>
      </c>
      <c r="BE62">
        <f t="shared" si="54"/>
        <v>0</v>
      </c>
      <c r="BF62">
        <f t="shared" si="55"/>
        <v>0</v>
      </c>
      <c r="BG62"/>
      <c r="BH62"/>
      <c r="BI62"/>
      <c r="BJ62"/>
      <c r="BK62"/>
      <c r="BL62"/>
      <c r="BM62"/>
      <c r="BN62"/>
      <c r="BO62"/>
      <c r="BP62"/>
      <c r="BQ62"/>
      <c r="BR62"/>
      <c r="BS62"/>
      <c r="BT62"/>
      <c r="BU62"/>
      <c r="BV62"/>
      <c r="BW62"/>
      <c r="BX62"/>
      <c r="BY62"/>
      <c r="BZ62"/>
      <c r="CA62"/>
      <c r="CB62"/>
      <c r="CC62"/>
      <c r="CD62"/>
      <c r="CE62"/>
      <c r="CF62"/>
      <c r="CG62"/>
      <c r="CH62"/>
      <c r="CI62"/>
      <c r="CJ62"/>
      <c r="CK62"/>
      <c r="CL62"/>
      <c r="CM62"/>
      <c r="CN62"/>
      <c r="CO62"/>
      <c r="CP62"/>
      <c r="CQ62"/>
      <c r="CR62"/>
      <c r="CS62"/>
      <c r="CT62"/>
      <c r="CU62"/>
      <c r="CV62"/>
      <c r="CW62"/>
      <c r="CX62"/>
      <c r="CY62"/>
      <c r="CZ62"/>
      <c r="DA62"/>
      <c r="DB62"/>
      <c r="DC62"/>
      <c r="DD62"/>
      <c r="DE62"/>
      <c r="DF62"/>
      <c r="DG62"/>
      <c r="DH62"/>
      <c r="DI62"/>
      <c r="DJ62"/>
      <c r="DK62"/>
      <c r="DL62"/>
      <c r="DM62"/>
      <c r="DN62"/>
      <c r="DO62"/>
      <c r="DP62"/>
      <c r="DQ62"/>
      <c r="DR62"/>
      <c r="DS62"/>
      <c r="DT62"/>
      <c r="DU62"/>
      <c r="DV62"/>
      <c r="DW62"/>
      <c r="DX62"/>
      <c r="DY62"/>
      <c r="DZ62"/>
      <c r="EA62"/>
      <c r="EB62"/>
      <c r="EC62"/>
      <c r="ED62"/>
      <c r="EE62"/>
      <c r="EF62"/>
      <c r="EG62"/>
      <c r="EH62"/>
      <c r="EI62"/>
      <c r="EJ62"/>
      <c r="EK62"/>
      <c r="EL62"/>
      <c r="EM62"/>
      <c r="EN62"/>
      <c r="EO62"/>
      <c r="EP62"/>
      <c r="EQ62"/>
      <c r="ER62"/>
      <c r="ES62"/>
      <c r="ET62"/>
      <c r="EU62"/>
      <c r="EV62"/>
      <c r="EW62"/>
      <c r="EX62"/>
      <c r="EY62"/>
      <c r="EZ62"/>
      <c r="FA62"/>
      <c r="FB62"/>
      <c r="FC62"/>
      <c r="FD62"/>
      <c r="FE62"/>
      <c r="FF62"/>
      <c r="FG62"/>
      <c r="FH62"/>
      <c r="FI62"/>
      <c r="FJ62"/>
      <c r="FK62"/>
      <c r="FL62"/>
      <c r="FM62"/>
      <c r="FN62"/>
      <c r="FO62"/>
      <c r="FP62"/>
      <c r="FQ62"/>
      <c r="FR62"/>
      <c r="FS62"/>
      <c r="FT62"/>
      <c r="FU62"/>
      <c r="FV62"/>
      <c r="FW62"/>
      <c r="FX62"/>
      <c r="FY62"/>
      <c r="FZ62"/>
      <c r="GA62"/>
      <c r="GB62"/>
      <c r="GC62"/>
      <c r="GD62"/>
      <c r="GE62"/>
      <c r="GF62"/>
      <c r="GG62"/>
      <c r="GH62"/>
      <c r="GI62"/>
      <c r="GJ62"/>
      <c r="GK62"/>
      <c r="GL62"/>
      <c r="GM62"/>
      <c r="GN62"/>
      <c r="GO62"/>
      <c r="GP62"/>
      <c r="GQ62"/>
      <c r="GR62"/>
      <c r="GS62"/>
      <c r="GT62"/>
      <c r="GU62"/>
      <c r="GV62"/>
      <c r="GW62"/>
      <c r="GX62"/>
      <c r="GY62"/>
      <c r="GZ62"/>
      <c r="HA62"/>
      <c r="HB62"/>
      <c r="HC62"/>
      <c r="HD62"/>
      <c r="HE62"/>
      <c r="HF62"/>
      <c r="HG62"/>
      <c r="HH62"/>
      <c r="HI62"/>
      <c r="HJ62"/>
      <c r="HK62"/>
      <c r="HL62"/>
      <c r="HM62"/>
      <c r="HN62"/>
      <c r="HO62"/>
      <c r="HP62"/>
      <c r="HQ62"/>
      <c r="HR62"/>
      <c r="HS62"/>
      <c r="HT62"/>
      <c r="HU62"/>
      <c r="HV62"/>
      <c r="HW62"/>
      <c r="HX62"/>
      <c r="HY62"/>
      <c r="HZ62"/>
      <c r="IA62"/>
      <c r="IB62"/>
      <c r="IC62"/>
      <c r="ID62"/>
      <c r="IE62"/>
      <c r="IF62"/>
      <c r="IG62"/>
      <c r="IH62"/>
      <c r="II62"/>
      <c r="IJ62"/>
      <c r="IK62"/>
      <c r="IL62"/>
      <c r="IM62"/>
      <c r="IN62"/>
      <c r="IO62"/>
      <c r="IP62"/>
      <c r="IQ62"/>
      <c r="IR62"/>
      <c r="IS62"/>
      <c r="IT62"/>
      <c r="IU62"/>
      <c r="IV62"/>
    </row>
    <row r="63" spans="1:256" s="201" customFormat="1" ht="14.25" x14ac:dyDescent="0.2">
      <c r="A63" s="10">
        <v>2948</v>
      </c>
      <c r="B63" s="11" t="s">
        <v>392</v>
      </c>
      <c r="C63" s="105" t="s">
        <v>393</v>
      </c>
      <c r="D63" s="11" t="s">
        <v>106</v>
      </c>
      <c r="E63" s="12">
        <v>11842</v>
      </c>
      <c r="F63" s="202">
        <v>39</v>
      </c>
      <c r="G63" s="11">
        <v>120000</v>
      </c>
      <c r="H63" s="116">
        <v>0</v>
      </c>
      <c r="I63" s="192"/>
      <c r="J63" s="204"/>
      <c r="K63" s="193"/>
      <c r="L63" s="193"/>
      <c r="M63" s="193"/>
      <c r="N63" s="203">
        <f t="shared" si="28"/>
        <v>120000</v>
      </c>
      <c r="O63" s="203">
        <f t="shared" si="29"/>
        <v>120000</v>
      </c>
      <c r="P63" s="203">
        <f t="shared" si="30"/>
        <v>120000</v>
      </c>
      <c r="Q63" s="214"/>
      <c r="R63" s="219"/>
      <c r="S63" s="217">
        <v>46213</v>
      </c>
      <c r="T63" s="205"/>
      <c r="U63" s="205"/>
      <c r="V63" s="215"/>
      <c r="W63" s="212"/>
      <c r="X63" s="10">
        <v>7</v>
      </c>
      <c r="Y63" s="10">
        <v>7</v>
      </c>
      <c r="Z63" s="213">
        <f t="shared" si="31"/>
        <v>120000</v>
      </c>
      <c r="AA63" s="62"/>
      <c r="AB63" s="62"/>
      <c r="AC63" s="62"/>
      <c r="AD63" s="62"/>
      <c r="AE63" s="62"/>
      <c r="AF63" s="63"/>
      <c r="AG63" s="64"/>
      <c r="AH63" s="6">
        <v>1</v>
      </c>
      <c r="AI63">
        <f t="shared" si="32"/>
        <v>25</v>
      </c>
      <c r="AJ63">
        <f t="shared" si="33"/>
        <v>25</v>
      </c>
      <c r="AK63">
        <f t="shared" si="34"/>
        <v>0</v>
      </c>
      <c r="AL63">
        <f t="shared" si="35"/>
        <v>0</v>
      </c>
      <c r="AM63">
        <f t="shared" si="36"/>
        <v>0</v>
      </c>
      <c r="AN63">
        <f t="shared" si="37"/>
        <v>0</v>
      </c>
      <c r="AO63">
        <f t="shared" si="38"/>
        <v>0</v>
      </c>
      <c r="AP63">
        <f t="shared" si="39"/>
        <v>0</v>
      </c>
      <c r="AQ63">
        <f t="shared" si="40"/>
        <v>0</v>
      </c>
      <c r="AR63">
        <f t="shared" si="41"/>
        <v>0</v>
      </c>
      <c r="AS63">
        <f t="shared" si="42"/>
        <v>0</v>
      </c>
      <c r="AT63">
        <f t="shared" si="43"/>
        <v>0</v>
      </c>
      <c r="AU63">
        <f t="shared" si="44"/>
        <v>1</v>
      </c>
      <c r="AV63">
        <f t="shared" si="45"/>
        <v>1</v>
      </c>
      <c r="AW63">
        <f t="shared" si="46"/>
        <v>1</v>
      </c>
      <c r="AX63">
        <f t="shared" si="47"/>
        <v>1</v>
      </c>
      <c r="AY63">
        <f t="shared" si="48"/>
        <v>120000</v>
      </c>
      <c r="AZ63">
        <f t="shared" si="49"/>
        <v>120000</v>
      </c>
      <c r="BA63">
        <f t="shared" si="50"/>
        <v>0</v>
      </c>
      <c r="BB63">
        <f t="shared" si="51"/>
        <v>0</v>
      </c>
      <c r="BC63">
        <f t="shared" si="52"/>
        <v>0</v>
      </c>
      <c r="BD63">
        <f t="shared" si="53"/>
        <v>0</v>
      </c>
      <c r="BE63">
        <f t="shared" si="54"/>
        <v>0</v>
      </c>
      <c r="BF63">
        <f t="shared" si="55"/>
        <v>0</v>
      </c>
      <c r="BG63"/>
      <c r="BH63"/>
      <c r="BI63"/>
      <c r="BJ63"/>
      <c r="BK63"/>
      <c r="BL63"/>
      <c r="BM63"/>
      <c r="BN63"/>
      <c r="BO63"/>
      <c r="BP63"/>
      <c r="BQ63"/>
      <c r="BR63"/>
      <c r="BS63"/>
      <c r="BT63"/>
      <c r="BU63"/>
      <c r="BV63"/>
      <c r="BW63"/>
      <c r="BX63"/>
      <c r="BY63"/>
      <c r="BZ63"/>
      <c r="CA63"/>
      <c r="CB63"/>
      <c r="CC63"/>
      <c r="CD63"/>
      <c r="CE63"/>
      <c r="CF63"/>
      <c r="CG63"/>
      <c r="CH63"/>
      <c r="CI63"/>
      <c r="CJ63"/>
      <c r="CK63"/>
      <c r="CL63"/>
      <c r="CM63"/>
      <c r="CN63"/>
      <c r="CO63"/>
      <c r="CP63"/>
      <c r="CQ63"/>
      <c r="CR63"/>
      <c r="CS63"/>
      <c r="CT63"/>
      <c r="CU63"/>
      <c r="CV63"/>
      <c r="CW63"/>
      <c r="CX63"/>
      <c r="CY63"/>
      <c r="CZ63"/>
      <c r="DA63"/>
      <c r="DB63"/>
      <c r="DC63"/>
      <c r="DD63"/>
      <c r="DE63"/>
      <c r="DF63"/>
      <c r="DG63"/>
      <c r="DH63"/>
      <c r="DI63"/>
      <c r="DJ63"/>
      <c r="DK63"/>
      <c r="DL63"/>
      <c r="DM63"/>
      <c r="DN63"/>
      <c r="DO63"/>
      <c r="DP63"/>
      <c r="DQ63"/>
      <c r="DR63"/>
      <c r="DS63"/>
      <c r="DT63"/>
      <c r="DU63"/>
      <c r="DV63"/>
      <c r="DW63"/>
      <c r="DX63"/>
      <c r="DY63"/>
      <c r="DZ63"/>
      <c r="EA63"/>
      <c r="EB63"/>
      <c r="EC63"/>
      <c r="ED63"/>
      <c r="EE63"/>
      <c r="EF63"/>
      <c r="EG63"/>
      <c r="EH63"/>
      <c r="EI63"/>
      <c r="EJ63"/>
      <c r="EK63"/>
      <c r="EL63"/>
      <c r="EM63"/>
      <c r="EN63"/>
      <c r="EO63"/>
      <c r="EP63"/>
      <c r="EQ63"/>
      <c r="ER63"/>
      <c r="ES63"/>
      <c r="ET63"/>
      <c r="EU63"/>
      <c r="EV63"/>
      <c r="EW63"/>
      <c r="EX63"/>
      <c r="EY63"/>
      <c r="EZ63"/>
      <c r="FA63"/>
      <c r="FB63"/>
      <c r="FC63"/>
      <c r="FD63"/>
      <c r="FE63"/>
      <c r="FF63"/>
      <c r="FG63"/>
      <c r="FH63"/>
      <c r="FI63"/>
      <c r="FJ63"/>
      <c r="FK63"/>
      <c r="FL63"/>
      <c r="FM63"/>
      <c r="FN63"/>
      <c r="FO63"/>
      <c r="FP63"/>
      <c r="FQ63"/>
      <c r="FR63"/>
      <c r="FS63"/>
      <c r="FT63"/>
      <c r="FU63"/>
      <c r="FV63"/>
      <c r="FW63"/>
      <c r="FX63"/>
      <c r="FY63"/>
      <c r="FZ63"/>
      <c r="GA63"/>
      <c r="GB63"/>
      <c r="GC63"/>
      <c r="GD63"/>
      <c r="GE63"/>
      <c r="GF63"/>
      <c r="GG63"/>
      <c r="GH63"/>
      <c r="GI63"/>
      <c r="GJ63"/>
      <c r="GK63"/>
      <c r="GL63"/>
      <c r="GM63"/>
      <c r="GN63"/>
      <c r="GO63"/>
      <c r="GP63"/>
      <c r="GQ63"/>
      <c r="GR63"/>
      <c r="GS63"/>
      <c r="GT63"/>
      <c r="GU63"/>
      <c r="GV63"/>
      <c r="GW63"/>
      <c r="GX63"/>
      <c r="GY63"/>
      <c r="GZ63"/>
      <c r="HA63"/>
      <c r="HB63"/>
      <c r="HC63"/>
      <c r="HD63"/>
      <c r="HE63"/>
      <c r="HF63"/>
      <c r="HG63"/>
      <c r="HH63"/>
      <c r="HI63"/>
      <c r="HJ63"/>
      <c r="HK63"/>
      <c r="HL63"/>
      <c r="HM63"/>
      <c r="HN63"/>
      <c r="HO63"/>
      <c r="HP63"/>
      <c r="HQ63"/>
      <c r="HR63"/>
      <c r="HS63"/>
      <c r="HT63"/>
      <c r="HU63"/>
      <c r="HV63"/>
      <c r="HW63"/>
      <c r="HX63"/>
      <c r="HY63"/>
      <c r="HZ63"/>
      <c r="IA63"/>
      <c r="IB63"/>
      <c r="IC63"/>
      <c r="ID63"/>
      <c r="IE63"/>
      <c r="IF63"/>
      <c r="IG63"/>
      <c r="IH63"/>
      <c r="II63"/>
      <c r="IJ63"/>
      <c r="IK63"/>
      <c r="IL63"/>
      <c r="IM63"/>
      <c r="IN63"/>
      <c r="IO63"/>
      <c r="IP63"/>
      <c r="IQ63"/>
      <c r="IR63"/>
      <c r="IS63"/>
      <c r="IT63"/>
      <c r="IU63"/>
      <c r="IV63"/>
    </row>
    <row r="64" spans="1:256" s="201" customFormat="1" ht="14.25" x14ac:dyDescent="0.2">
      <c r="A64" s="10">
        <v>2960</v>
      </c>
      <c r="B64" s="11" t="s">
        <v>276</v>
      </c>
      <c r="C64" s="105" t="s">
        <v>277</v>
      </c>
      <c r="D64" s="11" t="s">
        <v>106</v>
      </c>
      <c r="E64" s="12">
        <v>11871</v>
      </c>
      <c r="F64" s="202">
        <v>39</v>
      </c>
      <c r="G64" s="11">
        <v>30000</v>
      </c>
      <c r="H64" s="116">
        <v>0</v>
      </c>
      <c r="I64" s="192"/>
      <c r="J64" s="204"/>
      <c r="K64" s="193"/>
      <c r="L64" s="193"/>
      <c r="M64" s="193"/>
      <c r="N64" s="203">
        <f t="shared" si="28"/>
        <v>30000</v>
      </c>
      <c r="O64" s="203">
        <f t="shared" si="29"/>
        <v>30000</v>
      </c>
      <c r="P64" s="203">
        <f t="shared" si="30"/>
        <v>30000</v>
      </c>
      <c r="Q64" s="214"/>
      <c r="R64" s="219"/>
      <c r="S64" s="217">
        <v>46212</v>
      </c>
      <c r="T64" s="205"/>
      <c r="U64" s="205"/>
      <c r="V64" s="215"/>
      <c r="W64" s="212"/>
      <c r="X64" s="10">
        <v>7</v>
      </c>
      <c r="Y64" s="10">
        <v>7</v>
      </c>
      <c r="Z64" s="213">
        <f t="shared" si="31"/>
        <v>30000</v>
      </c>
      <c r="AA64" s="62"/>
      <c r="AB64" s="62"/>
      <c r="AC64" s="62"/>
      <c r="AD64" s="62"/>
      <c r="AE64" s="62"/>
      <c r="AF64" s="63"/>
      <c r="AG64" s="64"/>
      <c r="AH64" s="6">
        <v>1</v>
      </c>
      <c r="AI64">
        <f t="shared" si="32"/>
        <v>25</v>
      </c>
      <c r="AJ64">
        <f t="shared" si="33"/>
        <v>25</v>
      </c>
      <c r="AK64">
        <f t="shared" si="34"/>
        <v>0</v>
      </c>
      <c r="AL64">
        <f t="shared" si="35"/>
        <v>0</v>
      </c>
      <c r="AM64">
        <f t="shared" si="36"/>
        <v>0</v>
      </c>
      <c r="AN64">
        <f t="shared" si="37"/>
        <v>0</v>
      </c>
      <c r="AO64">
        <f t="shared" si="38"/>
        <v>0</v>
      </c>
      <c r="AP64">
        <f t="shared" si="39"/>
        <v>0</v>
      </c>
      <c r="AQ64">
        <f t="shared" si="40"/>
        <v>0</v>
      </c>
      <c r="AR64">
        <f t="shared" si="41"/>
        <v>0</v>
      </c>
      <c r="AS64">
        <f t="shared" si="42"/>
        <v>0</v>
      </c>
      <c r="AT64">
        <f t="shared" si="43"/>
        <v>0</v>
      </c>
      <c r="AU64">
        <f t="shared" si="44"/>
        <v>1</v>
      </c>
      <c r="AV64">
        <f t="shared" si="45"/>
        <v>1</v>
      </c>
      <c r="AW64">
        <f t="shared" si="46"/>
        <v>1</v>
      </c>
      <c r="AX64">
        <f t="shared" si="47"/>
        <v>1</v>
      </c>
      <c r="AY64">
        <f t="shared" si="48"/>
        <v>30000</v>
      </c>
      <c r="AZ64">
        <f t="shared" si="49"/>
        <v>30000</v>
      </c>
      <c r="BA64">
        <f t="shared" si="50"/>
        <v>0</v>
      </c>
      <c r="BB64">
        <f t="shared" si="51"/>
        <v>0</v>
      </c>
      <c r="BC64">
        <f t="shared" si="52"/>
        <v>0</v>
      </c>
      <c r="BD64">
        <f t="shared" si="53"/>
        <v>0</v>
      </c>
      <c r="BE64">
        <f t="shared" si="54"/>
        <v>0</v>
      </c>
      <c r="BF64">
        <f t="shared" si="55"/>
        <v>0</v>
      </c>
      <c r="BG64"/>
      <c r="BH64"/>
      <c r="BI64"/>
      <c r="BJ64"/>
      <c r="BK64"/>
      <c r="BL64"/>
      <c r="BM64"/>
      <c r="BN64"/>
      <c r="BO64"/>
      <c r="BP64"/>
      <c r="BQ64"/>
      <c r="BR64"/>
      <c r="BS64"/>
      <c r="BT64"/>
      <c r="BU64"/>
      <c r="BV64"/>
      <c r="BW64"/>
      <c r="BX64"/>
      <c r="BY64"/>
      <c r="BZ64"/>
      <c r="CA64"/>
      <c r="CB64"/>
      <c r="CC64"/>
      <c r="CD64"/>
      <c r="CE64"/>
      <c r="CF64"/>
      <c r="CG64"/>
      <c r="CH64"/>
      <c r="CI64"/>
      <c r="CJ64"/>
      <c r="CK64"/>
      <c r="CL64"/>
      <c r="CM64"/>
      <c r="CN64"/>
      <c r="CO64"/>
      <c r="CP64"/>
      <c r="CQ64"/>
      <c r="CR64"/>
      <c r="CS64"/>
      <c r="CT64"/>
      <c r="CU64"/>
      <c r="CV64"/>
      <c r="CW64"/>
      <c r="CX64"/>
      <c r="CY64"/>
      <c r="CZ64"/>
      <c r="DA64"/>
      <c r="DB64"/>
      <c r="DC64"/>
      <c r="DD64"/>
      <c r="DE64"/>
      <c r="DF64"/>
      <c r="DG64"/>
      <c r="DH64"/>
      <c r="DI64"/>
      <c r="DJ64"/>
      <c r="DK64"/>
      <c r="DL64"/>
      <c r="DM64"/>
      <c r="DN64"/>
      <c r="DO64"/>
      <c r="DP64"/>
      <c r="DQ64"/>
      <c r="DR64"/>
      <c r="DS64"/>
      <c r="DT64"/>
      <c r="DU64"/>
      <c r="DV64"/>
      <c r="DW64"/>
      <c r="DX64"/>
      <c r="DY64"/>
      <c r="DZ64"/>
      <c r="EA64"/>
      <c r="EB64"/>
      <c r="EC64"/>
      <c r="ED64"/>
      <c r="EE64"/>
      <c r="EF64"/>
      <c r="EG64"/>
      <c r="EH64"/>
      <c r="EI64"/>
      <c r="EJ64"/>
      <c r="EK64"/>
      <c r="EL64"/>
      <c r="EM64"/>
      <c r="EN64"/>
      <c r="EO64"/>
      <c r="EP64"/>
      <c r="EQ64"/>
      <c r="ER64"/>
      <c r="ES64"/>
      <c r="ET64"/>
      <c r="EU64"/>
      <c r="EV64"/>
      <c r="EW64"/>
      <c r="EX64"/>
      <c r="EY64"/>
      <c r="EZ64"/>
      <c r="FA64"/>
      <c r="FB64"/>
      <c r="FC64"/>
      <c r="FD64"/>
      <c r="FE64"/>
      <c r="FF64"/>
      <c r="FG64"/>
      <c r="FH64"/>
      <c r="FI64"/>
      <c r="FJ64"/>
      <c r="FK64"/>
      <c r="FL64"/>
      <c r="FM64"/>
      <c r="FN64"/>
      <c r="FO64"/>
      <c r="FP64"/>
      <c r="FQ64"/>
      <c r="FR64"/>
      <c r="FS64"/>
      <c r="FT64"/>
      <c r="FU64"/>
      <c r="FV64"/>
      <c r="FW64"/>
      <c r="FX64"/>
      <c r="FY64"/>
      <c r="FZ64"/>
      <c r="GA64"/>
      <c r="GB64"/>
      <c r="GC64"/>
      <c r="GD64"/>
      <c r="GE64"/>
      <c r="GF64"/>
      <c r="GG64"/>
      <c r="GH64"/>
      <c r="GI64"/>
      <c r="GJ64"/>
      <c r="GK64"/>
      <c r="GL64"/>
      <c r="GM64"/>
      <c r="GN64"/>
      <c r="GO64"/>
      <c r="GP64"/>
      <c r="GQ64"/>
      <c r="GR64"/>
      <c r="GS64"/>
      <c r="GT64"/>
      <c r="GU64"/>
      <c r="GV64"/>
      <c r="GW64"/>
      <c r="GX64"/>
      <c r="GY64"/>
      <c r="GZ64"/>
      <c r="HA64"/>
      <c r="HB64"/>
      <c r="HC64"/>
      <c r="HD64"/>
      <c r="HE64"/>
      <c r="HF64"/>
      <c r="HG64"/>
      <c r="HH64"/>
      <c r="HI64"/>
      <c r="HJ64"/>
      <c r="HK64"/>
      <c r="HL64"/>
      <c r="HM64"/>
      <c r="HN64"/>
      <c r="HO64"/>
      <c r="HP64"/>
      <c r="HQ64"/>
      <c r="HR64"/>
      <c r="HS64"/>
      <c r="HT64"/>
      <c r="HU64"/>
      <c r="HV64"/>
      <c r="HW64"/>
      <c r="HX64"/>
      <c r="HY64"/>
      <c r="HZ64"/>
      <c r="IA64"/>
      <c r="IB64"/>
      <c r="IC64"/>
      <c r="ID64"/>
      <c r="IE64"/>
      <c r="IF64"/>
      <c r="IG64"/>
      <c r="IH64"/>
      <c r="II64"/>
      <c r="IJ64"/>
      <c r="IK64"/>
      <c r="IL64"/>
      <c r="IM64"/>
      <c r="IN64"/>
      <c r="IO64"/>
      <c r="IP64"/>
      <c r="IQ64"/>
      <c r="IR64"/>
      <c r="IS64"/>
      <c r="IT64"/>
      <c r="IU64"/>
      <c r="IV64"/>
    </row>
    <row r="65" spans="1:256" s="201" customFormat="1" ht="14.25" x14ac:dyDescent="0.2">
      <c r="A65" s="10">
        <v>2964</v>
      </c>
      <c r="B65" s="11" t="s">
        <v>394</v>
      </c>
      <c r="C65" s="105" t="s">
        <v>395</v>
      </c>
      <c r="D65" s="11" t="s">
        <v>144</v>
      </c>
      <c r="E65" s="12">
        <v>11875</v>
      </c>
      <c r="F65" s="202">
        <v>39</v>
      </c>
      <c r="G65" s="11">
        <v>99999</v>
      </c>
      <c r="H65" s="116">
        <v>-5</v>
      </c>
      <c r="I65" s="192"/>
      <c r="J65" s="204"/>
      <c r="K65" s="193"/>
      <c r="L65" s="193"/>
      <c r="M65" s="193"/>
      <c r="N65" s="203">
        <f t="shared" si="28"/>
        <v>99999</v>
      </c>
      <c r="O65" s="203">
        <f t="shared" si="29"/>
        <v>99994</v>
      </c>
      <c r="P65" s="203">
        <f t="shared" si="30"/>
        <v>99994</v>
      </c>
      <c r="Q65" s="214"/>
      <c r="R65" s="219"/>
      <c r="S65" s="217">
        <v>46209</v>
      </c>
      <c r="T65" s="205"/>
      <c r="U65" s="205"/>
      <c r="V65" s="215"/>
      <c r="W65" s="212"/>
      <c r="X65" s="10">
        <v>7</v>
      </c>
      <c r="Y65" s="10">
        <v>7</v>
      </c>
      <c r="Z65" s="213">
        <f t="shared" si="31"/>
        <v>99999</v>
      </c>
      <c r="AA65" s="62"/>
      <c r="AB65" s="62"/>
      <c r="AC65" s="62"/>
      <c r="AD65" s="62"/>
      <c r="AE65" s="62"/>
      <c r="AF65" s="63"/>
      <c r="AG65" s="64"/>
      <c r="AH65" s="6">
        <v>1</v>
      </c>
      <c r="AI65">
        <f t="shared" si="32"/>
        <v>25</v>
      </c>
      <c r="AJ65">
        <f t="shared" si="33"/>
        <v>25</v>
      </c>
      <c r="AK65">
        <f t="shared" si="34"/>
        <v>0</v>
      </c>
      <c r="AL65">
        <f t="shared" si="35"/>
        <v>0</v>
      </c>
      <c r="AM65">
        <f t="shared" si="36"/>
        <v>0</v>
      </c>
      <c r="AN65">
        <f t="shared" si="37"/>
        <v>0</v>
      </c>
      <c r="AO65">
        <f t="shared" si="38"/>
        <v>0</v>
      </c>
      <c r="AP65">
        <f t="shared" si="39"/>
        <v>0</v>
      </c>
      <c r="AQ65">
        <f t="shared" si="40"/>
        <v>0</v>
      </c>
      <c r="AR65">
        <f t="shared" si="41"/>
        <v>0</v>
      </c>
      <c r="AS65">
        <f t="shared" si="42"/>
        <v>0</v>
      </c>
      <c r="AT65">
        <f t="shared" si="43"/>
        <v>0</v>
      </c>
      <c r="AU65">
        <f t="shared" si="44"/>
        <v>1</v>
      </c>
      <c r="AV65">
        <f t="shared" si="45"/>
        <v>1</v>
      </c>
      <c r="AW65">
        <f t="shared" si="46"/>
        <v>1</v>
      </c>
      <c r="AX65">
        <f t="shared" si="47"/>
        <v>1</v>
      </c>
      <c r="AY65">
        <f t="shared" si="48"/>
        <v>99994</v>
      </c>
      <c r="AZ65">
        <f t="shared" si="49"/>
        <v>99994</v>
      </c>
      <c r="BA65">
        <f t="shared" si="50"/>
        <v>0</v>
      </c>
      <c r="BB65">
        <f t="shared" si="51"/>
        <v>0</v>
      </c>
      <c r="BC65">
        <f t="shared" si="52"/>
        <v>0</v>
      </c>
      <c r="BD65">
        <f t="shared" si="53"/>
        <v>0</v>
      </c>
      <c r="BE65">
        <f t="shared" si="54"/>
        <v>0</v>
      </c>
      <c r="BF65">
        <f t="shared" si="55"/>
        <v>0</v>
      </c>
      <c r="BG65"/>
      <c r="BH65"/>
      <c r="BI65"/>
      <c r="BJ65"/>
      <c r="BK65"/>
      <c r="BL65"/>
      <c r="BM65"/>
      <c r="BN65"/>
      <c r="BO65"/>
      <c r="BP65"/>
      <c r="BQ65"/>
      <c r="BR65"/>
      <c r="BS65"/>
      <c r="BT65"/>
      <c r="BU65"/>
      <c r="BV65"/>
      <c r="BW65"/>
      <c r="BX65"/>
      <c r="BY65"/>
      <c r="BZ65"/>
      <c r="CA65"/>
      <c r="CB65"/>
      <c r="CC65"/>
      <c r="CD65"/>
      <c r="CE65"/>
      <c r="CF65"/>
      <c r="CG65"/>
      <c r="CH65"/>
      <c r="CI65"/>
      <c r="CJ65"/>
      <c r="CK65"/>
      <c r="CL65"/>
      <c r="CM65"/>
      <c r="CN65"/>
      <c r="CO65"/>
      <c r="CP65"/>
      <c r="CQ65"/>
      <c r="CR65"/>
      <c r="CS65"/>
      <c r="CT65"/>
      <c r="CU65"/>
      <c r="CV65"/>
      <c r="CW65"/>
      <c r="CX65"/>
      <c r="CY65"/>
      <c r="CZ65"/>
      <c r="DA65"/>
      <c r="DB65"/>
      <c r="DC65"/>
      <c r="DD65"/>
      <c r="DE65"/>
      <c r="DF65"/>
      <c r="DG65"/>
      <c r="DH65"/>
      <c r="DI65"/>
      <c r="DJ65"/>
      <c r="DK65"/>
      <c r="DL65"/>
      <c r="DM65"/>
      <c r="DN65"/>
      <c r="DO65"/>
      <c r="DP65"/>
      <c r="DQ65"/>
      <c r="DR65"/>
      <c r="DS65"/>
      <c r="DT65"/>
      <c r="DU65"/>
      <c r="DV65"/>
      <c r="DW65"/>
      <c r="DX65"/>
      <c r="DY65"/>
      <c r="DZ65"/>
      <c r="EA65"/>
      <c r="EB65"/>
      <c r="EC65"/>
      <c r="ED65"/>
      <c r="EE65"/>
      <c r="EF65"/>
      <c r="EG65"/>
      <c r="EH65"/>
      <c r="EI65"/>
      <c r="EJ65"/>
      <c r="EK65"/>
      <c r="EL65"/>
      <c r="EM65"/>
      <c r="EN65"/>
      <c r="EO65"/>
      <c r="EP65"/>
      <c r="EQ65"/>
      <c r="ER65"/>
      <c r="ES65"/>
      <c r="ET65"/>
      <c r="EU65"/>
      <c r="EV65"/>
      <c r="EW65"/>
      <c r="EX65"/>
      <c r="EY65"/>
      <c r="EZ65"/>
      <c r="FA65"/>
      <c r="FB65"/>
      <c r="FC65"/>
      <c r="FD65"/>
      <c r="FE65"/>
      <c r="FF65"/>
      <c r="FG65"/>
      <c r="FH65"/>
      <c r="FI65"/>
      <c r="FJ65"/>
      <c r="FK65"/>
      <c r="FL65"/>
      <c r="FM65"/>
      <c r="FN65"/>
      <c r="FO65"/>
      <c r="FP65"/>
      <c r="FQ65"/>
      <c r="FR65"/>
      <c r="FS65"/>
      <c r="FT65"/>
      <c r="FU65"/>
      <c r="FV65"/>
      <c r="FW65"/>
      <c r="FX65"/>
      <c r="FY65"/>
      <c r="FZ65"/>
      <c r="GA65"/>
      <c r="GB65"/>
      <c r="GC65"/>
      <c r="GD65"/>
      <c r="GE65"/>
      <c r="GF65"/>
      <c r="GG65"/>
      <c r="GH65"/>
      <c r="GI65"/>
      <c r="GJ65"/>
      <c r="GK65"/>
      <c r="GL65"/>
      <c r="GM65"/>
      <c r="GN65"/>
      <c r="GO65"/>
      <c r="GP65"/>
      <c r="GQ65"/>
      <c r="GR65"/>
      <c r="GS65"/>
      <c r="GT65"/>
      <c r="GU65"/>
      <c r="GV65"/>
      <c r="GW65"/>
      <c r="GX65"/>
      <c r="GY65"/>
      <c r="GZ65"/>
      <c r="HA65"/>
      <c r="HB65"/>
      <c r="HC65"/>
      <c r="HD65"/>
      <c r="HE65"/>
      <c r="HF65"/>
      <c r="HG65"/>
      <c r="HH65"/>
      <c r="HI65"/>
      <c r="HJ65"/>
      <c r="HK65"/>
      <c r="HL65"/>
      <c r="HM65"/>
      <c r="HN65"/>
      <c r="HO65"/>
      <c r="HP65"/>
      <c r="HQ65"/>
      <c r="HR65"/>
      <c r="HS65"/>
      <c r="HT65"/>
      <c r="HU65"/>
      <c r="HV65"/>
      <c r="HW65"/>
      <c r="HX65"/>
      <c r="HY65"/>
      <c r="HZ65"/>
      <c r="IA65"/>
      <c r="IB65"/>
      <c r="IC65"/>
      <c r="ID65"/>
      <c r="IE65"/>
      <c r="IF65"/>
      <c r="IG65"/>
      <c r="IH65"/>
      <c r="II65"/>
      <c r="IJ65"/>
      <c r="IK65"/>
      <c r="IL65"/>
      <c r="IM65"/>
      <c r="IN65"/>
      <c r="IO65"/>
      <c r="IP65"/>
      <c r="IQ65"/>
      <c r="IR65"/>
      <c r="IS65"/>
      <c r="IT65"/>
      <c r="IU65"/>
      <c r="IV65"/>
    </row>
    <row r="66" spans="1:256" s="201" customFormat="1" ht="14.25" x14ac:dyDescent="0.2">
      <c r="A66" s="10">
        <v>2980</v>
      </c>
      <c r="B66" s="11" t="s">
        <v>396</v>
      </c>
      <c r="C66" s="105" t="s">
        <v>397</v>
      </c>
      <c r="D66" s="11" t="s">
        <v>144</v>
      </c>
      <c r="E66" s="12">
        <v>11894</v>
      </c>
      <c r="F66" s="202">
        <v>39</v>
      </c>
      <c r="G66" s="11">
        <v>65000</v>
      </c>
      <c r="H66" s="116">
        <v>0</v>
      </c>
      <c r="I66" s="192"/>
      <c r="J66" s="204"/>
      <c r="K66" s="193"/>
      <c r="L66" s="193"/>
      <c r="M66" s="193"/>
      <c r="N66" s="203">
        <f t="shared" si="28"/>
        <v>65000</v>
      </c>
      <c r="O66" s="203">
        <f t="shared" si="29"/>
        <v>65000</v>
      </c>
      <c r="P66" s="203">
        <f t="shared" si="30"/>
        <v>65000</v>
      </c>
      <c r="Q66" s="214"/>
      <c r="R66" s="219"/>
      <c r="S66" s="217">
        <v>46209</v>
      </c>
      <c r="T66" s="205"/>
      <c r="U66" s="205"/>
      <c r="V66" s="215"/>
      <c r="W66" s="212"/>
      <c r="X66" s="10">
        <v>7</v>
      </c>
      <c r="Y66" s="10">
        <v>7</v>
      </c>
      <c r="Z66" s="213">
        <f t="shared" si="31"/>
        <v>65000</v>
      </c>
      <c r="AA66" s="62"/>
      <c r="AB66" s="62"/>
      <c r="AC66" s="62"/>
      <c r="AD66" s="62"/>
      <c r="AE66" s="62"/>
      <c r="AF66" s="63"/>
      <c r="AG66" s="64"/>
      <c r="AH66" s="6">
        <v>1</v>
      </c>
      <c r="AI66">
        <f t="shared" si="32"/>
        <v>25</v>
      </c>
      <c r="AJ66">
        <f t="shared" si="33"/>
        <v>25</v>
      </c>
      <c r="AK66">
        <f t="shared" si="34"/>
        <v>0</v>
      </c>
      <c r="AL66">
        <f t="shared" si="35"/>
        <v>0</v>
      </c>
      <c r="AM66">
        <f t="shared" si="36"/>
        <v>0</v>
      </c>
      <c r="AN66">
        <f t="shared" si="37"/>
        <v>0</v>
      </c>
      <c r="AO66">
        <f t="shared" si="38"/>
        <v>0</v>
      </c>
      <c r="AP66">
        <f t="shared" si="39"/>
        <v>0</v>
      </c>
      <c r="AQ66">
        <f t="shared" si="40"/>
        <v>0</v>
      </c>
      <c r="AR66">
        <f t="shared" si="41"/>
        <v>0</v>
      </c>
      <c r="AS66">
        <f t="shared" si="42"/>
        <v>0</v>
      </c>
      <c r="AT66">
        <f t="shared" si="43"/>
        <v>0</v>
      </c>
      <c r="AU66">
        <f t="shared" si="44"/>
        <v>1</v>
      </c>
      <c r="AV66">
        <f t="shared" si="45"/>
        <v>1</v>
      </c>
      <c r="AW66">
        <f t="shared" si="46"/>
        <v>1</v>
      </c>
      <c r="AX66">
        <f t="shared" si="47"/>
        <v>1</v>
      </c>
      <c r="AY66">
        <f t="shared" si="48"/>
        <v>65000</v>
      </c>
      <c r="AZ66">
        <f t="shared" si="49"/>
        <v>65000</v>
      </c>
      <c r="BA66">
        <f t="shared" si="50"/>
        <v>0</v>
      </c>
      <c r="BB66">
        <f t="shared" si="51"/>
        <v>0</v>
      </c>
      <c r="BC66">
        <f t="shared" si="52"/>
        <v>0</v>
      </c>
      <c r="BD66">
        <f t="shared" si="53"/>
        <v>0</v>
      </c>
      <c r="BE66">
        <f t="shared" si="54"/>
        <v>0</v>
      </c>
      <c r="BF66">
        <f t="shared" si="55"/>
        <v>0</v>
      </c>
      <c r="BG66"/>
      <c r="BH66"/>
      <c r="BI66"/>
      <c r="BJ66"/>
      <c r="BK66"/>
      <c r="BL66"/>
      <c r="BM66"/>
      <c r="BN66"/>
      <c r="BO66"/>
      <c r="BP66"/>
      <c r="BQ66"/>
      <c r="BR66"/>
      <c r="BS66"/>
      <c r="BT66"/>
      <c r="BU66"/>
      <c r="BV66"/>
      <c r="BW66"/>
      <c r="BX66"/>
      <c r="BY66"/>
      <c r="BZ66"/>
      <c r="CA66"/>
      <c r="CB66"/>
      <c r="CC66"/>
      <c r="CD66"/>
      <c r="CE66"/>
      <c r="CF66"/>
      <c r="CG66"/>
      <c r="CH66"/>
      <c r="CI66"/>
      <c r="CJ66"/>
      <c r="CK66"/>
      <c r="CL66"/>
      <c r="CM66"/>
      <c r="CN66"/>
      <c r="CO66"/>
      <c r="CP66"/>
      <c r="CQ66"/>
      <c r="CR66"/>
      <c r="CS66"/>
      <c r="CT66"/>
      <c r="CU66"/>
      <c r="CV66"/>
      <c r="CW66"/>
      <c r="CX66"/>
      <c r="CY66"/>
      <c r="CZ66"/>
      <c r="DA66"/>
      <c r="DB66"/>
      <c r="DC66"/>
      <c r="DD66"/>
      <c r="DE66"/>
      <c r="DF66"/>
      <c r="DG66"/>
      <c r="DH66"/>
      <c r="DI66"/>
      <c r="DJ66"/>
      <c r="DK66"/>
      <c r="DL66"/>
      <c r="DM66"/>
      <c r="DN66"/>
      <c r="DO66"/>
      <c r="DP66"/>
      <c r="DQ66"/>
      <c r="DR66"/>
      <c r="DS66"/>
      <c r="DT66"/>
      <c r="DU66"/>
      <c r="DV66"/>
      <c r="DW66"/>
      <c r="DX66"/>
      <c r="DY66"/>
      <c r="DZ66"/>
      <c r="EA66"/>
      <c r="EB66"/>
      <c r="EC66"/>
      <c r="ED66"/>
      <c r="EE66"/>
      <c r="EF66"/>
      <c r="EG66"/>
      <c r="EH66"/>
      <c r="EI66"/>
      <c r="EJ66"/>
      <c r="EK66"/>
      <c r="EL66"/>
      <c r="EM66"/>
      <c r="EN66"/>
      <c r="EO66"/>
      <c r="EP66"/>
      <c r="EQ66"/>
      <c r="ER66"/>
      <c r="ES66"/>
      <c r="ET66"/>
      <c r="EU66"/>
      <c r="EV66"/>
      <c r="EW66"/>
      <c r="EX66"/>
      <c r="EY66"/>
      <c r="EZ66"/>
      <c r="FA66"/>
      <c r="FB66"/>
      <c r="FC66"/>
      <c r="FD66"/>
      <c r="FE66"/>
      <c r="FF66"/>
      <c r="FG66"/>
      <c r="FH66"/>
      <c r="FI66"/>
      <c r="FJ66"/>
      <c r="FK66"/>
      <c r="FL66"/>
      <c r="FM66"/>
      <c r="FN66"/>
      <c r="FO66"/>
      <c r="FP66"/>
      <c r="FQ66"/>
      <c r="FR66"/>
      <c r="FS66"/>
      <c r="FT66"/>
      <c r="FU66"/>
      <c r="FV66"/>
      <c r="FW66"/>
      <c r="FX66"/>
      <c r="FY66"/>
      <c r="FZ66"/>
      <c r="GA66"/>
      <c r="GB66"/>
      <c r="GC66"/>
      <c r="GD66"/>
      <c r="GE66"/>
      <c r="GF66"/>
      <c r="GG66"/>
      <c r="GH66"/>
      <c r="GI66"/>
      <c r="GJ66"/>
      <c r="GK66"/>
      <c r="GL66"/>
      <c r="GM66"/>
      <c r="GN66"/>
      <c r="GO66"/>
      <c r="GP66"/>
      <c r="GQ66"/>
      <c r="GR66"/>
      <c r="GS66"/>
      <c r="GT66"/>
      <c r="GU66"/>
      <c r="GV66"/>
      <c r="GW66"/>
      <c r="GX66"/>
      <c r="GY66"/>
      <c r="GZ66"/>
      <c r="HA66"/>
      <c r="HB66"/>
      <c r="HC66"/>
      <c r="HD66"/>
      <c r="HE66"/>
      <c r="HF66"/>
      <c r="HG66"/>
      <c r="HH66"/>
      <c r="HI66"/>
      <c r="HJ66"/>
      <c r="HK66"/>
      <c r="HL66"/>
      <c r="HM66"/>
      <c r="HN66"/>
      <c r="HO66"/>
      <c r="HP66"/>
      <c r="HQ66"/>
      <c r="HR66"/>
      <c r="HS66"/>
      <c r="HT66"/>
      <c r="HU66"/>
      <c r="HV66"/>
      <c r="HW66"/>
      <c r="HX66"/>
      <c r="HY66"/>
      <c r="HZ66"/>
      <c r="IA66"/>
      <c r="IB66"/>
      <c r="IC66"/>
      <c r="ID66"/>
      <c r="IE66"/>
      <c r="IF66"/>
      <c r="IG66"/>
      <c r="IH66"/>
      <c r="II66"/>
      <c r="IJ66"/>
      <c r="IK66"/>
      <c r="IL66"/>
      <c r="IM66"/>
      <c r="IN66"/>
      <c r="IO66"/>
      <c r="IP66"/>
      <c r="IQ66"/>
      <c r="IR66"/>
      <c r="IS66"/>
      <c r="IT66"/>
      <c r="IU66"/>
      <c r="IV66"/>
    </row>
    <row r="67" spans="1:256" s="201" customFormat="1" ht="14.25" x14ac:dyDescent="0.2">
      <c r="A67" s="10">
        <v>2992</v>
      </c>
      <c r="B67" s="11" t="s">
        <v>248</v>
      </c>
      <c r="C67" s="105" t="s">
        <v>249</v>
      </c>
      <c r="D67" s="11" t="s">
        <v>144</v>
      </c>
      <c r="E67" s="12">
        <v>11891</v>
      </c>
      <c r="F67" s="202">
        <v>38</v>
      </c>
      <c r="G67" s="11">
        <v>36000</v>
      </c>
      <c r="H67" s="116">
        <v>-18000</v>
      </c>
      <c r="I67" s="192"/>
      <c r="J67" s="204"/>
      <c r="K67" s="193"/>
      <c r="L67" s="193"/>
      <c r="M67" s="193"/>
      <c r="N67" s="203">
        <f t="shared" si="28"/>
        <v>36000</v>
      </c>
      <c r="O67" s="203">
        <f t="shared" si="29"/>
        <v>18000</v>
      </c>
      <c r="P67" s="203">
        <f t="shared" si="30"/>
        <v>18000</v>
      </c>
      <c r="Q67" s="214"/>
      <c r="R67" s="219"/>
      <c r="S67" s="217">
        <v>46211</v>
      </c>
      <c r="T67" s="205"/>
      <c r="U67" s="205"/>
      <c r="V67" s="215"/>
      <c r="W67" s="212"/>
      <c r="X67" s="10">
        <v>7</v>
      </c>
      <c r="Y67" s="10">
        <v>7</v>
      </c>
      <c r="Z67" s="213">
        <f t="shared" si="31"/>
        <v>36000</v>
      </c>
      <c r="AA67" s="62"/>
      <c r="AB67" s="62"/>
      <c r="AC67" s="62"/>
      <c r="AD67" s="62"/>
      <c r="AE67" s="62"/>
      <c r="AF67" s="63"/>
      <c r="AG67" s="64"/>
      <c r="AH67" s="6">
        <v>1</v>
      </c>
      <c r="AI67">
        <f t="shared" si="32"/>
        <v>25</v>
      </c>
      <c r="AJ67">
        <f t="shared" si="33"/>
        <v>25</v>
      </c>
      <c r="AK67">
        <f t="shared" si="34"/>
        <v>0</v>
      </c>
      <c r="AL67">
        <f t="shared" si="35"/>
        <v>0</v>
      </c>
      <c r="AM67">
        <f t="shared" si="36"/>
        <v>0</v>
      </c>
      <c r="AN67">
        <f t="shared" si="37"/>
        <v>0</v>
      </c>
      <c r="AO67">
        <f t="shared" si="38"/>
        <v>0</v>
      </c>
      <c r="AP67">
        <f t="shared" si="39"/>
        <v>0</v>
      </c>
      <c r="AQ67">
        <f t="shared" si="40"/>
        <v>0</v>
      </c>
      <c r="AR67">
        <f t="shared" si="41"/>
        <v>0</v>
      </c>
      <c r="AS67">
        <f t="shared" si="42"/>
        <v>0</v>
      </c>
      <c r="AT67">
        <f t="shared" si="43"/>
        <v>0</v>
      </c>
      <c r="AU67">
        <f t="shared" si="44"/>
        <v>1</v>
      </c>
      <c r="AV67">
        <f t="shared" si="45"/>
        <v>1</v>
      </c>
      <c r="AW67">
        <f t="shared" si="46"/>
        <v>1</v>
      </c>
      <c r="AX67">
        <f t="shared" si="47"/>
        <v>1</v>
      </c>
      <c r="AY67">
        <f t="shared" si="48"/>
        <v>18000</v>
      </c>
      <c r="AZ67">
        <f t="shared" si="49"/>
        <v>18000</v>
      </c>
      <c r="BA67">
        <f t="shared" si="50"/>
        <v>0</v>
      </c>
      <c r="BB67">
        <f t="shared" si="51"/>
        <v>0</v>
      </c>
      <c r="BC67">
        <f t="shared" si="52"/>
        <v>0</v>
      </c>
      <c r="BD67">
        <f t="shared" si="53"/>
        <v>0</v>
      </c>
      <c r="BE67">
        <f t="shared" si="54"/>
        <v>0</v>
      </c>
      <c r="BF67">
        <f t="shared" si="55"/>
        <v>0</v>
      </c>
      <c r="BG67"/>
      <c r="BH67"/>
      <c r="BI67"/>
      <c r="BJ67"/>
      <c r="BK67"/>
      <c r="BL67"/>
      <c r="BM67"/>
      <c r="BN67"/>
      <c r="BO67"/>
      <c r="BP67"/>
      <c r="BQ67"/>
      <c r="BR67"/>
      <c r="BS67"/>
      <c r="BT67"/>
      <c r="BU67"/>
      <c r="BV67"/>
      <c r="BW67"/>
      <c r="BX67"/>
      <c r="BY67"/>
      <c r="BZ67"/>
      <c r="CA67"/>
      <c r="CB67"/>
      <c r="CC67"/>
      <c r="CD67"/>
      <c r="CE67"/>
      <c r="CF67"/>
      <c r="CG67"/>
      <c r="CH67"/>
      <c r="CI67"/>
      <c r="CJ67"/>
      <c r="CK67"/>
      <c r="CL67"/>
      <c r="CM67"/>
      <c r="CN67"/>
      <c r="CO67"/>
      <c r="CP67"/>
      <c r="CQ67"/>
      <c r="CR67"/>
      <c r="CS67"/>
      <c r="CT67"/>
      <c r="CU67"/>
      <c r="CV67"/>
      <c r="CW67"/>
      <c r="CX67"/>
      <c r="CY67"/>
      <c r="CZ67"/>
      <c r="DA67"/>
      <c r="DB67"/>
      <c r="DC67"/>
      <c r="DD67"/>
      <c r="DE67"/>
      <c r="DF67"/>
      <c r="DG67"/>
      <c r="DH67"/>
      <c r="DI67"/>
      <c r="DJ67"/>
      <c r="DK67"/>
      <c r="DL67"/>
      <c r="DM67"/>
      <c r="DN67"/>
      <c r="DO67"/>
      <c r="DP67"/>
      <c r="DQ67"/>
      <c r="DR67"/>
      <c r="DS67"/>
      <c r="DT67"/>
      <c r="DU67"/>
      <c r="DV67"/>
      <c r="DW67"/>
      <c r="DX67"/>
      <c r="DY67"/>
      <c r="DZ67"/>
      <c r="EA67"/>
      <c r="EB67"/>
      <c r="EC67"/>
      <c r="ED67"/>
      <c r="EE67"/>
      <c r="EF67"/>
      <c r="EG67"/>
      <c r="EH67"/>
      <c r="EI67"/>
      <c r="EJ67"/>
      <c r="EK67"/>
      <c r="EL67"/>
      <c r="EM67"/>
      <c r="EN67"/>
      <c r="EO67"/>
      <c r="EP67"/>
      <c r="EQ67"/>
      <c r="ER67"/>
      <c r="ES67"/>
      <c r="ET67"/>
      <c r="EU67"/>
      <c r="EV67"/>
      <c r="EW67"/>
      <c r="EX67"/>
      <c r="EY67"/>
      <c r="EZ67"/>
      <c r="FA67"/>
      <c r="FB67"/>
      <c r="FC67"/>
      <c r="FD67"/>
      <c r="FE67"/>
      <c r="FF67"/>
      <c r="FG67"/>
      <c r="FH67"/>
      <c r="FI67"/>
      <c r="FJ67"/>
      <c r="FK67"/>
      <c r="FL67"/>
      <c r="FM67"/>
      <c r="FN67"/>
      <c r="FO67"/>
      <c r="FP67"/>
      <c r="FQ67"/>
      <c r="FR67"/>
      <c r="FS67"/>
      <c r="FT67"/>
      <c r="FU67"/>
      <c r="FV67"/>
      <c r="FW67"/>
      <c r="FX67"/>
      <c r="FY67"/>
      <c r="FZ67"/>
      <c r="GA67"/>
      <c r="GB67"/>
      <c r="GC67"/>
      <c r="GD67"/>
      <c r="GE67"/>
      <c r="GF67"/>
      <c r="GG67"/>
      <c r="GH67"/>
      <c r="GI67"/>
      <c r="GJ67"/>
      <c r="GK67"/>
      <c r="GL67"/>
      <c r="GM67"/>
      <c r="GN67"/>
      <c r="GO67"/>
      <c r="GP67"/>
      <c r="GQ67"/>
      <c r="GR67"/>
      <c r="GS67"/>
      <c r="GT67"/>
      <c r="GU67"/>
      <c r="GV67"/>
      <c r="GW67"/>
      <c r="GX67"/>
      <c r="GY67"/>
      <c r="GZ67"/>
      <c r="HA67"/>
      <c r="HB67"/>
      <c r="HC67"/>
      <c r="HD67"/>
      <c r="HE67"/>
      <c r="HF67"/>
      <c r="HG67"/>
      <c r="HH67"/>
      <c r="HI67"/>
      <c r="HJ67"/>
      <c r="HK67"/>
      <c r="HL67"/>
      <c r="HM67"/>
      <c r="HN67"/>
      <c r="HO67"/>
      <c r="HP67"/>
      <c r="HQ67"/>
      <c r="HR67"/>
      <c r="HS67"/>
      <c r="HT67"/>
      <c r="HU67"/>
      <c r="HV67"/>
      <c r="HW67"/>
      <c r="HX67"/>
      <c r="HY67"/>
      <c r="HZ67"/>
      <c r="IA67"/>
      <c r="IB67"/>
      <c r="IC67"/>
      <c r="ID67"/>
      <c r="IE67"/>
      <c r="IF67"/>
      <c r="IG67"/>
      <c r="IH67"/>
      <c r="II67"/>
      <c r="IJ67"/>
      <c r="IK67"/>
      <c r="IL67"/>
      <c r="IM67"/>
      <c r="IN67"/>
      <c r="IO67"/>
      <c r="IP67"/>
      <c r="IQ67"/>
      <c r="IR67"/>
      <c r="IS67"/>
      <c r="IT67"/>
      <c r="IU67"/>
      <c r="IV67"/>
    </row>
    <row r="68" spans="1:256" s="201" customFormat="1" ht="14.25" x14ac:dyDescent="0.2">
      <c r="A68" s="10">
        <v>2998</v>
      </c>
      <c r="B68" s="11" t="s">
        <v>278</v>
      </c>
      <c r="C68" s="105" t="s">
        <v>279</v>
      </c>
      <c r="D68" s="11" t="s">
        <v>154</v>
      </c>
      <c r="E68" s="12">
        <v>11899</v>
      </c>
      <c r="F68" s="202">
        <v>38</v>
      </c>
      <c r="G68" s="11">
        <v>65000</v>
      </c>
      <c r="H68" s="116">
        <v>0</v>
      </c>
      <c r="I68" s="192"/>
      <c r="J68" s="204"/>
      <c r="K68" s="193"/>
      <c r="L68" s="193"/>
      <c r="M68" s="193"/>
      <c r="N68" s="203">
        <f t="shared" ref="N68:N99" si="56">IF(H68&gt;0,G68+H68-I68-J68-K68-L68-M68,G68-I68-J68-K68-L68-M68)</f>
        <v>65000</v>
      </c>
      <c r="O68" s="203">
        <f t="shared" ref="O68:O99" si="57">G68+H68-J68-I68-K68-L68-M68</f>
        <v>65000</v>
      </c>
      <c r="P68" s="203">
        <f t="shared" ref="P68:P99" si="58">IF(G68+H68&lt;0,0,G68+H68)</f>
        <v>65000</v>
      </c>
      <c r="Q68" s="214"/>
      <c r="R68" s="219"/>
      <c r="S68" s="217">
        <v>46213</v>
      </c>
      <c r="T68" s="205"/>
      <c r="U68" s="205"/>
      <c r="V68" s="215"/>
      <c r="W68" s="212"/>
      <c r="X68" s="10">
        <v>7</v>
      </c>
      <c r="Y68" s="10">
        <v>7</v>
      </c>
      <c r="Z68" s="213">
        <f t="shared" ref="Z68:Z99" si="59">IF(N68&lt;0,0,N68)</f>
        <v>65000</v>
      </c>
      <c r="AA68" s="62"/>
      <c r="AB68" s="62"/>
      <c r="AC68" s="62"/>
      <c r="AD68" s="62"/>
      <c r="AE68" s="62"/>
      <c r="AF68" s="63"/>
      <c r="AG68" s="64"/>
      <c r="AH68" s="6">
        <v>1</v>
      </c>
      <c r="AI68">
        <f t="shared" ref="AI68:AI99" si="60">IF(F68&lt;=6,15,25)</f>
        <v>25</v>
      </c>
      <c r="AJ68">
        <f t="shared" ref="AJ68:AJ99" si="61">IF(O68&lt;&gt;0,25,15)</f>
        <v>25</v>
      </c>
      <c r="AK68">
        <f t="shared" ref="AK68:AK99" si="62">IF(AI68-T68=24,1,0)</f>
        <v>0</v>
      </c>
      <c r="AL68">
        <f t="shared" ref="AL68:AL99" si="63">IF(AH68-AK68=AH68,0,AH68)</f>
        <v>0</v>
      </c>
      <c r="AM68">
        <f t="shared" ref="AM68:AM99" si="64">IF(AK68&lt;&gt;0,U68,0)</f>
        <v>0</v>
      </c>
      <c r="AN68">
        <f t="shared" ref="AN68:AN99" si="65">IF(AK68=1,O68,0)</f>
        <v>0</v>
      </c>
      <c r="AO68">
        <f t="shared" ref="AO68:AO99" si="66">IF(AI68-T68=14,1,0)</f>
        <v>0</v>
      </c>
      <c r="AP68">
        <f t="shared" ref="AP68:AP99" si="67">IF(AH68-AO68=AH68,0,AH68)</f>
        <v>0</v>
      </c>
      <c r="AQ68">
        <f t="shared" ref="AQ68:AQ99" si="68">IF(AO68&lt;&gt;0,U68,0)</f>
        <v>0</v>
      </c>
      <c r="AR68">
        <f t="shared" ref="AR68:AR99" si="69">IF(AO68=1,O68,0)</f>
        <v>0</v>
      </c>
      <c r="AS68">
        <f t="shared" ref="AS68:AS99" si="70">IF(SUM(I68:M68)&lt;&gt;0,1,0)</f>
        <v>0</v>
      </c>
      <c r="AT68">
        <f t="shared" ref="AT68:AT99" si="71">AS68</f>
        <v>0</v>
      </c>
      <c r="AU68">
        <f t="shared" ref="AU68:AU99" si="72">IF(O68&gt;0,1,0)</f>
        <v>1</v>
      </c>
      <c r="AV68">
        <f t="shared" ref="AV68:AV99" si="73">IF(AK68+AO68+AU68=1,AU68,0)</f>
        <v>1</v>
      </c>
      <c r="AW68">
        <f t="shared" ref="AW68:AW99" si="74">IF(AI68-AV68=24,1,0)</f>
        <v>1</v>
      </c>
      <c r="AX68">
        <f t="shared" ref="AX68:AX99" si="75">IF(AH68-AW68=AH68,0,AH68)</f>
        <v>1</v>
      </c>
      <c r="AY68">
        <f t="shared" ref="AY68:AY99" si="76">IF(AW68=1,O68,0)</f>
        <v>65000</v>
      </c>
      <c r="AZ68">
        <f t="shared" ref="AZ68:AZ99" si="77">IF(AY68-BA68&lt;&gt;0,AY68,0)</f>
        <v>65000</v>
      </c>
      <c r="BA68">
        <f t="shared" ref="BA68:BA99" si="78">IF(AY68&lt;0,AY68,0)</f>
        <v>0</v>
      </c>
      <c r="BB68">
        <f t="shared" ref="BB68:BB99" si="79">IF(AI68-AV68=14,1,0)</f>
        <v>0</v>
      </c>
      <c r="BC68">
        <f t="shared" ref="BC68:BC99" si="80">IF(AH68-BB68=AH68,0,AH68)</f>
        <v>0</v>
      </c>
      <c r="BD68">
        <f t="shared" ref="BD68:BD99" si="81">IF(BB68=1,O68,0)</f>
        <v>0</v>
      </c>
      <c r="BE68">
        <f t="shared" ref="BE68:BE99" si="82">IF(BD68&lt;0,BD68,0)</f>
        <v>0</v>
      </c>
      <c r="BF68">
        <f t="shared" ref="BF68:BF99" si="83">IF(BD68-BE68&lt;&gt;0,BD68,0)</f>
        <v>0</v>
      </c>
      <c r="BG68"/>
      <c r="BH68"/>
      <c r="BI68"/>
      <c r="BJ68"/>
      <c r="BK68"/>
      <c r="BL68"/>
      <c r="BM68"/>
      <c r="BN68"/>
      <c r="BO68"/>
      <c r="BP68"/>
      <c r="BQ68"/>
      <c r="BR68"/>
      <c r="BS68"/>
      <c r="BT68"/>
      <c r="BU68"/>
      <c r="BV68"/>
      <c r="BW68"/>
      <c r="BX68"/>
      <c r="BY68"/>
      <c r="BZ68"/>
      <c r="CA68"/>
      <c r="CB68"/>
      <c r="CC68"/>
      <c r="CD68"/>
      <c r="CE68"/>
      <c r="CF68"/>
      <c r="CG68"/>
      <c r="CH68"/>
      <c r="CI68"/>
      <c r="CJ68"/>
      <c r="CK68"/>
      <c r="CL68"/>
      <c r="CM68"/>
      <c r="CN68"/>
      <c r="CO68"/>
      <c r="CP68"/>
      <c r="CQ68"/>
      <c r="CR68"/>
      <c r="CS68"/>
      <c r="CT68"/>
      <c r="CU68"/>
      <c r="CV68"/>
      <c r="CW68"/>
      <c r="CX68"/>
      <c r="CY68"/>
      <c r="CZ68"/>
      <c r="DA68"/>
      <c r="DB68"/>
      <c r="DC68"/>
      <c r="DD68"/>
      <c r="DE68"/>
      <c r="DF68"/>
      <c r="DG68"/>
      <c r="DH68"/>
      <c r="DI68"/>
      <c r="DJ68"/>
      <c r="DK68"/>
      <c r="DL68"/>
      <c r="DM68"/>
      <c r="DN68"/>
      <c r="DO68"/>
      <c r="DP68"/>
      <c r="DQ68"/>
      <c r="DR68"/>
      <c r="DS68"/>
      <c r="DT68"/>
      <c r="DU68"/>
      <c r="DV68"/>
      <c r="DW68"/>
      <c r="DX68"/>
      <c r="DY68"/>
      <c r="DZ68"/>
      <c r="EA68"/>
      <c r="EB68"/>
      <c r="EC68"/>
      <c r="ED68"/>
      <c r="EE68"/>
      <c r="EF68"/>
      <c r="EG68"/>
      <c r="EH68"/>
      <c r="EI68"/>
      <c r="EJ68"/>
      <c r="EK68"/>
      <c r="EL68"/>
      <c r="EM68"/>
      <c r="EN68"/>
      <c r="EO68"/>
      <c r="EP68"/>
      <c r="EQ68"/>
      <c r="ER68"/>
      <c r="ES68"/>
      <c r="ET68"/>
      <c r="EU68"/>
      <c r="EV68"/>
      <c r="EW68"/>
      <c r="EX68"/>
      <c r="EY68"/>
      <c r="EZ68"/>
      <c r="FA68"/>
      <c r="FB68"/>
      <c r="FC68"/>
      <c r="FD68"/>
      <c r="FE68"/>
      <c r="FF68"/>
      <c r="FG68"/>
      <c r="FH68"/>
      <c r="FI68"/>
      <c r="FJ68"/>
      <c r="FK68"/>
      <c r="FL68"/>
      <c r="FM68"/>
      <c r="FN68"/>
      <c r="FO68"/>
      <c r="FP68"/>
      <c r="FQ68"/>
      <c r="FR68"/>
      <c r="FS68"/>
      <c r="FT68"/>
      <c r="FU68"/>
      <c r="FV68"/>
      <c r="FW68"/>
      <c r="FX68"/>
      <c r="FY68"/>
      <c r="FZ68"/>
      <c r="GA68"/>
      <c r="GB68"/>
      <c r="GC68"/>
      <c r="GD68"/>
      <c r="GE68"/>
      <c r="GF68"/>
      <c r="GG68"/>
      <c r="GH68"/>
      <c r="GI68"/>
      <c r="GJ68"/>
      <c r="GK68"/>
      <c r="GL68"/>
      <c r="GM68"/>
      <c r="GN68"/>
      <c r="GO68"/>
      <c r="GP68"/>
      <c r="GQ68"/>
      <c r="GR68"/>
      <c r="GS68"/>
      <c r="GT68"/>
      <c r="GU68"/>
      <c r="GV68"/>
      <c r="GW68"/>
      <c r="GX68"/>
      <c r="GY68"/>
      <c r="GZ68"/>
      <c r="HA68"/>
      <c r="HB68"/>
      <c r="HC68"/>
      <c r="HD68"/>
      <c r="HE68"/>
      <c r="HF68"/>
      <c r="HG68"/>
      <c r="HH68"/>
      <c r="HI68"/>
      <c r="HJ68"/>
      <c r="HK68"/>
      <c r="HL68"/>
      <c r="HM68"/>
      <c r="HN68"/>
      <c r="HO68"/>
      <c r="HP68"/>
      <c r="HQ68"/>
      <c r="HR68"/>
      <c r="HS68"/>
      <c r="HT68"/>
      <c r="HU68"/>
      <c r="HV68"/>
      <c r="HW68"/>
      <c r="HX68"/>
      <c r="HY68"/>
      <c r="HZ68"/>
      <c r="IA68"/>
      <c r="IB68"/>
      <c r="IC68"/>
      <c r="ID68"/>
      <c r="IE68"/>
      <c r="IF68"/>
      <c r="IG68"/>
      <c r="IH68"/>
      <c r="II68"/>
      <c r="IJ68"/>
      <c r="IK68"/>
      <c r="IL68"/>
      <c r="IM68"/>
      <c r="IN68"/>
      <c r="IO68"/>
      <c r="IP68"/>
      <c r="IQ68"/>
      <c r="IR68"/>
      <c r="IS68"/>
      <c r="IT68"/>
      <c r="IU68"/>
      <c r="IV68"/>
    </row>
    <row r="69" spans="1:256" s="201" customFormat="1" ht="14.25" x14ac:dyDescent="0.2">
      <c r="A69" s="10">
        <v>3011</v>
      </c>
      <c r="B69" s="11" t="s">
        <v>398</v>
      </c>
      <c r="C69" s="105" t="s">
        <v>399</v>
      </c>
      <c r="D69" s="11" t="s">
        <v>105</v>
      </c>
      <c r="E69" s="12">
        <v>11103</v>
      </c>
      <c r="F69" s="202">
        <v>37</v>
      </c>
      <c r="G69" s="11">
        <v>60000</v>
      </c>
      <c r="H69" s="116">
        <v>0</v>
      </c>
      <c r="I69" s="192"/>
      <c r="J69" s="204"/>
      <c r="K69" s="193"/>
      <c r="L69" s="193"/>
      <c r="M69" s="193"/>
      <c r="N69" s="203">
        <f t="shared" si="56"/>
        <v>60000</v>
      </c>
      <c r="O69" s="203">
        <f t="shared" si="57"/>
        <v>60000</v>
      </c>
      <c r="P69" s="203">
        <f t="shared" si="58"/>
        <v>60000</v>
      </c>
      <c r="Q69" s="214"/>
      <c r="R69" s="219"/>
      <c r="S69" s="217">
        <v>46218</v>
      </c>
      <c r="T69" s="205"/>
      <c r="U69" s="205"/>
      <c r="V69" s="215"/>
      <c r="W69" s="212"/>
      <c r="X69" s="10">
        <v>7</v>
      </c>
      <c r="Y69" s="10">
        <v>7</v>
      </c>
      <c r="Z69" s="213">
        <f t="shared" si="59"/>
        <v>60000</v>
      </c>
      <c r="AA69" s="62"/>
      <c r="AB69" s="62"/>
      <c r="AC69" s="62"/>
      <c r="AD69" s="62"/>
      <c r="AE69" s="62"/>
      <c r="AF69" s="63"/>
      <c r="AG69" s="64"/>
      <c r="AH69" s="6">
        <v>1</v>
      </c>
      <c r="AI69">
        <f t="shared" si="60"/>
        <v>25</v>
      </c>
      <c r="AJ69">
        <f t="shared" si="61"/>
        <v>25</v>
      </c>
      <c r="AK69">
        <f t="shared" si="62"/>
        <v>0</v>
      </c>
      <c r="AL69">
        <f t="shared" si="63"/>
        <v>0</v>
      </c>
      <c r="AM69">
        <f t="shared" si="64"/>
        <v>0</v>
      </c>
      <c r="AN69">
        <f t="shared" si="65"/>
        <v>0</v>
      </c>
      <c r="AO69">
        <f t="shared" si="66"/>
        <v>0</v>
      </c>
      <c r="AP69">
        <f t="shared" si="67"/>
        <v>0</v>
      </c>
      <c r="AQ69">
        <f t="shared" si="68"/>
        <v>0</v>
      </c>
      <c r="AR69">
        <f t="shared" si="69"/>
        <v>0</v>
      </c>
      <c r="AS69">
        <f t="shared" si="70"/>
        <v>0</v>
      </c>
      <c r="AT69">
        <f t="shared" si="71"/>
        <v>0</v>
      </c>
      <c r="AU69">
        <f t="shared" si="72"/>
        <v>1</v>
      </c>
      <c r="AV69">
        <f t="shared" si="73"/>
        <v>1</v>
      </c>
      <c r="AW69">
        <f t="shared" si="74"/>
        <v>1</v>
      </c>
      <c r="AX69">
        <f t="shared" si="75"/>
        <v>1</v>
      </c>
      <c r="AY69">
        <f t="shared" si="76"/>
        <v>60000</v>
      </c>
      <c r="AZ69">
        <f t="shared" si="77"/>
        <v>60000</v>
      </c>
      <c r="BA69">
        <f t="shared" si="78"/>
        <v>0</v>
      </c>
      <c r="BB69">
        <f t="shared" si="79"/>
        <v>0</v>
      </c>
      <c r="BC69">
        <f t="shared" si="80"/>
        <v>0</v>
      </c>
      <c r="BD69">
        <f t="shared" si="81"/>
        <v>0</v>
      </c>
      <c r="BE69">
        <f t="shared" si="82"/>
        <v>0</v>
      </c>
      <c r="BF69">
        <f t="shared" si="83"/>
        <v>0</v>
      </c>
      <c r="BG69"/>
      <c r="BH69"/>
      <c r="BI69"/>
      <c r="BJ69"/>
      <c r="BK69"/>
      <c r="BL69"/>
      <c r="BM69"/>
      <c r="BN69"/>
      <c r="BO69"/>
      <c r="BP69"/>
      <c r="BQ69"/>
      <c r="BR69"/>
      <c r="BS69"/>
      <c r="BT69"/>
      <c r="BU69"/>
      <c r="BV69"/>
      <c r="BW69"/>
      <c r="BX69"/>
      <c r="BY69"/>
      <c r="BZ69"/>
      <c r="CA69"/>
      <c r="CB69"/>
      <c r="CC69"/>
      <c r="CD69"/>
      <c r="CE69"/>
      <c r="CF69"/>
      <c r="CG69"/>
      <c r="CH69"/>
      <c r="CI69"/>
      <c r="CJ69"/>
      <c r="CK69"/>
      <c r="CL69"/>
      <c r="CM69"/>
      <c r="CN69"/>
      <c r="CO69"/>
      <c r="CP69"/>
      <c r="CQ69"/>
      <c r="CR69"/>
      <c r="CS69"/>
      <c r="CT69"/>
      <c r="CU69"/>
      <c r="CV69"/>
      <c r="CW69"/>
      <c r="CX69"/>
      <c r="CY69"/>
      <c r="CZ69"/>
      <c r="DA69"/>
      <c r="DB69"/>
      <c r="DC69"/>
      <c r="DD69"/>
      <c r="DE69"/>
      <c r="DF69"/>
      <c r="DG69"/>
      <c r="DH69"/>
      <c r="DI69"/>
      <c r="DJ69"/>
      <c r="DK69"/>
      <c r="DL69"/>
      <c r="DM69"/>
      <c r="DN69"/>
      <c r="DO69"/>
      <c r="DP69"/>
      <c r="DQ69"/>
      <c r="DR69"/>
      <c r="DS69"/>
      <c r="DT69"/>
      <c r="DU69"/>
      <c r="DV69"/>
      <c r="DW69"/>
      <c r="DX69"/>
      <c r="DY69"/>
      <c r="DZ69"/>
      <c r="EA69"/>
      <c r="EB69"/>
      <c r="EC69"/>
      <c r="ED69"/>
      <c r="EE69"/>
      <c r="EF69"/>
      <c r="EG69"/>
      <c r="EH69"/>
      <c r="EI69"/>
      <c r="EJ69"/>
      <c r="EK69"/>
      <c r="EL69"/>
      <c r="EM69"/>
      <c r="EN69"/>
      <c r="EO69"/>
      <c r="EP69"/>
      <c r="EQ69"/>
      <c r="ER69"/>
      <c r="ES69"/>
      <c r="ET69"/>
      <c r="EU69"/>
      <c r="EV69"/>
      <c r="EW69"/>
      <c r="EX69"/>
      <c r="EY69"/>
      <c r="EZ69"/>
      <c r="FA69"/>
      <c r="FB69"/>
      <c r="FC69"/>
      <c r="FD69"/>
      <c r="FE69"/>
      <c r="FF69"/>
      <c r="FG69"/>
      <c r="FH69"/>
      <c r="FI69"/>
      <c r="FJ69"/>
      <c r="FK69"/>
      <c r="FL69"/>
      <c r="FM69"/>
      <c r="FN69"/>
      <c r="FO69"/>
      <c r="FP69"/>
      <c r="FQ69"/>
      <c r="FR69"/>
      <c r="FS69"/>
      <c r="FT69"/>
      <c r="FU69"/>
      <c r="FV69"/>
      <c r="FW69"/>
      <c r="FX69"/>
      <c r="FY69"/>
      <c r="FZ69"/>
      <c r="GA69"/>
      <c r="GB69"/>
      <c r="GC69"/>
      <c r="GD69"/>
      <c r="GE69"/>
      <c r="GF69"/>
      <c r="GG69"/>
      <c r="GH69"/>
      <c r="GI69"/>
      <c r="GJ69"/>
      <c r="GK69"/>
      <c r="GL69"/>
      <c r="GM69"/>
      <c r="GN69"/>
      <c r="GO69"/>
      <c r="GP69"/>
      <c r="GQ69"/>
      <c r="GR69"/>
      <c r="GS69"/>
      <c r="GT69"/>
      <c r="GU69"/>
      <c r="GV69"/>
      <c r="GW69"/>
      <c r="GX69"/>
      <c r="GY69"/>
      <c r="GZ69"/>
      <c r="HA69"/>
      <c r="HB69"/>
      <c r="HC69"/>
      <c r="HD69"/>
      <c r="HE69"/>
      <c r="HF69"/>
      <c r="HG69"/>
      <c r="HH69"/>
      <c r="HI69"/>
      <c r="HJ69"/>
      <c r="HK69"/>
      <c r="HL69"/>
      <c r="HM69"/>
      <c r="HN69"/>
      <c r="HO69"/>
      <c r="HP69"/>
      <c r="HQ69"/>
      <c r="HR69"/>
      <c r="HS69"/>
      <c r="HT69"/>
      <c r="HU69"/>
      <c r="HV69"/>
      <c r="HW69"/>
      <c r="HX69"/>
      <c r="HY69"/>
      <c r="HZ69"/>
      <c r="IA69"/>
      <c r="IB69"/>
      <c r="IC69"/>
      <c r="ID69"/>
      <c r="IE69"/>
      <c r="IF69"/>
      <c r="IG69"/>
      <c r="IH69"/>
      <c r="II69"/>
      <c r="IJ69"/>
      <c r="IK69"/>
      <c r="IL69"/>
      <c r="IM69"/>
      <c r="IN69"/>
      <c r="IO69"/>
      <c r="IP69"/>
      <c r="IQ69"/>
      <c r="IR69"/>
      <c r="IS69"/>
      <c r="IT69"/>
      <c r="IU69"/>
      <c r="IV69"/>
    </row>
    <row r="70" spans="1:256" s="201" customFormat="1" ht="14.25" x14ac:dyDescent="0.2">
      <c r="A70" s="10">
        <v>3013</v>
      </c>
      <c r="B70" s="11" t="s">
        <v>400</v>
      </c>
      <c r="C70" s="105" t="s">
        <v>401</v>
      </c>
      <c r="D70" s="11" t="s">
        <v>105</v>
      </c>
      <c r="E70" s="12">
        <v>11145</v>
      </c>
      <c r="F70" s="202">
        <v>37</v>
      </c>
      <c r="G70" s="11">
        <v>75000</v>
      </c>
      <c r="H70" s="116">
        <v>0</v>
      </c>
      <c r="I70" s="192"/>
      <c r="J70" s="204"/>
      <c r="K70" s="193"/>
      <c r="L70" s="193"/>
      <c r="M70" s="193"/>
      <c r="N70" s="203">
        <f t="shared" si="56"/>
        <v>75000</v>
      </c>
      <c r="O70" s="203">
        <f t="shared" si="57"/>
        <v>75000</v>
      </c>
      <c r="P70" s="203">
        <f t="shared" si="58"/>
        <v>75000</v>
      </c>
      <c r="Q70" s="214"/>
      <c r="R70" s="219"/>
      <c r="S70" s="217">
        <v>46224</v>
      </c>
      <c r="T70" s="205"/>
      <c r="U70" s="205"/>
      <c r="V70" s="215"/>
      <c r="W70" s="212"/>
      <c r="X70" s="10">
        <v>7</v>
      </c>
      <c r="Y70" s="10">
        <v>7</v>
      </c>
      <c r="Z70" s="213">
        <f t="shared" si="59"/>
        <v>75000</v>
      </c>
      <c r="AA70" s="62"/>
      <c r="AB70" s="62"/>
      <c r="AC70" s="62"/>
      <c r="AD70" s="62"/>
      <c r="AE70" s="62"/>
      <c r="AF70" s="63"/>
      <c r="AG70" s="64"/>
      <c r="AH70" s="6">
        <v>1</v>
      </c>
      <c r="AI70">
        <f t="shared" si="60"/>
        <v>25</v>
      </c>
      <c r="AJ70">
        <f t="shared" si="61"/>
        <v>25</v>
      </c>
      <c r="AK70">
        <f t="shared" si="62"/>
        <v>0</v>
      </c>
      <c r="AL70">
        <f t="shared" si="63"/>
        <v>0</v>
      </c>
      <c r="AM70">
        <f t="shared" si="64"/>
        <v>0</v>
      </c>
      <c r="AN70">
        <f t="shared" si="65"/>
        <v>0</v>
      </c>
      <c r="AO70">
        <f t="shared" si="66"/>
        <v>0</v>
      </c>
      <c r="AP70">
        <f t="shared" si="67"/>
        <v>0</v>
      </c>
      <c r="AQ70">
        <f t="shared" si="68"/>
        <v>0</v>
      </c>
      <c r="AR70">
        <f t="shared" si="69"/>
        <v>0</v>
      </c>
      <c r="AS70">
        <f t="shared" si="70"/>
        <v>0</v>
      </c>
      <c r="AT70">
        <f t="shared" si="71"/>
        <v>0</v>
      </c>
      <c r="AU70">
        <f t="shared" si="72"/>
        <v>1</v>
      </c>
      <c r="AV70">
        <f t="shared" si="73"/>
        <v>1</v>
      </c>
      <c r="AW70">
        <f t="shared" si="74"/>
        <v>1</v>
      </c>
      <c r="AX70">
        <f t="shared" si="75"/>
        <v>1</v>
      </c>
      <c r="AY70">
        <f t="shared" si="76"/>
        <v>75000</v>
      </c>
      <c r="AZ70">
        <f t="shared" si="77"/>
        <v>75000</v>
      </c>
      <c r="BA70">
        <f t="shared" si="78"/>
        <v>0</v>
      </c>
      <c r="BB70">
        <f t="shared" si="79"/>
        <v>0</v>
      </c>
      <c r="BC70">
        <f t="shared" si="80"/>
        <v>0</v>
      </c>
      <c r="BD70">
        <f t="shared" si="81"/>
        <v>0</v>
      </c>
      <c r="BE70">
        <f t="shared" si="82"/>
        <v>0</v>
      </c>
      <c r="BF70">
        <f t="shared" si="83"/>
        <v>0</v>
      </c>
      <c r="BG70"/>
      <c r="BH70"/>
      <c r="BI70"/>
      <c r="BJ70"/>
      <c r="BK70"/>
      <c r="BL70"/>
      <c r="BM70"/>
      <c r="BN70"/>
      <c r="BO70"/>
      <c r="BP70"/>
      <c r="BQ70"/>
      <c r="BR70"/>
      <c r="BS70"/>
      <c r="BT70"/>
      <c r="BU70"/>
      <c r="BV70"/>
      <c r="BW70"/>
      <c r="BX70"/>
      <c r="BY70"/>
      <c r="BZ70"/>
      <c r="CA70"/>
      <c r="CB70"/>
      <c r="CC70"/>
      <c r="CD70"/>
      <c r="CE70"/>
      <c r="CF70"/>
      <c r="CG70"/>
      <c r="CH70"/>
      <c r="CI70"/>
      <c r="CJ70"/>
      <c r="CK70"/>
      <c r="CL70"/>
      <c r="CM70"/>
      <c r="CN70"/>
      <c r="CO70"/>
      <c r="CP70"/>
      <c r="CQ70"/>
      <c r="CR70"/>
      <c r="CS70"/>
      <c r="CT70"/>
      <c r="CU70"/>
      <c r="CV70"/>
      <c r="CW70"/>
      <c r="CX70"/>
      <c r="CY70"/>
      <c r="CZ70"/>
      <c r="DA70"/>
      <c r="DB70"/>
      <c r="DC70"/>
      <c r="DD70"/>
      <c r="DE70"/>
      <c r="DF70"/>
      <c r="DG70"/>
      <c r="DH70"/>
      <c r="DI70"/>
      <c r="DJ70"/>
      <c r="DK70"/>
      <c r="DL70"/>
      <c r="DM70"/>
      <c r="DN70"/>
      <c r="DO70"/>
      <c r="DP70"/>
      <c r="DQ70"/>
      <c r="DR70"/>
      <c r="DS70"/>
      <c r="DT70"/>
      <c r="DU70"/>
      <c r="DV70"/>
      <c r="DW70"/>
      <c r="DX70"/>
      <c r="DY70"/>
      <c r="DZ70"/>
      <c r="EA70"/>
      <c r="EB70"/>
      <c r="EC70"/>
      <c r="ED70"/>
      <c r="EE70"/>
      <c r="EF70"/>
      <c r="EG70"/>
      <c r="EH70"/>
      <c r="EI70"/>
      <c r="EJ70"/>
      <c r="EK70"/>
      <c r="EL70"/>
      <c r="EM70"/>
      <c r="EN70"/>
      <c r="EO70"/>
      <c r="EP70"/>
      <c r="EQ70"/>
      <c r="ER70"/>
      <c r="ES70"/>
      <c r="ET70"/>
      <c r="EU70"/>
      <c r="EV70"/>
      <c r="EW70"/>
      <c r="EX70"/>
      <c r="EY70"/>
      <c r="EZ70"/>
      <c r="FA70"/>
      <c r="FB70"/>
      <c r="FC70"/>
      <c r="FD70"/>
      <c r="FE70"/>
      <c r="FF70"/>
      <c r="FG70"/>
      <c r="FH70"/>
      <c r="FI70"/>
      <c r="FJ70"/>
      <c r="FK70"/>
      <c r="FL70"/>
      <c r="FM70"/>
      <c r="FN70"/>
      <c r="FO70"/>
      <c r="FP70"/>
      <c r="FQ70"/>
      <c r="FR70"/>
      <c r="FS70"/>
      <c r="FT70"/>
      <c r="FU70"/>
      <c r="FV70"/>
      <c r="FW70"/>
      <c r="FX70"/>
      <c r="FY70"/>
      <c r="FZ70"/>
      <c r="GA70"/>
      <c r="GB70"/>
      <c r="GC70"/>
      <c r="GD70"/>
      <c r="GE70"/>
      <c r="GF70"/>
      <c r="GG70"/>
      <c r="GH70"/>
      <c r="GI70"/>
      <c r="GJ70"/>
      <c r="GK70"/>
      <c r="GL70"/>
      <c r="GM70"/>
      <c r="GN70"/>
      <c r="GO70"/>
      <c r="GP70"/>
      <c r="GQ70"/>
      <c r="GR70"/>
      <c r="GS70"/>
      <c r="GT70"/>
      <c r="GU70"/>
      <c r="GV70"/>
      <c r="GW70"/>
      <c r="GX70"/>
      <c r="GY70"/>
      <c r="GZ70"/>
      <c r="HA70"/>
      <c r="HB70"/>
      <c r="HC70"/>
      <c r="HD70"/>
      <c r="HE70"/>
      <c r="HF70"/>
      <c r="HG70"/>
      <c r="HH70"/>
      <c r="HI70"/>
      <c r="HJ70"/>
      <c r="HK70"/>
      <c r="HL70"/>
      <c r="HM70"/>
      <c r="HN70"/>
      <c r="HO70"/>
      <c r="HP70"/>
      <c r="HQ70"/>
      <c r="HR70"/>
      <c r="HS70"/>
      <c r="HT70"/>
      <c r="HU70"/>
      <c r="HV70"/>
      <c r="HW70"/>
      <c r="HX70"/>
      <c r="HY70"/>
      <c r="HZ70"/>
      <c r="IA70"/>
      <c r="IB70"/>
      <c r="IC70"/>
      <c r="ID70"/>
      <c r="IE70"/>
      <c r="IF70"/>
      <c r="IG70"/>
      <c r="IH70"/>
      <c r="II70"/>
      <c r="IJ70"/>
      <c r="IK70"/>
      <c r="IL70"/>
      <c r="IM70"/>
      <c r="IN70"/>
      <c r="IO70"/>
      <c r="IP70"/>
      <c r="IQ70"/>
      <c r="IR70"/>
      <c r="IS70"/>
      <c r="IT70"/>
      <c r="IU70"/>
      <c r="IV70"/>
    </row>
    <row r="71" spans="1:256" s="201" customFormat="1" ht="14.25" x14ac:dyDescent="0.2">
      <c r="A71" s="10">
        <v>3027</v>
      </c>
      <c r="B71" s="11" t="s">
        <v>402</v>
      </c>
      <c r="C71" s="105" t="s">
        <v>403</v>
      </c>
      <c r="D71" s="11" t="s">
        <v>154</v>
      </c>
      <c r="E71" s="12">
        <v>10161</v>
      </c>
      <c r="F71" s="202">
        <v>36</v>
      </c>
      <c r="G71" s="11">
        <v>60000</v>
      </c>
      <c r="H71" s="116">
        <v>-30000</v>
      </c>
      <c r="I71" s="192"/>
      <c r="J71" s="204"/>
      <c r="K71" s="193"/>
      <c r="L71" s="193"/>
      <c r="M71" s="193"/>
      <c r="N71" s="203">
        <f t="shared" si="56"/>
        <v>60000</v>
      </c>
      <c r="O71" s="203">
        <f t="shared" si="57"/>
        <v>30000</v>
      </c>
      <c r="P71" s="203">
        <f t="shared" si="58"/>
        <v>30000</v>
      </c>
      <c r="Q71" s="214"/>
      <c r="R71" s="219"/>
      <c r="S71" s="217">
        <v>46216</v>
      </c>
      <c r="T71" s="205"/>
      <c r="U71" s="205"/>
      <c r="V71" s="215"/>
      <c r="W71" s="212"/>
      <c r="X71" s="10">
        <v>7</v>
      </c>
      <c r="Y71" s="10">
        <v>7</v>
      </c>
      <c r="Z71" s="213">
        <f t="shared" si="59"/>
        <v>60000</v>
      </c>
      <c r="AA71" s="62"/>
      <c r="AB71" s="62"/>
      <c r="AC71" s="62"/>
      <c r="AD71" s="62"/>
      <c r="AE71" s="62"/>
      <c r="AF71" s="63"/>
      <c r="AG71" s="64"/>
      <c r="AH71" s="6">
        <v>1</v>
      </c>
      <c r="AI71">
        <f t="shared" si="60"/>
        <v>25</v>
      </c>
      <c r="AJ71">
        <f t="shared" si="61"/>
        <v>25</v>
      </c>
      <c r="AK71">
        <f t="shared" si="62"/>
        <v>0</v>
      </c>
      <c r="AL71">
        <f t="shared" si="63"/>
        <v>0</v>
      </c>
      <c r="AM71">
        <f t="shared" si="64"/>
        <v>0</v>
      </c>
      <c r="AN71">
        <f t="shared" si="65"/>
        <v>0</v>
      </c>
      <c r="AO71">
        <f t="shared" si="66"/>
        <v>0</v>
      </c>
      <c r="AP71">
        <f t="shared" si="67"/>
        <v>0</v>
      </c>
      <c r="AQ71">
        <f t="shared" si="68"/>
        <v>0</v>
      </c>
      <c r="AR71">
        <f t="shared" si="69"/>
        <v>0</v>
      </c>
      <c r="AS71">
        <f t="shared" si="70"/>
        <v>0</v>
      </c>
      <c r="AT71">
        <f t="shared" si="71"/>
        <v>0</v>
      </c>
      <c r="AU71">
        <f t="shared" si="72"/>
        <v>1</v>
      </c>
      <c r="AV71">
        <f t="shared" si="73"/>
        <v>1</v>
      </c>
      <c r="AW71">
        <f t="shared" si="74"/>
        <v>1</v>
      </c>
      <c r="AX71">
        <f t="shared" si="75"/>
        <v>1</v>
      </c>
      <c r="AY71">
        <f t="shared" si="76"/>
        <v>30000</v>
      </c>
      <c r="AZ71">
        <f t="shared" si="77"/>
        <v>30000</v>
      </c>
      <c r="BA71">
        <f t="shared" si="78"/>
        <v>0</v>
      </c>
      <c r="BB71">
        <f t="shared" si="79"/>
        <v>0</v>
      </c>
      <c r="BC71">
        <f t="shared" si="80"/>
        <v>0</v>
      </c>
      <c r="BD71">
        <f t="shared" si="81"/>
        <v>0</v>
      </c>
      <c r="BE71">
        <f t="shared" si="82"/>
        <v>0</v>
      </c>
      <c r="BF71">
        <f t="shared" si="83"/>
        <v>0</v>
      </c>
      <c r="BG71"/>
      <c r="BH71"/>
      <c r="BI71"/>
      <c r="BJ71"/>
      <c r="BK71"/>
      <c r="BL71"/>
      <c r="BM71"/>
      <c r="BN71"/>
      <c r="BO71"/>
      <c r="BP71"/>
      <c r="BQ71"/>
      <c r="BR71"/>
      <c r="BS71"/>
      <c r="BT71"/>
      <c r="BU71"/>
      <c r="BV71"/>
      <c r="BW71"/>
      <c r="BX71"/>
      <c r="BY71"/>
      <c r="BZ71"/>
      <c r="CA71"/>
      <c r="CB71"/>
      <c r="CC71"/>
      <c r="CD71"/>
      <c r="CE71"/>
      <c r="CF71"/>
      <c r="CG71"/>
      <c r="CH71"/>
      <c r="CI71"/>
      <c r="CJ71"/>
      <c r="CK71"/>
      <c r="CL71"/>
      <c r="CM71"/>
      <c r="CN71"/>
      <c r="CO71"/>
      <c r="CP71"/>
      <c r="CQ71"/>
      <c r="CR71"/>
      <c r="CS71"/>
      <c r="CT71"/>
      <c r="CU71"/>
      <c r="CV71"/>
      <c r="CW71"/>
      <c r="CX71"/>
      <c r="CY71"/>
      <c r="CZ71"/>
      <c r="DA71"/>
      <c r="DB71"/>
      <c r="DC71"/>
      <c r="DD71"/>
      <c r="DE71"/>
      <c r="DF71"/>
      <c r="DG71"/>
      <c r="DH71"/>
      <c r="DI71"/>
      <c r="DJ71"/>
      <c r="DK71"/>
      <c r="DL71"/>
      <c r="DM71"/>
      <c r="DN71"/>
      <c r="DO71"/>
      <c r="DP71"/>
      <c r="DQ71"/>
      <c r="DR71"/>
      <c r="DS71"/>
      <c r="DT71"/>
      <c r="DU71"/>
      <c r="DV71"/>
      <c r="DW71"/>
      <c r="DX71"/>
      <c r="DY71"/>
      <c r="DZ71"/>
      <c r="EA71"/>
      <c r="EB71"/>
      <c r="EC71"/>
      <c r="ED71"/>
      <c r="EE71"/>
      <c r="EF71"/>
      <c r="EG71"/>
      <c r="EH71"/>
      <c r="EI71"/>
      <c r="EJ71"/>
      <c r="EK71"/>
      <c r="EL71"/>
      <c r="EM71"/>
      <c r="EN71"/>
      <c r="EO71"/>
      <c r="EP71"/>
      <c r="EQ71"/>
      <c r="ER71"/>
      <c r="ES71"/>
      <c r="ET71"/>
      <c r="EU71"/>
      <c r="EV71"/>
      <c r="EW71"/>
      <c r="EX71"/>
      <c r="EY71"/>
      <c r="EZ71"/>
      <c r="FA71"/>
      <c r="FB71"/>
      <c r="FC71"/>
      <c r="FD71"/>
      <c r="FE71"/>
      <c r="FF71"/>
      <c r="FG71"/>
      <c r="FH71"/>
      <c r="FI71"/>
      <c r="FJ71"/>
      <c r="FK71"/>
      <c r="FL71"/>
      <c r="FM71"/>
      <c r="FN71"/>
      <c r="FO71"/>
      <c r="FP71"/>
      <c r="FQ71"/>
      <c r="FR71"/>
      <c r="FS71"/>
      <c r="FT71"/>
      <c r="FU71"/>
      <c r="FV71"/>
      <c r="FW71"/>
      <c r="FX71"/>
      <c r="FY71"/>
      <c r="FZ71"/>
      <c r="GA71"/>
      <c r="GB71"/>
      <c r="GC71"/>
      <c r="GD71"/>
      <c r="GE71"/>
      <c r="GF71"/>
      <c r="GG71"/>
      <c r="GH71"/>
      <c r="GI71"/>
      <c r="GJ71"/>
      <c r="GK71"/>
      <c r="GL71"/>
      <c r="GM71"/>
      <c r="GN71"/>
      <c r="GO71"/>
      <c r="GP71"/>
      <c r="GQ71"/>
      <c r="GR71"/>
      <c r="GS71"/>
      <c r="GT71"/>
      <c r="GU71"/>
      <c r="GV71"/>
      <c r="GW71"/>
      <c r="GX71"/>
      <c r="GY71"/>
      <c r="GZ71"/>
      <c r="HA71"/>
      <c r="HB71"/>
      <c r="HC71"/>
      <c r="HD71"/>
      <c r="HE71"/>
      <c r="HF71"/>
      <c r="HG71"/>
      <c r="HH71"/>
      <c r="HI71"/>
      <c r="HJ71"/>
      <c r="HK71"/>
      <c r="HL71"/>
      <c r="HM71"/>
      <c r="HN71"/>
      <c r="HO71"/>
      <c r="HP71"/>
      <c r="HQ71"/>
      <c r="HR71"/>
      <c r="HS71"/>
      <c r="HT71"/>
      <c r="HU71"/>
      <c r="HV71"/>
      <c r="HW71"/>
      <c r="HX71"/>
      <c r="HY71"/>
      <c r="HZ71"/>
      <c r="IA71"/>
      <c r="IB71"/>
      <c r="IC71"/>
      <c r="ID71"/>
      <c r="IE71"/>
      <c r="IF71"/>
      <c r="IG71"/>
      <c r="IH71"/>
      <c r="II71"/>
      <c r="IJ71"/>
      <c r="IK71"/>
      <c r="IL71"/>
      <c r="IM71"/>
      <c r="IN71"/>
      <c r="IO71"/>
      <c r="IP71"/>
      <c r="IQ71"/>
      <c r="IR71"/>
      <c r="IS71"/>
      <c r="IT71"/>
      <c r="IU71"/>
      <c r="IV71"/>
    </row>
    <row r="72" spans="1:256" s="201" customFormat="1" ht="14.25" x14ac:dyDescent="0.2">
      <c r="A72" s="10">
        <v>3031</v>
      </c>
      <c r="B72" s="11" t="s">
        <v>404</v>
      </c>
      <c r="C72" s="105" t="s">
        <v>405</v>
      </c>
      <c r="D72" s="11" t="s">
        <v>106</v>
      </c>
      <c r="E72" s="12">
        <v>10168</v>
      </c>
      <c r="F72" s="202">
        <v>36</v>
      </c>
      <c r="G72" s="11">
        <v>75000</v>
      </c>
      <c r="H72" s="116">
        <v>-50000</v>
      </c>
      <c r="I72" s="192"/>
      <c r="J72" s="204"/>
      <c r="K72" s="193"/>
      <c r="L72" s="193"/>
      <c r="M72" s="193"/>
      <c r="N72" s="203">
        <f t="shared" si="56"/>
        <v>75000</v>
      </c>
      <c r="O72" s="203">
        <f t="shared" si="57"/>
        <v>25000</v>
      </c>
      <c r="P72" s="203">
        <f t="shared" si="58"/>
        <v>25000</v>
      </c>
      <c r="Q72" s="214"/>
      <c r="R72" s="219"/>
      <c r="S72" s="217">
        <v>46213</v>
      </c>
      <c r="T72" s="205"/>
      <c r="U72" s="205"/>
      <c r="V72" s="215"/>
      <c r="W72" s="212"/>
      <c r="X72" s="10">
        <v>7</v>
      </c>
      <c r="Y72" s="10">
        <v>7</v>
      </c>
      <c r="Z72" s="213">
        <f t="shared" si="59"/>
        <v>75000</v>
      </c>
      <c r="AA72" s="62"/>
      <c r="AB72" s="62"/>
      <c r="AC72" s="62"/>
      <c r="AD72" s="62"/>
      <c r="AE72" s="62"/>
      <c r="AF72" s="63"/>
      <c r="AG72" s="64"/>
      <c r="AH72" s="6">
        <v>1</v>
      </c>
      <c r="AI72">
        <f t="shared" si="60"/>
        <v>25</v>
      </c>
      <c r="AJ72">
        <f t="shared" si="61"/>
        <v>25</v>
      </c>
      <c r="AK72">
        <f t="shared" si="62"/>
        <v>0</v>
      </c>
      <c r="AL72">
        <f t="shared" si="63"/>
        <v>0</v>
      </c>
      <c r="AM72">
        <f t="shared" si="64"/>
        <v>0</v>
      </c>
      <c r="AN72">
        <f t="shared" si="65"/>
        <v>0</v>
      </c>
      <c r="AO72">
        <f t="shared" si="66"/>
        <v>0</v>
      </c>
      <c r="AP72">
        <f t="shared" si="67"/>
        <v>0</v>
      </c>
      <c r="AQ72">
        <f t="shared" si="68"/>
        <v>0</v>
      </c>
      <c r="AR72">
        <f t="shared" si="69"/>
        <v>0</v>
      </c>
      <c r="AS72">
        <f t="shared" si="70"/>
        <v>0</v>
      </c>
      <c r="AT72">
        <f t="shared" si="71"/>
        <v>0</v>
      </c>
      <c r="AU72">
        <f t="shared" si="72"/>
        <v>1</v>
      </c>
      <c r="AV72">
        <f t="shared" si="73"/>
        <v>1</v>
      </c>
      <c r="AW72">
        <f t="shared" si="74"/>
        <v>1</v>
      </c>
      <c r="AX72">
        <f t="shared" si="75"/>
        <v>1</v>
      </c>
      <c r="AY72">
        <f t="shared" si="76"/>
        <v>25000</v>
      </c>
      <c r="AZ72">
        <f t="shared" si="77"/>
        <v>25000</v>
      </c>
      <c r="BA72">
        <f t="shared" si="78"/>
        <v>0</v>
      </c>
      <c r="BB72">
        <f t="shared" si="79"/>
        <v>0</v>
      </c>
      <c r="BC72">
        <f t="shared" si="80"/>
        <v>0</v>
      </c>
      <c r="BD72">
        <f t="shared" si="81"/>
        <v>0</v>
      </c>
      <c r="BE72">
        <f t="shared" si="82"/>
        <v>0</v>
      </c>
      <c r="BF72">
        <f t="shared" si="83"/>
        <v>0</v>
      </c>
      <c r="BG72"/>
      <c r="BH72"/>
      <c r="BI72"/>
      <c r="BJ72"/>
      <c r="BK72"/>
      <c r="BL72"/>
      <c r="BM72"/>
      <c r="BN72"/>
      <c r="BO72"/>
      <c r="BP72"/>
      <c r="BQ72"/>
      <c r="BR72"/>
      <c r="BS72"/>
      <c r="BT72"/>
      <c r="BU72"/>
      <c r="BV72"/>
      <c r="BW72"/>
      <c r="BX72"/>
      <c r="BY72"/>
      <c r="BZ72"/>
      <c r="CA72"/>
      <c r="CB72"/>
      <c r="CC72"/>
      <c r="CD72"/>
      <c r="CE72"/>
      <c r="CF72"/>
      <c r="CG72"/>
      <c r="CH72"/>
      <c r="CI72"/>
      <c r="CJ72"/>
      <c r="CK72"/>
      <c r="CL72"/>
      <c r="CM72"/>
      <c r="CN72"/>
      <c r="CO72"/>
      <c r="CP72"/>
      <c r="CQ72"/>
      <c r="CR72"/>
      <c r="CS72"/>
      <c r="CT72"/>
      <c r="CU72"/>
      <c r="CV72"/>
      <c r="CW72"/>
      <c r="CX72"/>
      <c r="CY72"/>
      <c r="CZ72"/>
      <c r="DA72"/>
      <c r="DB72"/>
      <c r="DC72"/>
      <c r="DD72"/>
      <c r="DE72"/>
      <c r="DF72"/>
      <c r="DG72"/>
      <c r="DH72"/>
      <c r="DI72"/>
      <c r="DJ72"/>
      <c r="DK72"/>
      <c r="DL72"/>
      <c r="DM72"/>
      <c r="DN72"/>
      <c r="DO72"/>
      <c r="DP72"/>
      <c r="DQ72"/>
      <c r="DR72"/>
      <c r="DS72"/>
      <c r="DT72"/>
      <c r="DU72"/>
      <c r="DV72"/>
      <c r="DW72"/>
      <c r="DX72"/>
      <c r="DY72"/>
      <c r="DZ72"/>
      <c r="EA72"/>
      <c r="EB72"/>
      <c r="EC72"/>
      <c r="ED72"/>
      <c r="EE72"/>
      <c r="EF72"/>
      <c r="EG72"/>
      <c r="EH72"/>
      <c r="EI72"/>
      <c r="EJ72"/>
      <c r="EK72"/>
      <c r="EL72"/>
      <c r="EM72"/>
      <c r="EN72"/>
      <c r="EO72"/>
      <c r="EP72"/>
      <c r="EQ72"/>
      <c r="ER72"/>
      <c r="ES72"/>
      <c r="ET72"/>
      <c r="EU72"/>
      <c r="EV72"/>
      <c r="EW72"/>
      <c r="EX72"/>
      <c r="EY72"/>
      <c r="EZ72"/>
      <c r="FA72"/>
      <c r="FB72"/>
      <c r="FC72"/>
      <c r="FD72"/>
      <c r="FE72"/>
      <c r="FF72"/>
      <c r="FG72"/>
      <c r="FH72"/>
      <c r="FI72"/>
      <c r="FJ72"/>
      <c r="FK72"/>
      <c r="FL72"/>
      <c r="FM72"/>
      <c r="FN72"/>
      <c r="FO72"/>
      <c r="FP72"/>
      <c r="FQ72"/>
      <c r="FR72"/>
      <c r="FS72"/>
      <c r="FT72"/>
      <c r="FU72"/>
      <c r="FV72"/>
      <c r="FW72"/>
      <c r="FX72"/>
      <c r="FY72"/>
      <c r="FZ72"/>
      <c r="GA72"/>
      <c r="GB72"/>
      <c r="GC72"/>
      <c r="GD72"/>
      <c r="GE72"/>
      <c r="GF72"/>
      <c r="GG72"/>
      <c r="GH72"/>
      <c r="GI72"/>
      <c r="GJ72"/>
      <c r="GK72"/>
      <c r="GL72"/>
      <c r="GM72"/>
      <c r="GN72"/>
      <c r="GO72"/>
      <c r="GP72"/>
      <c r="GQ72"/>
      <c r="GR72"/>
      <c r="GS72"/>
      <c r="GT72"/>
      <c r="GU72"/>
      <c r="GV72"/>
      <c r="GW72"/>
      <c r="GX72"/>
      <c r="GY72"/>
      <c r="GZ72"/>
      <c r="HA72"/>
      <c r="HB72"/>
      <c r="HC72"/>
      <c r="HD72"/>
      <c r="HE72"/>
      <c r="HF72"/>
      <c r="HG72"/>
      <c r="HH72"/>
      <c r="HI72"/>
      <c r="HJ72"/>
      <c r="HK72"/>
      <c r="HL72"/>
      <c r="HM72"/>
      <c r="HN72"/>
      <c r="HO72"/>
      <c r="HP72"/>
      <c r="HQ72"/>
      <c r="HR72"/>
      <c r="HS72"/>
      <c r="HT72"/>
      <c r="HU72"/>
      <c r="HV72"/>
      <c r="HW72"/>
      <c r="HX72"/>
      <c r="HY72"/>
      <c r="HZ72"/>
      <c r="IA72"/>
      <c r="IB72"/>
      <c r="IC72"/>
      <c r="ID72"/>
      <c r="IE72"/>
      <c r="IF72"/>
      <c r="IG72"/>
      <c r="IH72"/>
      <c r="II72"/>
      <c r="IJ72"/>
      <c r="IK72"/>
      <c r="IL72"/>
      <c r="IM72"/>
      <c r="IN72"/>
      <c r="IO72"/>
      <c r="IP72"/>
      <c r="IQ72"/>
      <c r="IR72"/>
      <c r="IS72"/>
      <c r="IT72"/>
      <c r="IU72"/>
      <c r="IV72"/>
    </row>
    <row r="73" spans="1:256" s="201" customFormat="1" ht="14.25" x14ac:dyDescent="0.2">
      <c r="A73" s="10">
        <v>3036</v>
      </c>
      <c r="B73" s="11" t="s">
        <v>406</v>
      </c>
      <c r="C73" s="105" t="s">
        <v>407</v>
      </c>
      <c r="D73" s="11" t="s">
        <v>154</v>
      </c>
      <c r="E73" s="12">
        <v>10489</v>
      </c>
      <c r="F73" s="202">
        <v>36</v>
      </c>
      <c r="G73" s="11">
        <v>100000</v>
      </c>
      <c r="H73" s="116">
        <v>0</v>
      </c>
      <c r="I73" s="192"/>
      <c r="J73" s="204"/>
      <c r="K73" s="193"/>
      <c r="L73" s="193"/>
      <c r="M73" s="193"/>
      <c r="N73" s="203">
        <f t="shared" si="56"/>
        <v>100000</v>
      </c>
      <c r="O73" s="203">
        <f t="shared" si="57"/>
        <v>100000</v>
      </c>
      <c r="P73" s="203">
        <f t="shared" si="58"/>
        <v>100000</v>
      </c>
      <c r="Q73" s="214"/>
      <c r="R73" s="219"/>
      <c r="S73" s="217">
        <v>46234</v>
      </c>
      <c r="T73" s="205"/>
      <c r="U73" s="205"/>
      <c r="V73" s="215"/>
      <c r="W73" s="212"/>
      <c r="X73" s="10">
        <v>7</v>
      </c>
      <c r="Y73" s="10">
        <v>7</v>
      </c>
      <c r="Z73" s="213">
        <f t="shared" si="59"/>
        <v>100000</v>
      </c>
      <c r="AA73" s="62"/>
      <c r="AB73" s="62"/>
      <c r="AC73" s="62"/>
      <c r="AD73" s="62"/>
      <c r="AE73" s="62"/>
      <c r="AF73" s="63"/>
      <c r="AG73" s="64"/>
      <c r="AH73" s="6">
        <v>1</v>
      </c>
      <c r="AI73">
        <f t="shared" si="60"/>
        <v>25</v>
      </c>
      <c r="AJ73">
        <f t="shared" si="61"/>
        <v>25</v>
      </c>
      <c r="AK73">
        <f t="shared" si="62"/>
        <v>0</v>
      </c>
      <c r="AL73">
        <f t="shared" si="63"/>
        <v>0</v>
      </c>
      <c r="AM73">
        <f t="shared" si="64"/>
        <v>0</v>
      </c>
      <c r="AN73">
        <f t="shared" si="65"/>
        <v>0</v>
      </c>
      <c r="AO73">
        <f t="shared" si="66"/>
        <v>0</v>
      </c>
      <c r="AP73">
        <f t="shared" si="67"/>
        <v>0</v>
      </c>
      <c r="AQ73">
        <f t="shared" si="68"/>
        <v>0</v>
      </c>
      <c r="AR73">
        <f t="shared" si="69"/>
        <v>0</v>
      </c>
      <c r="AS73">
        <f t="shared" si="70"/>
        <v>0</v>
      </c>
      <c r="AT73">
        <f t="shared" si="71"/>
        <v>0</v>
      </c>
      <c r="AU73">
        <f t="shared" si="72"/>
        <v>1</v>
      </c>
      <c r="AV73">
        <f t="shared" si="73"/>
        <v>1</v>
      </c>
      <c r="AW73">
        <f t="shared" si="74"/>
        <v>1</v>
      </c>
      <c r="AX73">
        <f t="shared" si="75"/>
        <v>1</v>
      </c>
      <c r="AY73">
        <f t="shared" si="76"/>
        <v>100000</v>
      </c>
      <c r="AZ73">
        <f t="shared" si="77"/>
        <v>100000</v>
      </c>
      <c r="BA73">
        <f t="shared" si="78"/>
        <v>0</v>
      </c>
      <c r="BB73">
        <f t="shared" si="79"/>
        <v>0</v>
      </c>
      <c r="BC73">
        <f t="shared" si="80"/>
        <v>0</v>
      </c>
      <c r="BD73">
        <f t="shared" si="81"/>
        <v>0</v>
      </c>
      <c r="BE73">
        <f t="shared" si="82"/>
        <v>0</v>
      </c>
      <c r="BF73">
        <f t="shared" si="83"/>
        <v>0</v>
      </c>
      <c r="BG73"/>
      <c r="BH73"/>
      <c r="BI73"/>
      <c r="BJ73"/>
      <c r="BK73"/>
      <c r="BL73"/>
      <c r="BM73"/>
      <c r="BN73"/>
      <c r="BO73"/>
      <c r="BP73"/>
      <c r="BQ73"/>
      <c r="BR73"/>
      <c r="BS73"/>
      <c r="BT73"/>
      <c r="BU73"/>
      <c r="BV73"/>
      <c r="BW73"/>
      <c r="BX73"/>
      <c r="BY73"/>
      <c r="BZ73"/>
      <c r="CA73"/>
      <c r="CB73"/>
      <c r="CC73"/>
      <c r="CD73"/>
      <c r="CE73"/>
      <c r="CF73"/>
      <c r="CG73"/>
      <c r="CH73"/>
      <c r="CI73"/>
      <c r="CJ73"/>
      <c r="CK73"/>
      <c r="CL73"/>
      <c r="CM73"/>
      <c r="CN73"/>
      <c r="CO73"/>
      <c r="CP73"/>
      <c r="CQ73"/>
      <c r="CR73"/>
      <c r="CS73"/>
      <c r="CT73"/>
      <c r="CU73"/>
      <c r="CV73"/>
      <c r="CW73"/>
      <c r="CX73"/>
      <c r="CY73"/>
      <c r="CZ73"/>
      <c r="DA73"/>
      <c r="DB73"/>
      <c r="DC73"/>
      <c r="DD73"/>
      <c r="DE73"/>
      <c r="DF73"/>
      <c r="DG73"/>
      <c r="DH73"/>
      <c r="DI73"/>
      <c r="DJ73"/>
      <c r="DK73"/>
      <c r="DL73"/>
      <c r="DM73"/>
      <c r="DN73"/>
      <c r="DO73"/>
      <c r="DP73"/>
      <c r="DQ73"/>
      <c r="DR73"/>
      <c r="DS73"/>
      <c r="DT73"/>
      <c r="DU73"/>
      <c r="DV73"/>
      <c r="DW73"/>
      <c r="DX73"/>
      <c r="DY73"/>
      <c r="DZ73"/>
      <c r="EA73"/>
      <c r="EB73"/>
      <c r="EC73"/>
      <c r="ED73"/>
      <c r="EE73"/>
      <c r="EF73"/>
      <c r="EG73"/>
      <c r="EH73"/>
      <c r="EI73"/>
      <c r="EJ73"/>
      <c r="EK73"/>
      <c r="EL73"/>
      <c r="EM73"/>
      <c r="EN73"/>
      <c r="EO73"/>
      <c r="EP73"/>
      <c r="EQ73"/>
      <c r="ER73"/>
      <c r="ES73"/>
      <c r="ET73"/>
      <c r="EU73"/>
      <c r="EV73"/>
      <c r="EW73"/>
      <c r="EX73"/>
      <c r="EY73"/>
      <c r="EZ73"/>
      <c r="FA73"/>
      <c r="FB73"/>
      <c r="FC73"/>
      <c r="FD73"/>
      <c r="FE73"/>
      <c r="FF73"/>
      <c r="FG73"/>
      <c r="FH73"/>
      <c r="FI73"/>
      <c r="FJ73"/>
      <c r="FK73"/>
      <c r="FL73"/>
      <c r="FM73"/>
      <c r="FN73"/>
      <c r="FO73"/>
      <c r="FP73"/>
      <c r="FQ73"/>
      <c r="FR73"/>
      <c r="FS73"/>
      <c r="FT73"/>
      <c r="FU73"/>
      <c r="FV73"/>
      <c r="FW73"/>
      <c r="FX73"/>
      <c r="FY73"/>
      <c r="FZ73"/>
      <c r="GA73"/>
      <c r="GB73"/>
      <c r="GC73"/>
      <c r="GD73"/>
      <c r="GE73"/>
      <c r="GF73"/>
      <c r="GG73"/>
      <c r="GH73"/>
      <c r="GI73"/>
      <c r="GJ73"/>
      <c r="GK73"/>
      <c r="GL73"/>
      <c r="GM73"/>
      <c r="GN73"/>
      <c r="GO73"/>
      <c r="GP73"/>
      <c r="GQ73"/>
      <c r="GR73"/>
      <c r="GS73"/>
      <c r="GT73"/>
      <c r="GU73"/>
      <c r="GV73"/>
      <c r="GW73"/>
      <c r="GX73"/>
      <c r="GY73"/>
      <c r="GZ73"/>
      <c r="HA73"/>
      <c r="HB73"/>
      <c r="HC73"/>
      <c r="HD73"/>
      <c r="HE73"/>
      <c r="HF73"/>
      <c r="HG73"/>
      <c r="HH73"/>
      <c r="HI73"/>
      <c r="HJ73"/>
      <c r="HK73"/>
      <c r="HL73"/>
      <c r="HM73"/>
      <c r="HN73"/>
      <c r="HO73"/>
      <c r="HP73"/>
      <c r="HQ73"/>
      <c r="HR73"/>
      <c r="HS73"/>
      <c r="HT73"/>
      <c r="HU73"/>
      <c r="HV73"/>
      <c r="HW73"/>
      <c r="HX73"/>
      <c r="HY73"/>
      <c r="HZ73"/>
      <c r="IA73"/>
      <c r="IB73"/>
      <c r="IC73"/>
      <c r="ID73"/>
      <c r="IE73"/>
      <c r="IF73"/>
      <c r="IG73"/>
      <c r="IH73"/>
      <c r="II73"/>
      <c r="IJ73"/>
      <c r="IK73"/>
      <c r="IL73"/>
      <c r="IM73"/>
      <c r="IN73"/>
      <c r="IO73"/>
      <c r="IP73"/>
      <c r="IQ73"/>
      <c r="IR73"/>
      <c r="IS73"/>
      <c r="IT73"/>
      <c r="IU73"/>
      <c r="IV73"/>
    </row>
    <row r="74" spans="1:256" s="201" customFormat="1" ht="14.25" x14ac:dyDescent="0.2">
      <c r="A74" s="10">
        <v>3044</v>
      </c>
      <c r="B74" s="11" t="s">
        <v>408</v>
      </c>
      <c r="C74" s="105" t="s">
        <v>409</v>
      </c>
      <c r="D74" s="11" t="s">
        <v>106</v>
      </c>
      <c r="E74" s="12">
        <v>11131</v>
      </c>
      <c r="F74" s="202">
        <v>36</v>
      </c>
      <c r="G74" s="11">
        <v>65000</v>
      </c>
      <c r="H74" s="116">
        <v>0</v>
      </c>
      <c r="I74" s="192"/>
      <c r="J74" s="204"/>
      <c r="K74" s="193"/>
      <c r="L74" s="193"/>
      <c r="M74" s="193"/>
      <c r="N74" s="203">
        <f t="shared" si="56"/>
        <v>65000</v>
      </c>
      <c r="O74" s="203">
        <f t="shared" si="57"/>
        <v>65000</v>
      </c>
      <c r="P74" s="203">
        <f t="shared" si="58"/>
        <v>65000</v>
      </c>
      <c r="Q74" s="214"/>
      <c r="R74" s="219"/>
      <c r="S74" s="217">
        <v>46213</v>
      </c>
      <c r="T74" s="205"/>
      <c r="U74" s="205"/>
      <c r="V74" s="215"/>
      <c r="W74" s="212"/>
      <c r="X74" s="10">
        <v>7</v>
      </c>
      <c r="Y74" s="10">
        <v>7</v>
      </c>
      <c r="Z74" s="213">
        <f t="shared" si="59"/>
        <v>65000</v>
      </c>
      <c r="AA74" s="62"/>
      <c r="AB74" s="62"/>
      <c r="AC74" s="62"/>
      <c r="AD74" s="62"/>
      <c r="AE74" s="62"/>
      <c r="AF74" s="63"/>
      <c r="AG74" s="64"/>
      <c r="AH74" s="6">
        <v>1</v>
      </c>
      <c r="AI74">
        <f t="shared" si="60"/>
        <v>25</v>
      </c>
      <c r="AJ74">
        <f t="shared" si="61"/>
        <v>25</v>
      </c>
      <c r="AK74">
        <f t="shared" si="62"/>
        <v>0</v>
      </c>
      <c r="AL74">
        <f t="shared" si="63"/>
        <v>0</v>
      </c>
      <c r="AM74">
        <f t="shared" si="64"/>
        <v>0</v>
      </c>
      <c r="AN74">
        <f t="shared" si="65"/>
        <v>0</v>
      </c>
      <c r="AO74">
        <f t="shared" si="66"/>
        <v>0</v>
      </c>
      <c r="AP74">
        <f t="shared" si="67"/>
        <v>0</v>
      </c>
      <c r="AQ74">
        <f t="shared" si="68"/>
        <v>0</v>
      </c>
      <c r="AR74">
        <f t="shared" si="69"/>
        <v>0</v>
      </c>
      <c r="AS74">
        <f t="shared" si="70"/>
        <v>0</v>
      </c>
      <c r="AT74">
        <f t="shared" si="71"/>
        <v>0</v>
      </c>
      <c r="AU74">
        <f t="shared" si="72"/>
        <v>1</v>
      </c>
      <c r="AV74">
        <f t="shared" si="73"/>
        <v>1</v>
      </c>
      <c r="AW74">
        <f t="shared" si="74"/>
        <v>1</v>
      </c>
      <c r="AX74">
        <f t="shared" si="75"/>
        <v>1</v>
      </c>
      <c r="AY74">
        <f t="shared" si="76"/>
        <v>65000</v>
      </c>
      <c r="AZ74">
        <f t="shared" si="77"/>
        <v>65000</v>
      </c>
      <c r="BA74">
        <f t="shared" si="78"/>
        <v>0</v>
      </c>
      <c r="BB74">
        <f t="shared" si="79"/>
        <v>0</v>
      </c>
      <c r="BC74">
        <f t="shared" si="80"/>
        <v>0</v>
      </c>
      <c r="BD74">
        <f t="shared" si="81"/>
        <v>0</v>
      </c>
      <c r="BE74">
        <f t="shared" si="82"/>
        <v>0</v>
      </c>
      <c r="BF74">
        <f t="shared" si="83"/>
        <v>0</v>
      </c>
      <c r="BG74"/>
      <c r="BH74"/>
      <c r="BI74"/>
      <c r="BJ74"/>
      <c r="BK74"/>
      <c r="BL74"/>
      <c r="BM74"/>
      <c r="BN74"/>
      <c r="BO74"/>
      <c r="BP74"/>
      <c r="BQ74"/>
      <c r="BR74"/>
      <c r="BS74"/>
      <c r="BT74"/>
      <c r="BU74"/>
      <c r="BV74"/>
      <c r="BW74"/>
      <c r="BX74"/>
      <c r="BY74"/>
      <c r="BZ74"/>
      <c r="CA74"/>
      <c r="CB74"/>
      <c r="CC74"/>
      <c r="CD74"/>
      <c r="CE74"/>
      <c r="CF74"/>
      <c r="CG74"/>
      <c r="CH74"/>
      <c r="CI74"/>
      <c r="CJ74"/>
      <c r="CK74"/>
      <c r="CL74"/>
      <c r="CM74"/>
      <c r="CN74"/>
      <c r="CO74"/>
      <c r="CP74"/>
      <c r="CQ74"/>
      <c r="CR74"/>
      <c r="CS74"/>
      <c r="CT74"/>
      <c r="CU74"/>
      <c r="CV74"/>
      <c r="CW74"/>
      <c r="CX74"/>
      <c r="CY74"/>
      <c r="CZ74"/>
      <c r="DA74"/>
      <c r="DB74"/>
      <c r="DC74"/>
      <c r="DD74"/>
      <c r="DE74"/>
      <c r="DF74"/>
      <c r="DG74"/>
      <c r="DH74"/>
      <c r="DI74"/>
      <c r="DJ74"/>
      <c r="DK74"/>
      <c r="DL74"/>
      <c r="DM74"/>
      <c r="DN74"/>
      <c r="DO74"/>
      <c r="DP74"/>
      <c r="DQ74"/>
      <c r="DR74"/>
      <c r="DS74"/>
      <c r="DT74"/>
      <c r="DU74"/>
      <c r="DV74"/>
      <c r="DW74"/>
      <c r="DX74"/>
      <c r="DY74"/>
      <c r="DZ74"/>
      <c r="EA74"/>
      <c r="EB74"/>
      <c r="EC74"/>
      <c r="ED74"/>
      <c r="EE74"/>
      <c r="EF74"/>
      <c r="EG74"/>
      <c r="EH74"/>
      <c r="EI74"/>
      <c r="EJ74"/>
      <c r="EK74"/>
      <c r="EL74"/>
      <c r="EM74"/>
      <c r="EN74"/>
      <c r="EO74"/>
      <c r="EP74"/>
      <c r="EQ74"/>
      <c r="ER74"/>
      <c r="ES74"/>
      <c r="ET74"/>
      <c r="EU74"/>
      <c r="EV74"/>
      <c r="EW74"/>
      <c r="EX74"/>
      <c r="EY74"/>
      <c r="EZ74"/>
      <c r="FA74"/>
      <c r="FB74"/>
      <c r="FC74"/>
      <c r="FD74"/>
      <c r="FE74"/>
      <c r="FF74"/>
      <c r="FG74"/>
      <c r="FH74"/>
      <c r="FI74"/>
      <c r="FJ74"/>
      <c r="FK74"/>
      <c r="FL74"/>
      <c r="FM74"/>
      <c r="FN74"/>
      <c r="FO74"/>
      <c r="FP74"/>
      <c r="FQ74"/>
      <c r="FR74"/>
      <c r="FS74"/>
      <c r="FT74"/>
      <c r="FU74"/>
      <c r="FV74"/>
      <c r="FW74"/>
      <c r="FX74"/>
      <c r="FY74"/>
      <c r="FZ74"/>
      <c r="GA74"/>
      <c r="GB74"/>
      <c r="GC74"/>
      <c r="GD74"/>
      <c r="GE74"/>
      <c r="GF74"/>
      <c r="GG74"/>
      <c r="GH74"/>
      <c r="GI74"/>
      <c r="GJ74"/>
      <c r="GK74"/>
      <c r="GL74"/>
      <c r="GM74"/>
      <c r="GN74"/>
      <c r="GO74"/>
      <c r="GP74"/>
      <c r="GQ74"/>
      <c r="GR74"/>
      <c r="GS74"/>
      <c r="GT74"/>
      <c r="GU74"/>
      <c r="GV74"/>
      <c r="GW74"/>
      <c r="GX74"/>
      <c r="GY74"/>
      <c r="GZ74"/>
      <c r="HA74"/>
      <c r="HB74"/>
      <c r="HC74"/>
      <c r="HD74"/>
      <c r="HE74"/>
      <c r="HF74"/>
      <c r="HG74"/>
      <c r="HH74"/>
      <c r="HI74"/>
      <c r="HJ74"/>
      <c r="HK74"/>
      <c r="HL74"/>
      <c r="HM74"/>
      <c r="HN74"/>
      <c r="HO74"/>
      <c r="HP74"/>
      <c r="HQ74"/>
      <c r="HR74"/>
      <c r="HS74"/>
      <c r="HT74"/>
      <c r="HU74"/>
      <c r="HV74"/>
      <c r="HW74"/>
      <c r="HX74"/>
      <c r="HY74"/>
      <c r="HZ74"/>
      <c r="IA74"/>
      <c r="IB74"/>
      <c r="IC74"/>
      <c r="ID74"/>
      <c r="IE74"/>
      <c r="IF74"/>
      <c r="IG74"/>
      <c r="IH74"/>
      <c r="II74"/>
      <c r="IJ74"/>
      <c r="IK74"/>
      <c r="IL74"/>
      <c r="IM74"/>
      <c r="IN74"/>
      <c r="IO74"/>
      <c r="IP74"/>
      <c r="IQ74"/>
      <c r="IR74"/>
      <c r="IS74"/>
      <c r="IT74"/>
      <c r="IU74"/>
      <c r="IV74"/>
    </row>
    <row r="75" spans="1:256" s="201" customFormat="1" ht="14.25" x14ac:dyDescent="0.2">
      <c r="A75" s="10">
        <v>3047</v>
      </c>
      <c r="B75" s="11" t="s">
        <v>410</v>
      </c>
      <c r="C75" s="105" t="s">
        <v>510</v>
      </c>
      <c r="D75" s="11" t="s">
        <v>105</v>
      </c>
      <c r="E75" s="12">
        <v>11136</v>
      </c>
      <c r="F75" s="202">
        <v>36</v>
      </c>
      <c r="G75" s="11">
        <v>60000</v>
      </c>
      <c r="H75" s="116">
        <v>-40000</v>
      </c>
      <c r="I75" s="192"/>
      <c r="J75" s="204"/>
      <c r="K75" s="193"/>
      <c r="L75" s="193"/>
      <c r="M75" s="193"/>
      <c r="N75" s="203">
        <f t="shared" si="56"/>
        <v>60000</v>
      </c>
      <c r="O75" s="203">
        <f t="shared" si="57"/>
        <v>20000</v>
      </c>
      <c r="P75" s="203">
        <f t="shared" si="58"/>
        <v>20000</v>
      </c>
      <c r="Q75" s="214"/>
      <c r="R75" s="219"/>
      <c r="S75" s="217">
        <v>46209</v>
      </c>
      <c r="T75" s="205"/>
      <c r="U75" s="205"/>
      <c r="V75" s="215"/>
      <c r="W75" s="212"/>
      <c r="X75" s="10">
        <v>7</v>
      </c>
      <c r="Y75" s="10">
        <v>7</v>
      </c>
      <c r="Z75" s="213">
        <f t="shared" si="59"/>
        <v>60000</v>
      </c>
      <c r="AA75" s="62"/>
      <c r="AB75" s="62"/>
      <c r="AC75" s="62"/>
      <c r="AD75" s="62"/>
      <c r="AE75" s="62"/>
      <c r="AF75" s="63"/>
      <c r="AG75" s="64"/>
      <c r="AH75" s="6">
        <v>1</v>
      </c>
      <c r="AI75">
        <f t="shared" si="60"/>
        <v>25</v>
      </c>
      <c r="AJ75">
        <f t="shared" si="61"/>
        <v>25</v>
      </c>
      <c r="AK75">
        <f t="shared" si="62"/>
        <v>0</v>
      </c>
      <c r="AL75">
        <f t="shared" si="63"/>
        <v>0</v>
      </c>
      <c r="AM75">
        <f t="shared" si="64"/>
        <v>0</v>
      </c>
      <c r="AN75">
        <f t="shared" si="65"/>
        <v>0</v>
      </c>
      <c r="AO75">
        <f t="shared" si="66"/>
        <v>0</v>
      </c>
      <c r="AP75">
        <f t="shared" si="67"/>
        <v>0</v>
      </c>
      <c r="AQ75">
        <f t="shared" si="68"/>
        <v>0</v>
      </c>
      <c r="AR75">
        <f t="shared" si="69"/>
        <v>0</v>
      </c>
      <c r="AS75">
        <f t="shared" si="70"/>
        <v>0</v>
      </c>
      <c r="AT75">
        <f t="shared" si="71"/>
        <v>0</v>
      </c>
      <c r="AU75">
        <f t="shared" si="72"/>
        <v>1</v>
      </c>
      <c r="AV75">
        <f t="shared" si="73"/>
        <v>1</v>
      </c>
      <c r="AW75">
        <f t="shared" si="74"/>
        <v>1</v>
      </c>
      <c r="AX75">
        <f t="shared" si="75"/>
        <v>1</v>
      </c>
      <c r="AY75">
        <f t="shared" si="76"/>
        <v>20000</v>
      </c>
      <c r="AZ75">
        <f t="shared" si="77"/>
        <v>20000</v>
      </c>
      <c r="BA75">
        <f t="shared" si="78"/>
        <v>0</v>
      </c>
      <c r="BB75">
        <f t="shared" si="79"/>
        <v>0</v>
      </c>
      <c r="BC75">
        <f t="shared" si="80"/>
        <v>0</v>
      </c>
      <c r="BD75">
        <f t="shared" si="81"/>
        <v>0</v>
      </c>
      <c r="BE75">
        <f t="shared" si="82"/>
        <v>0</v>
      </c>
      <c r="BF75">
        <f t="shared" si="83"/>
        <v>0</v>
      </c>
      <c r="BG75"/>
      <c r="BH75"/>
      <c r="BI75"/>
      <c r="BJ75"/>
      <c r="BK75"/>
      <c r="BL75"/>
      <c r="BM75"/>
      <c r="BN75"/>
      <c r="BO75"/>
      <c r="BP75"/>
      <c r="BQ75"/>
      <c r="BR75"/>
      <c r="BS75"/>
      <c r="BT75"/>
      <c r="BU75"/>
      <c r="BV75"/>
      <c r="BW75"/>
      <c r="BX75"/>
      <c r="BY75"/>
      <c r="BZ75"/>
      <c r="CA75"/>
      <c r="CB75"/>
      <c r="CC75"/>
      <c r="CD75"/>
      <c r="CE75"/>
      <c r="CF75"/>
      <c r="CG75"/>
      <c r="CH75"/>
      <c r="CI75"/>
      <c r="CJ75"/>
      <c r="CK75"/>
      <c r="CL75"/>
      <c r="CM75"/>
      <c r="CN75"/>
      <c r="CO75"/>
      <c r="CP75"/>
      <c r="CQ75"/>
      <c r="CR75"/>
      <c r="CS75"/>
      <c r="CT75"/>
      <c r="CU75"/>
      <c r="CV75"/>
      <c r="CW75"/>
      <c r="CX75"/>
      <c r="CY75"/>
      <c r="CZ75"/>
      <c r="DA75"/>
      <c r="DB75"/>
      <c r="DC75"/>
      <c r="DD75"/>
      <c r="DE75"/>
      <c r="DF75"/>
      <c r="DG75"/>
      <c r="DH75"/>
      <c r="DI75"/>
      <c r="DJ75"/>
      <c r="DK75"/>
      <c r="DL75"/>
      <c r="DM75"/>
      <c r="DN75"/>
      <c r="DO75"/>
      <c r="DP75"/>
      <c r="DQ75"/>
      <c r="DR75"/>
      <c r="DS75"/>
      <c r="DT75"/>
      <c r="DU75"/>
      <c r="DV75"/>
      <c r="DW75"/>
      <c r="DX75"/>
      <c r="DY75"/>
      <c r="DZ75"/>
      <c r="EA75"/>
      <c r="EB75"/>
      <c r="EC75"/>
      <c r="ED75"/>
      <c r="EE75"/>
      <c r="EF75"/>
      <c r="EG75"/>
      <c r="EH75"/>
      <c r="EI75"/>
      <c r="EJ75"/>
      <c r="EK75"/>
      <c r="EL75"/>
      <c r="EM75"/>
      <c r="EN75"/>
      <c r="EO75"/>
      <c r="EP75"/>
      <c r="EQ75"/>
      <c r="ER75"/>
      <c r="ES75"/>
      <c r="ET75"/>
      <c r="EU75"/>
      <c r="EV75"/>
      <c r="EW75"/>
      <c r="EX75"/>
      <c r="EY75"/>
      <c r="EZ75"/>
      <c r="FA75"/>
      <c r="FB75"/>
      <c r="FC75"/>
      <c r="FD75"/>
      <c r="FE75"/>
      <c r="FF75"/>
      <c r="FG75"/>
      <c r="FH75"/>
      <c r="FI75"/>
      <c r="FJ75"/>
      <c r="FK75"/>
      <c r="FL75"/>
      <c r="FM75"/>
      <c r="FN75"/>
      <c r="FO75"/>
      <c r="FP75"/>
      <c r="FQ75"/>
      <c r="FR75"/>
      <c r="FS75"/>
      <c r="FT75"/>
      <c r="FU75"/>
      <c r="FV75"/>
      <c r="FW75"/>
      <c r="FX75"/>
      <c r="FY75"/>
      <c r="FZ75"/>
      <c r="GA75"/>
      <c r="GB75"/>
      <c r="GC75"/>
      <c r="GD75"/>
      <c r="GE75"/>
      <c r="GF75"/>
      <c r="GG75"/>
      <c r="GH75"/>
      <c r="GI75"/>
      <c r="GJ75"/>
      <c r="GK75"/>
      <c r="GL75"/>
      <c r="GM75"/>
      <c r="GN75"/>
      <c r="GO75"/>
      <c r="GP75"/>
      <c r="GQ75"/>
      <c r="GR75"/>
      <c r="GS75"/>
      <c r="GT75"/>
      <c r="GU75"/>
      <c r="GV75"/>
      <c r="GW75"/>
      <c r="GX75"/>
      <c r="GY75"/>
      <c r="GZ75"/>
      <c r="HA75"/>
      <c r="HB75"/>
      <c r="HC75"/>
      <c r="HD75"/>
      <c r="HE75"/>
      <c r="HF75"/>
      <c r="HG75"/>
      <c r="HH75"/>
      <c r="HI75"/>
      <c r="HJ75"/>
      <c r="HK75"/>
      <c r="HL75"/>
      <c r="HM75"/>
      <c r="HN75"/>
      <c r="HO75"/>
      <c r="HP75"/>
      <c r="HQ75"/>
      <c r="HR75"/>
      <c r="HS75"/>
      <c r="HT75"/>
      <c r="HU75"/>
      <c r="HV75"/>
      <c r="HW75"/>
      <c r="HX75"/>
      <c r="HY75"/>
      <c r="HZ75"/>
      <c r="IA75"/>
      <c r="IB75"/>
      <c r="IC75"/>
      <c r="ID75"/>
      <c r="IE75"/>
      <c r="IF75"/>
      <c r="IG75"/>
      <c r="IH75"/>
      <c r="II75"/>
      <c r="IJ75"/>
      <c r="IK75"/>
      <c r="IL75"/>
      <c r="IM75"/>
      <c r="IN75"/>
      <c r="IO75"/>
      <c r="IP75"/>
      <c r="IQ75"/>
      <c r="IR75"/>
      <c r="IS75"/>
      <c r="IT75"/>
      <c r="IU75"/>
      <c r="IV75"/>
    </row>
    <row r="76" spans="1:256" s="201" customFormat="1" ht="14.25" x14ac:dyDescent="0.2">
      <c r="A76" s="10">
        <v>3062</v>
      </c>
      <c r="B76" s="11" t="s">
        <v>411</v>
      </c>
      <c r="C76" s="105" t="s">
        <v>412</v>
      </c>
      <c r="D76" s="11" t="s">
        <v>222</v>
      </c>
      <c r="E76" s="12">
        <v>11925</v>
      </c>
      <c r="F76" s="202">
        <v>35</v>
      </c>
      <c r="G76" s="11">
        <v>60000</v>
      </c>
      <c r="H76" s="116">
        <v>-80000</v>
      </c>
      <c r="I76" s="192"/>
      <c r="J76" s="204"/>
      <c r="K76" s="193"/>
      <c r="L76" s="193"/>
      <c r="M76" s="193"/>
      <c r="N76" s="203">
        <f t="shared" si="56"/>
        <v>60000</v>
      </c>
      <c r="O76" s="203">
        <f t="shared" si="57"/>
        <v>-20000</v>
      </c>
      <c r="P76" s="203">
        <f t="shared" si="58"/>
        <v>0</v>
      </c>
      <c r="Q76" s="214"/>
      <c r="R76" s="219"/>
      <c r="S76" s="217">
        <v>46211</v>
      </c>
      <c r="T76" s="205"/>
      <c r="U76" s="205"/>
      <c r="V76" s="215"/>
      <c r="W76" s="212"/>
      <c r="X76" s="10">
        <v>7</v>
      </c>
      <c r="Y76" s="10">
        <v>7</v>
      </c>
      <c r="Z76" s="213">
        <f t="shared" si="59"/>
        <v>60000</v>
      </c>
      <c r="AA76" s="62"/>
      <c r="AB76" s="62"/>
      <c r="AC76" s="62"/>
      <c r="AD76" s="62"/>
      <c r="AE76" s="62"/>
      <c r="AF76" s="63"/>
      <c r="AG76" s="64"/>
      <c r="AH76" s="6">
        <v>1</v>
      </c>
      <c r="AI76">
        <f t="shared" si="60"/>
        <v>25</v>
      </c>
      <c r="AJ76">
        <f t="shared" si="61"/>
        <v>25</v>
      </c>
      <c r="AK76">
        <f t="shared" si="62"/>
        <v>0</v>
      </c>
      <c r="AL76">
        <f t="shared" si="63"/>
        <v>0</v>
      </c>
      <c r="AM76">
        <f t="shared" si="64"/>
        <v>0</v>
      </c>
      <c r="AN76">
        <f t="shared" si="65"/>
        <v>0</v>
      </c>
      <c r="AO76">
        <f t="shared" si="66"/>
        <v>0</v>
      </c>
      <c r="AP76">
        <f t="shared" si="67"/>
        <v>0</v>
      </c>
      <c r="AQ76">
        <f t="shared" si="68"/>
        <v>0</v>
      </c>
      <c r="AR76">
        <f t="shared" si="69"/>
        <v>0</v>
      </c>
      <c r="AS76">
        <f t="shared" si="70"/>
        <v>0</v>
      </c>
      <c r="AT76">
        <f t="shared" si="71"/>
        <v>0</v>
      </c>
      <c r="AU76">
        <f t="shared" si="72"/>
        <v>0</v>
      </c>
      <c r="AV76">
        <f t="shared" si="73"/>
        <v>0</v>
      </c>
      <c r="AW76">
        <f t="shared" si="74"/>
        <v>0</v>
      </c>
      <c r="AX76">
        <f t="shared" si="75"/>
        <v>0</v>
      </c>
      <c r="AY76">
        <f t="shared" si="76"/>
        <v>0</v>
      </c>
      <c r="AZ76">
        <f t="shared" si="77"/>
        <v>0</v>
      </c>
      <c r="BA76">
        <f t="shared" si="78"/>
        <v>0</v>
      </c>
      <c r="BB76">
        <f t="shared" si="79"/>
        <v>0</v>
      </c>
      <c r="BC76">
        <f t="shared" si="80"/>
        <v>0</v>
      </c>
      <c r="BD76">
        <f t="shared" si="81"/>
        <v>0</v>
      </c>
      <c r="BE76">
        <f t="shared" si="82"/>
        <v>0</v>
      </c>
      <c r="BF76">
        <f t="shared" si="83"/>
        <v>0</v>
      </c>
      <c r="BG76"/>
      <c r="BH76"/>
      <c r="BI76"/>
      <c r="BJ76"/>
      <c r="BK76"/>
      <c r="BL76"/>
      <c r="BM76"/>
      <c r="BN76"/>
      <c r="BO76"/>
      <c r="BP76"/>
      <c r="BQ76"/>
      <c r="BR76"/>
      <c r="BS76"/>
      <c r="BT76"/>
      <c r="BU76"/>
      <c r="BV76"/>
      <c r="BW76"/>
      <c r="BX76"/>
      <c r="BY76"/>
      <c r="BZ76"/>
      <c r="CA76"/>
      <c r="CB76"/>
      <c r="CC76"/>
      <c r="CD76"/>
      <c r="CE76"/>
      <c r="CF76"/>
      <c r="CG76"/>
      <c r="CH76"/>
      <c r="CI76"/>
      <c r="CJ76"/>
      <c r="CK76"/>
      <c r="CL76"/>
      <c r="CM76"/>
      <c r="CN76"/>
      <c r="CO76"/>
      <c r="CP76"/>
      <c r="CQ76"/>
      <c r="CR76"/>
      <c r="CS76"/>
      <c r="CT76"/>
      <c r="CU76"/>
      <c r="CV76"/>
      <c r="CW76"/>
      <c r="CX76"/>
      <c r="CY76"/>
      <c r="CZ76"/>
      <c r="DA76"/>
      <c r="DB76"/>
      <c r="DC76"/>
      <c r="DD76"/>
      <c r="DE76"/>
      <c r="DF76"/>
      <c r="DG76"/>
      <c r="DH76"/>
      <c r="DI76"/>
      <c r="DJ76"/>
      <c r="DK76"/>
      <c r="DL76"/>
      <c r="DM76"/>
      <c r="DN76"/>
      <c r="DO76"/>
      <c r="DP76"/>
      <c r="DQ76"/>
      <c r="DR76"/>
      <c r="DS76"/>
      <c r="DT76"/>
      <c r="DU76"/>
      <c r="DV76"/>
      <c r="DW76"/>
      <c r="DX76"/>
      <c r="DY76"/>
      <c r="DZ76"/>
      <c r="EA76"/>
      <c r="EB76"/>
      <c r="EC76"/>
      <c r="ED76"/>
      <c r="EE76"/>
      <c r="EF76"/>
      <c r="EG76"/>
      <c r="EH76"/>
      <c r="EI76"/>
      <c r="EJ76"/>
      <c r="EK76"/>
      <c r="EL76"/>
      <c r="EM76"/>
      <c r="EN76"/>
      <c r="EO76"/>
      <c r="EP76"/>
      <c r="EQ76"/>
      <c r="ER76"/>
      <c r="ES76"/>
      <c r="ET76"/>
      <c r="EU76"/>
      <c r="EV76"/>
      <c r="EW76"/>
      <c r="EX76"/>
      <c r="EY76"/>
      <c r="EZ76"/>
      <c r="FA76"/>
      <c r="FB76"/>
      <c r="FC76"/>
      <c r="FD76"/>
      <c r="FE76"/>
      <c r="FF76"/>
      <c r="FG76"/>
      <c r="FH76"/>
      <c r="FI76"/>
      <c r="FJ76"/>
      <c r="FK76"/>
      <c r="FL76"/>
      <c r="FM76"/>
      <c r="FN76"/>
      <c r="FO76"/>
      <c r="FP76"/>
      <c r="FQ76"/>
      <c r="FR76"/>
      <c r="FS76"/>
      <c r="FT76"/>
      <c r="FU76"/>
      <c r="FV76"/>
      <c r="FW76"/>
      <c r="FX76"/>
      <c r="FY76"/>
      <c r="FZ76"/>
      <c r="GA76"/>
      <c r="GB76"/>
      <c r="GC76"/>
      <c r="GD76"/>
      <c r="GE76"/>
      <c r="GF76"/>
      <c r="GG76"/>
      <c r="GH76"/>
      <c r="GI76"/>
      <c r="GJ76"/>
      <c r="GK76"/>
      <c r="GL76"/>
      <c r="GM76"/>
      <c r="GN76"/>
      <c r="GO76"/>
      <c r="GP76"/>
      <c r="GQ76"/>
      <c r="GR76"/>
      <c r="GS76"/>
      <c r="GT76"/>
      <c r="GU76"/>
      <c r="GV76"/>
      <c r="GW76"/>
      <c r="GX76"/>
      <c r="GY76"/>
      <c r="GZ76"/>
      <c r="HA76"/>
      <c r="HB76"/>
      <c r="HC76"/>
      <c r="HD76"/>
      <c r="HE76"/>
      <c r="HF76"/>
      <c r="HG76"/>
      <c r="HH76"/>
      <c r="HI76"/>
      <c r="HJ76"/>
      <c r="HK76"/>
      <c r="HL76"/>
      <c r="HM76"/>
      <c r="HN76"/>
      <c r="HO76"/>
      <c r="HP76"/>
      <c r="HQ76"/>
      <c r="HR76"/>
      <c r="HS76"/>
      <c r="HT76"/>
      <c r="HU76"/>
      <c r="HV76"/>
      <c r="HW76"/>
      <c r="HX76"/>
      <c r="HY76"/>
      <c r="HZ76"/>
      <c r="IA76"/>
      <c r="IB76"/>
      <c r="IC76"/>
      <c r="ID76"/>
      <c r="IE76"/>
      <c r="IF76"/>
      <c r="IG76"/>
      <c r="IH76"/>
      <c r="II76"/>
      <c r="IJ76"/>
      <c r="IK76"/>
      <c r="IL76"/>
      <c r="IM76"/>
      <c r="IN76"/>
      <c r="IO76"/>
      <c r="IP76"/>
      <c r="IQ76"/>
      <c r="IR76"/>
      <c r="IS76"/>
      <c r="IT76"/>
      <c r="IU76"/>
      <c r="IV76"/>
    </row>
    <row r="77" spans="1:256" s="201" customFormat="1" ht="14.25" x14ac:dyDescent="0.2">
      <c r="A77" s="10">
        <v>3080</v>
      </c>
      <c r="B77" s="11" t="s">
        <v>413</v>
      </c>
      <c r="C77" s="105" t="s">
        <v>414</v>
      </c>
      <c r="D77" s="11" t="s">
        <v>106</v>
      </c>
      <c r="E77" s="12">
        <v>11937</v>
      </c>
      <c r="F77" s="202">
        <v>35</v>
      </c>
      <c r="G77" s="11">
        <v>60000</v>
      </c>
      <c r="H77" s="116">
        <v>0</v>
      </c>
      <c r="I77" s="192"/>
      <c r="J77" s="204"/>
      <c r="K77" s="193"/>
      <c r="L77" s="193"/>
      <c r="M77" s="193"/>
      <c r="N77" s="203">
        <f t="shared" si="56"/>
        <v>60000</v>
      </c>
      <c r="O77" s="203">
        <f t="shared" si="57"/>
        <v>60000</v>
      </c>
      <c r="P77" s="203">
        <f t="shared" si="58"/>
        <v>60000</v>
      </c>
      <c r="Q77" s="214"/>
      <c r="R77" s="219"/>
      <c r="S77" s="217">
        <v>46204</v>
      </c>
      <c r="T77" s="205"/>
      <c r="U77" s="205"/>
      <c r="V77" s="215"/>
      <c r="W77" s="212"/>
      <c r="X77" s="10">
        <v>7</v>
      </c>
      <c r="Y77" s="10">
        <v>7</v>
      </c>
      <c r="Z77" s="213">
        <f t="shared" si="59"/>
        <v>60000</v>
      </c>
      <c r="AA77" s="62"/>
      <c r="AB77" s="62"/>
      <c r="AC77" s="62"/>
      <c r="AD77" s="62"/>
      <c r="AE77" s="62"/>
      <c r="AF77" s="63"/>
      <c r="AG77" s="64"/>
      <c r="AH77" s="6">
        <v>1</v>
      </c>
      <c r="AI77">
        <f t="shared" si="60"/>
        <v>25</v>
      </c>
      <c r="AJ77">
        <f t="shared" si="61"/>
        <v>25</v>
      </c>
      <c r="AK77">
        <f t="shared" si="62"/>
        <v>0</v>
      </c>
      <c r="AL77">
        <f t="shared" si="63"/>
        <v>0</v>
      </c>
      <c r="AM77">
        <f t="shared" si="64"/>
        <v>0</v>
      </c>
      <c r="AN77">
        <f t="shared" si="65"/>
        <v>0</v>
      </c>
      <c r="AO77">
        <f t="shared" si="66"/>
        <v>0</v>
      </c>
      <c r="AP77">
        <f t="shared" si="67"/>
        <v>0</v>
      </c>
      <c r="AQ77">
        <f t="shared" si="68"/>
        <v>0</v>
      </c>
      <c r="AR77">
        <f t="shared" si="69"/>
        <v>0</v>
      </c>
      <c r="AS77">
        <f t="shared" si="70"/>
        <v>0</v>
      </c>
      <c r="AT77">
        <f t="shared" si="71"/>
        <v>0</v>
      </c>
      <c r="AU77">
        <f t="shared" si="72"/>
        <v>1</v>
      </c>
      <c r="AV77">
        <f t="shared" si="73"/>
        <v>1</v>
      </c>
      <c r="AW77">
        <f t="shared" si="74"/>
        <v>1</v>
      </c>
      <c r="AX77">
        <f t="shared" si="75"/>
        <v>1</v>
      </c>
      <c r="AY77">
        <f t="shared" si="76"/>
        <v>60000</v>
      </c>
      <c r="AZ77">
        <f t="shared" si="77"/>
        <v>60000</v>
      </c>
      <c r="BA77">
        <f t="shared" si="78"/>
        <v>0</v>
      </c>
      <c r="BB77">
        <f t="shared" si="79"/>
        <v>0</v>
      </c>
      <c r="BC77">
        <f t="shared" si="80"/>
        <v>0</v>
      </c>
      <c r="BD77">
        <f t="shared" si="81"/>
        <v>0</v>
      </c>
      <c r="BE77">
        <f t="shared" si="82"/>
        <v>0</v>
      </c>
      <c r="BF77">
        <f t="shared" si="83"/>
        <v>0</v>
      </c>
      <c r="BG77"/>
      <c r="BH77"/>
      <c r="BI77"/>
      <c r="BJ77"/>
      <c r="BK77"/>
      <c r="BL77"/>
      <c r="BM77"/>
      <c r="BN77"/>
      <c r="BO77"/>
      <c r="BP77"/>
      <c r="BQ77"/>
      <c r="BR77"/>
      <c r="BS77"/>
      <c r="BT77"/>
      <c r="BU77"/>
      <c r="BV77"/>
      <c r="BW77"/>
      <c r="BX77"/>
      <c r="BY77"/>
      <c r="BZ77"/>
      <c r="CA77"/>
      <c r="CB77"/>
      <c r="CC77"/>
      <c r="CD77"/>
      <c r="CE77"/>
      <c r="CF77"/>
      <c r="CG77"/>
      <c r="CH77"/>
      <c r="CI77"/>
      <c r="CJ77"/>
      <c r="CK77"/>
      <c r="CL77"/>
      <c r="CM77"/>
      <c r="CN77"/>
      <c r="CO77"/>
      <c r="CP77"/>
      <c r="CQ77"/>
      <c r="CR77"/>
      <c r="CS77"/>
      <c r="CT77"/>
      <c r="CU77"/>
      <c r="CV77"/>
      <c r="CW77"/>
      <c r="CX77"/>
      <c r="CY77"/>
      <c r="CZ77"/>
      <c r="DA77"/>
      <c r="DB77"/>
      <c r="DC77"/>
      <c r="DD77"/>
      <c r="DE77"/>
      <c r="DF77"/>
      <c r="DG77"/>
      <c r="DH77"/>
      <c r="DI77"/>
      <c r="DJ77"/>
      <c r="DK77"/>
      <c r="DL77"/>
      <c r="DM77"/>
      <c r="DN77"/>
      <c r="DO77"/>
      <c r="DP77"/>
      <c r="DQ77"/>
      <c r="DR77"/>
      <c r="DS77"/>
      <c r="DT77"/>
      <c r="DU77"/>
      <c r="DV77"/>
      <c r="DW77"/>
      <c r="DX77"/>
      <c r="DY77"/>
      <c r="DZ77"/>
      <c r="EA77"/>
      <c r="EB77"/>
      <c r="EC77"/>
      <c r="ED77"/>
      <c r="EE77"/>
      <c r="EF77"/>
      <c r="EG77"/>
      <c r="EH77"/>
      <c r="EI77"/>
      <c r="EJ77"/>
      <c r="EK77"/>
      <c r="EL77"/>
      <c r="EM77"/>
      <c r="EN77"/>
      <c r="EO77"/>
      <c r="EP77"/>
      <c r="EQ77"/>
      <c r="ER77"/>
      <c r="ES77"/>
      <c r="ET77"/>
      <c r="EU77"/>
      <c r="EV77"/>
      <c r="EW77"/>
      <c r="EX77"/>
      <c r="EY77"/>
      <c r="EZ77"/>
      <c r="FA77"/>
      <c r="FB77"/>
      <c r="FC77"/>
      <c r="FD77"/>
      <c r="FE77"/>
      <c r="FF77"/>
      <c r="FG77"/>
      <c r="FH77"/>
      <c r="FI77"/>
      <c r="FJ77"/>
      <c r="FK77"/>
      <c r="FL77"/>
      <c r="FM77"/>
      <c r="FN77"/>
      <c r="FO77"/>
      <c r="FP77"/>
      <c r="FQ77"/>
      <c r="FR77"/>
      <c r="FS77"/>
      <c r="FT77"/>
      <c r="FU77"/>
      <c r="FV77"/>
      <c r="FW77"/>
      <c r="FX77"/>
      <c r="FY77"/>
      <c r="FZ77"/>
      <c r="GA77"/>
      <c r="GB77"/>
      <c r="GC77"/>
      <c r="GD77"/>
      <c r="GE77"/>
      <c r="GF77"/>
      <c r="GG77"/>
      <c r="GH77"/>
      <c r="GI77"/>
      <c r="GJ77"/>
      <c r="GK77"/>
      <c r="GL77"/>
      <c r="GM77"/>
      <c r="GN77"/>
      <c r="GO77"/>
      <c r="GP77"/>
      <c r="GQ77"/>
      <c r="GR77"/>
      <c r="GS77"/>
      <c r="GT77"/>
      <c r="GU77"/>
      <c r="GV77"/>
      <c r="GW77"/>
      <c r="GX77"/>
      <c r="GY77"/>
      <c r="GZ77"/>
      <c r="HA77"/>
      <c r="HB77"/>
      <c r="HC77"/>
      <c r="HD77"/>
      <c r="HE77"/>
      <c r="HF77"/>
      <c r="HG77"/>
      <c r="HH77"/>
      <c r="HI77"/>
      <c r="HJ77"/>
      <c r="HK77"/>
      <c r="HL77"/>
      <c r="HM77"/>
      <c r="HN77"/>
      <c r="HO77"/>
      <c r="HP77"/>
      <c r="HQ77"/>
      <c r="HR77"/>
      <c r="HS77"/>
      <c r="HT77"/>
      <c r="HU77"/>
      <c r="HV77"/>
      <c r="HW77"/>
      <c r="HX77"/>
      <c r="HY77"/>
      <c r="HZ77"/>
      <c r="IA77"/>
      <c r="IB77"/>
      <c r="IC77"/>
      <c r="ID77"/>
      <c r="IE77"/>
      <c r="IF77"/>
      <c r="IG77"/>
      <c r="IH77"/>
      <c r="II77"/>
      <c r="IJ77"/>
      <c r="IK77"/>
      <c r="IL77"/>
      <c r="IM77"/>
      <c r="IN77"/>
      <c r="IO77"/>
      <c r="IP77"/>
      <c r="IQ77"/>
      <c r="IR77"/>
      <c r="IS77"/>
      <c r="IT77"/>
      <c r="IU77"/>
      <c r="IV77"/>
    </row>
    <row r="78" spans="1:256" s="201" customFormat="1" ht="14.25" x14ac:dyDescent="0.2">
      <c r="A78" s="10">
        <v>3083</v>
      </c>
      <c r="B78" s="11" t="s">
        <v>255</v>
      </c>
      <c r="C78" s="105" t="s">
        <v>256</v>
      </c>
      <c r="D78" s="11" t="s">
        <v>170</v>
      </c>
      <c r="E78" s="12">
        <v>11991</v>
      </c>
      <c r="F78" s="202">
        <v>35</v>
      </c>
      <c r="G78" s="11">
        <v>30000</v>
      </c>
      <c r="H78" s="116">
        <v>0</v>
      </c>
      <c r="I78" s="192"/>
      <c r="J78" s="204"/>
      <c r="K78" s="193"/>
      <c r="L78" s="193"/>
      <c r="M78" s="193"/>
      <c r="N78" s="203">
        <f t="shared" si="56"/>
        <v>30000</v>
      </c>
      <c r="O78" s="203">
        <f t="shared" si="57"/>
        <v>30000</v>
      </c>
      <c r="P78" s="203">
        <f t="shared" si="58"/>
        <v>30000</v>
      </c>
      <c r="Q78" s="214"/>
      <c r="R78" s="219"/>
      <c r="S78" s="217">
        <v>46219</v>
      </c>
      <c r="T78" s="205"/>
      <c r="U78" s="205"/>
      <c r="V78" s="215"/>
      <c r="W78" s="212"/>
      <c r="X78" s="10">
        <v>7</v>
      </c>
      <c r="Y78" s="10">
        <v>7</v>
      </c>
      <c r="Z78" s="213">
        <f t="shared" si="59"/>
        <v>30000</v>
      </c>
      <c r="AA78" s="62"/>
      <c r="AB78" s="62"/>
      <c r="AC78" s="62"/>
      <c r="AD78" s="62"/>
      <c r="AE78" s="62"/>
      <c r="AF78" s="63"/>
      <c r="AG78" s="64"/>
      <c r="AH78" s="6">
        <v>1</v>
      </c>
      <c r="AI78">
        <f t="shared" si="60"/>
        <v>25</v>
      </c>
      <c r="AJ78">
        <f t="shared" si="61"/>
        <v>25</v>
      </c>
      <c r="AK78">
        <f t="shared" si="62"/>
        <v>0</v>
      </c>
      <c r="AL78">
        <f t="shared" si="63"/>
        <v>0</v>
      </c>
      <c r="AM78">
        <f t="shared" si="64"/>
        <v>0</v>
      </c>
      <c r="AN78">
        <f t="shared" si="65"/>
        <v>0</v>
      </c>
      <c r="AO78">
        <f t="shared" si="66"/>
        <v>0</v>
      </c>
      <c r="AP78">
        <f t="shared" si="67"/>
        <v>0</v>
      </c>
      <c r="AQ78">
        <f t="shared" si="68"/>
        <v>0</v>
      </c>
      <c r="AR78">
        <f t="shared" si="69"/>
        <v>0</v>
      </c>
      <c r="AS78">
        <f t="shared" si="70"/>
        <v>0</v>
      </c>
      <c r="AT78">
        <f t="shared" si="71"/>
        <v>0</v>
      </c>
      <c r="AU78">
        <f t="shared" si="72"/>
        <v>1</v>
      </c>
      <c r="AV78">
        <f t="shared" si="73"/>
        <v>1</v>
      </c>
      <c r="AW78">
        <f t="shared" si="74"/>
        <v>1</v>
      </c>
      <c r="AX78">
        <f t="shared" si="75"/>
        <v>1</v>
      </c>
      <c r="AY78">
        <f t="shared" si="76"/>
        <v>30000</v>
      </c>
      <c r="AZ78">
        <f t="shared" si="77"/>
        <v>30000</v>
      </c>
      <c r="BA78">
        <f t="shared" si="78"/>
        <v>0</v>
      </c>
      <c r="BB78">
        <f t="shared" si="79"/>
        <v>0</v>
      </c>
      <c r="BC78">
        <f t="shared" si="80"/>
        <v>0</v>
      </c>
      <c r="BD78">
        <f t="shared" si="81"/>
        <v>0</v>
      </c>
      <c r="BE78">
        <f t="shared" si="82"/>
        <v>0</v>
      </c>
      <c r="BF78">
        <f t="shared" si="83"/>
        <v>0</v>
      </c>
      <c r="BG78"/>
      <c r="BH78"/>
      <c r="BI78"/>
      <c r="BJ78"/>
      <c r="BK78"/>
      <c r="BL78"/>
      <c r="BM78"/>
      <c r="BN78"/>
      <c r="BO78"/>
      <c r="BP78"/>
      <c r="BQ78"/>
      <c r="BR78"/>
      <c r="BS78"/>
      <c r="BT78"/>
      <c r="BU78"/>
      <c r="BV78"/>
      <c r="BW78"/>
      <c r="BX78"/>
      <c r="BY78"/>
      <c r="BZ78"/>
      <c r="CA78"/>
      <c r="CB78"/>
      <c r="CC78"/>
      <c r="CD78"/>
      <c r="CE78"/>
      <c r="CF78"/>
      <c r="CG78"/>
      <c r="CH78"/>
      <c r="CI78"/>
      <c r="CJ78"/>
      <c r="CK78"/>
      <c r="CL78"/>
      <c r="CM78"/>
      <c r="CN78"/>
      <c r="CO78"/>
      <c r="CP78"/>
      <c r="CQ78"/>
      <c r="CR78"/>
      <c r="CS78"/>
      <c r="CT78"/>
      <c r="CU78"/>
      <c r="CV78"/>
      <c r="CW78"/>
      <c r="CX78"/>
      <c r="CY78"/>
      <c r="CZ78"/>
      <c r="DA78"/>
      <c r="DB78"/>
      <c r="DC78"/>
      <c r="DD78"/>
      <c r="DE78"/>
      <c r="DF78"/>
      <c r="DG78"/>
      <c r="DH78"/>
      <c r="DI78"/>
      <c r="DJ78"/>
      <c r="DK78"/>
      <c r="DL78"/>
      <c r="DM78"/>
      <c r="DN78"/>
      <c r="DO78"/>
      <c r="DP78"/>
      <c r="DQ78"/>
      <c r="DR78"/>
      <c r="DS78"/>
      <c r="DT78"/>
      <c r="DU78"/>
      <c r="DV78"/>
      <c r="DW78"/>
      <c r="DX78"/>
      <c r="DY78"/>
      <c r="DZ78"/>
      <c r="EA78"/>
      <c r="EB78"/>
      <c r="EC78"/>
      <c r="ED78"/>
      <c r="EE78"/>
      <c r="EF78"/>
      <c r="EG78"/>
      <c r="EH78"/>
      <c r="EI78"/>
      <c r="EJ78"/>
      <c r="EK78"/>
      <c r="EL78"/>
      <c r="EM78"/>
      <c r="EN78"/>
      <c r="EO78"/>
      <c r="EP78"/>
      <c r="EQ78"/>
      <c r="ER78"/>
      <c r="ES78"/>
      <c r="ET78"/>
      <c r="EU78"/>
      <c r="EV78"/>
      <c r="EW78"/>
      <c r="EX78"/>
      <c r="EY78"/>
      <c r="EZ78"/>
      <c r="FA78"/>
      <c r="FB78"/>
      <c r="FC78"/>
      <c r="FD78"/>
      <c r="FE78"/>
      <c r="FF78"/>
      <c r="FG78"/>
      <c r="FH78"/>
      <c r="FI78"/>
      <c r="FJ78"/>
      <c r="FK78"/>
      <c r="FL78"/>
      <c r="FM78"/>
      <c r="FN78"/>
      <c r="FO78"/>
      <c r="FP78"/>
      <c r="FQ78"/>
      <c r="FR78"/>
      <c r="FS78"/>
      <c r="FT78"/>
      <c r="FU78"/>
      <c r="FV78"/>
      <c r="FW78"/>
      <c r="FX78"/>
      <c r="FY78"/>
      <c r="FZ78"/>
      <c r="GA78"/>
      <c r="GB78"/>
      <c r="GC78"/>
      <c r="GD78"/>
      <c r="GE78"/>
      <c r="GF78"/>
      <c r="GG78"/>
      <c r="GH78"/>
      <c r="GI78"/>
      <c r="GJ78"/>
      <c r="GK78"/>
      <c r="GL78"/>
      <c r="GM78"/>
      <c r="GN78"/>
      <c r="GO78"/>
      <c r="GP78"/>
      <c r="GQ78"/>
      <c r="GR78"/>
      <c r="GS78"/>
      <c r="GT78"/>
      <c r="GU78"/>
      <c r="GV78"/>
      <c r="GW78"/>
      <c r="GX78"/>
      <c r="GY78"/>
      <c r="GZ78"/>
      <c r="HA78"/>
      <c r="HB78"/>
      <c r="HC78"/>
      <c r="HD78"/>
      <c r="HE78"/>
      <c r="HF78"/>
      <c r="HG78"/>
      <c r="HH78"/>
      <c r="HI78"/>
      <c r="HJ78"/>
      <c r="HK78"/>
      <c r="HL78"/>
      <c r="HM78"/>
      <c r="HN78"/>
      <c r="HO78"/>
      <c r="HP78"/>
      <c r="HQ78"/>
      <c r="HR78"/>
      <c r="HS78"/>
      <c r="HT78"/>
      <c r="HU78"/>
      <c r="HV78"/>
      <c r="HW78"/>
      <c r="HX78"/>
      <c r="HY78"/>
      <c r="HZ78"/>
      <c r="IA78"/>
      <c r="IB78"/>
      <c r="IC78"/>
      <c r="ID78"/>
      <c r="IE78"/>
      <c r="IF78"/>
      <c r="IG78"/>
      <c r="IH78"/>
      <c r="II78"/>
      <c r="IJ78"/>
      <c r="IK78"/>
      <c r="IL78"/>
      <c r="IM78"/>
      <c r="IN78"/>
      <c r="IO78"/>
      <c r="IP78"/>
      <c r="IQ78"/>
      <c r="IR78"/>
      <c r="IS78"/>
      <c r="IT78"/>
      <c r="IU78"/>
      <c r="IV78"/>
    </row>
    <row r="79" spans="1:256" s="201" customFormat="1" ht="14.25" x14ac:dyDescent="0.2">
      <c r="A79" s="10">
        <v>3084</v>
      </c>
      <c r="B79" s="11" t="s">
        <v>415</v>
      </c>
      <c r="C79" s="105" t="s">
        <v>416</v>
      </c>
      <c r="D79" s="11" t="s">
        <v>235</v>
      </c>
      <c r="E79" s="12">
        <v>11992</v>
      </c>
      <c r="F79" s="202">
        <v>35</v>
      </c>
      <c r="G79" s="11">
        <v>60000</v>
      </c>
      <c r="H79" s="116">
        <v>0</v>
      </c>
      <c r="I79" s="192"/>
      <c r="J79" s="204"/>
      <c r="K79" s="193"/>
      <c r="L79" s="193"/>
      <c r="M79" s="193"/>
      <c r="N79" s="203">
        <f t="shared" si="56"/>
        <v>60000</v>
      </c>
      <c r="O79" s="203">
        <f t="shared" si="57"/>
        <v>60000</v>
      </c>
      <c r="P79" s="203">
        <f t="shared" si="58"/>
        <v>60000</v>
      </c>
      <c r="Q79" s="214"/>
      <c r="R79" s="219"/>
      <c r="S79" s="217">
        <v>46213</v>
      </c>
      <c r="T79" s="205"/>
      <c r="U79" s="205"/>
      <c r="V79" s="215"/>
      <c r="W79" s="212"/>
      <c r="X79" s="10">
        <v>7</v>
      </c>
      <c r="Y79" s="10">
        <v>7</v>
      </c>
      <c r="Z79" s="213">
        <f t="shared" si="59"/>
        <v>60000</v>
      </c>
      <c r="AA79" s="62"/>
      <c r="AB79" s="62"/>
      <c r="AC79" s="62"/>
      <c r="AD79" s="62"/>
      <c r="AE79" s="62"/>
      <c r="AF79" s="63"/>
      <c r="AG79" s="64"/>
      <c r="AH79" s="6">
        <v>1</v>
      </c>
      <c r="AI79">
        <f t="shared" si="60"/>
        <v>25</v>
      </c>
      <c r="AJ79">
        <f t="shared" si="61"/>
        <v>25</v>
      </c>
      <c r="AK79">
        <f t="shared" si="62"/>
        <v>0</v>
      </c>
      <c r="AL79">
        <f t="shared" si="63"/>
        <v>0</v>
      </c>
      <c r="AM79">
        <f t="shared" si="64"/>
        <v>0</v>
      </c>
      <c r="AN79">
        <f t="shared" si="65"/>
        <v>0</v>
      </c>
      <c r="AO79">
        <f t="shared" si="66"/>
        <v>0</v>
      </c>
      <c r="AP79">
        <f t="shared" si="67"/>
        <v>0</v>
      </c>
      <c r="AQ79">
        <f t="shared" si="68"/>
        <v>0</v>
      </c>
      <c r="AR79">
        <f t="shared" si="69"/>
        <v>0</v>
      </c>
      <c r="AS79">
        <f t="shared" si="70"/>
        <v>0</v>
      </c>
      <c r="AT79">
        <f t="shared" si="71"/>
        <v>0</v>
      </c>
      <c r="AU79">
        <f t="shared" si="72"/>
        <v>1</v>
      </c>
      <c r="AV79">
        <f t="shared" si="73"/>
        <v>1</v>
      </c>
      <c r="AW79">
        <f t="shared" si="74"/>
        <v>1</v>
      </c>
      <c r="AX79">
        <f t="shared" si="75"/>
        <v>1</v>
      </c>
      <c r="AY79">
        <f t="shared" si="76"/>
        <v>60000</v>
      </c>
      <c r="AZ79">
        <f t="shared" si="77"/>
        <v>60000</v>
      </c>
      <c r="BA79">
        <f t="shared" si="78"/>
        <v>0</v>
      </c>
      <c r="BB79">
        <f t="shared" si="79"/>
        <v>0</v>
      </c>
      <c r="BC79">
        <f t="shared" si="80"/>
        <v>0</v>
      </c>
      <c r="BD79">
        <f t="shared" si="81"/>
        <v>0</v>
      </c>
      <c r="BE79">
        <f t="shared" si="82"/>
        <v>0</v>
      </c>
      <c r="BF79">
        <f t="shared" si="83"/>
        <v>0</v>
      </c>
      <c r="BG79"/>
      <c r="BH79"/>
      <c r="BI79"/>
      <c r="BJ79"/>
      <c r="BK79"/>
      <c r="BL79"/>
      <c r="BM79"/>
      <c r="BN79"/>
      <c r="BO79"/>
      <c r="BP79"/>
      <c r="BQ79"/>
      <c r="BR79"/>
      <c r="BS79"/>
      <c r="BT79"/>
      <c r="BU79"/>
      <c r="BV79"/>
      <c r="BW79"/>
      <c r="BX79"/>
      <c r="BY79"/>
      <c r="BZ79"/>
      <c r="CA79"/>
      <c r="CB79"/>
      <c r="CC79"/>
      <c r="CD79"/>
      <c r="CE79"/>
      <c r="CF79"/>
      <c r="CG79"/>
      <c r="CH79"/>
      <c r="CI79"/>
      <c r="CJ79"/>
      <c r="CK79"/>
      <c r="CL79"/>
      <c r="CM79"/>
      <c r="CN79"/>
      <c r="CO79"/>
      <c r="CP79"/>
      <c r="CQ79"/>
      <c r="CR79"/>
      <c r="CS79"/>
      <c r="CT79"/>
      <c r="CU79"/>
      <c r="CV79"/>
      <c r="CW79"/>
      <c r="CX79"/>
      <c r="CY79"/>
      <c r="CZ79"/>
      <c r="DA79"/>
      <c r="DB79"/>
      <c r="DC79"/>
      <c r="DD79"/>
      <c r="DE79"/>
      <c r="DF79"/>
      <c r="DG79"/>
      <c r="DH79"/>
      <c r="DI79"/>
      <c r="DJ79"/>
      <c r="DK79"/>
      <c r="DL79"/>
      <c r="DM79"/>
      <c r="DN79"/>
      <c r="DO79"/>
      <c r="DP79"/>
      <c r="DQ79"/>
      <c r="DR79"/>
      <c r="DS79"/>
      <c r="DT79"/>
      <c r="DU79"/>
      <c r="DV79"/>
      <c r="DW79"/>
      <c r="DX79"/>
      <c r="DY79"/>
      <c r="DZ79"/>
      <c r="EA79"/>
      <c r="EB79"/>
      <c r="EC79"/>
      <c r="ED79"/>
      <c r="EE79"/>
      <c r="EF79"/>
      <c r="EG79"/>
      <c r="EH79"/>
      <c r="EI79"/>
      <c r="EJ79"/>
      <c r="EK79"/>
      <c r="EL79"/>
      <c r="EM79"/>
      <c r="EN79"/>
      <c r="EO79"/>
      <c r="EP79"/>
      <c r="EQ79"/>
      <c r="ER79"/>
      <c r="ES79"/>
      <c r="ET79"/>
      <c r="EU79"/>
      <c r="EV79"/>
      <c r="EW79"/>
      <c r="EX79"/>
      <c r="EY79"/>
      <c r="EZ79"/>
      <c r="FA79"/>
      <c r="FB79"/>
      <c r="FC79"/>
      <c r="FD79"/>
      <c r="FE79"/>
      <c r="FF79"/>
      <c r="FG79"/>
      <c r="FH79"/>
      <c r="FI79"/>
      <c r="FJ79"/>
      <c r="FK79"/>
      <c r="FL79"/>
      <c r="FM79"/>
      <c r="FN79"/>
      <c r="FO79"/>
      <c r="FP79"/>
      <c r="FQ79"/>
      <c r="FR79"/>
      <c r="FS79"/>
      <c r="FT79"/>
      <c r="FU79"/>
      <c r="FV79"/>
      <c r="FW79"/>
      <c r="FX79"/>
      <c r="FY79"/>
      <c r="FZ79"/>
      <c r="GA79"/>
      <c r="GB79"/>
      <c r="GC79"/>
      <c r="GD79"/>
      <c r="GE79"/>
      <c r="GF79"/>
      <c r="GG79"/>
      <c r="GH79"/>
      <c r="GI79"/>
      <c r="GJ79"/>
      <c r="GK79"/>
      <c r="GL79"/>
      <c r="GM79"/>
      <c r="GN79"/>
      <c r="GO79"/>
      <c r="GP79"/>
      <c r="GQ79"/>
      <c r="GR79"/>
      <c r="GS79"/>
      <c r="GT79"/>
      <c r="GU79"/>
      <c r="GV79"/>
      <c r="GW79"/>
      <c r="GX79"/>
      <c r="GY79"/>
      <c r="GZ79"/>
      <c r="HA79"/>
      <c r="HB79"/>
      <c r="HC79"/>
      <c r="HD79"/>
      <c r="HE79"/>
      <c r="HF79"/>
      <c r="HG79"/>
      <c r="HH79"/>
      <c r="HI79"/>
      <c r="HJ79"/>
      <c r="HK79"/>
      <c r="HL79"/>
      <c r="HM79"/>
      <c r="HN79"/>
      <c r="HO79"/>
      <c r="HP79"/>
      <c r="HQ79"/>
      <c r="HR79"/>
      <c r="HS79"/>
      <c r="HT79"/>
      <c r="HU79"/>
      <c r="HV79"/>
      <c r="HW79"/>
      <c r="HX79"/>
      <c r="HY79"/>
      <c r="HZ79"/>
      <c r="IA79"/>
      <c r="IB79"/>
      <c r="IC79"/>
      <c r="ID79"/>
      <c r="IE79"/>
      <c r="IF79"/>
      <c r="IG79"/>
      <c r="IH79"/>
      <c r="II79"/>
      <c r="IJ79"/>
      <c r="IK79"/>
      <c r="IL79"/>
      <c r="IM79"/>
      <c r="IN79"/>
      <c r="IO79"/>
      <c r="IP79"/>
      <c r="IQ79"/>
      <c r="IR79"/>
      <c r="IS79"/>
      <c r="IT79"/>
      <c r="IU79"/>
      <c r="IV79"/>
    </row>
    <row r="80" spans="1:256" s="201" customFormat="1" ht="14.25" x14ac:dyDescent="0.2">
      <c r="A80" s="10">
        <v>3088</v>
      </c>
      <c r="B80" s="11" t="s">
        <v>236</v>
      </c>
      <c r="C80" s="105" t="s">
        <v>237</v>
      </c>
      <c r="D80" s="11" t="s">
        <v>106</v>
      </c>
      <c r="E80" s="12">
        <v>20011</v>
      </c>
      <c r="F80" s="202">
        <v>35</v>
      </c>
      <c r="G80" s="11">
        <v>50000</v>
      </c>
      <c r="H80" s="116">
        <v>0</v>
      </c>
      <c r="I80" s="192"/>
      <c r="J80" s="204"/>
      <c r="K80" s="193"/>
      <c r="L80" s="193"/>
      <c r="M80" s="193"/>
      <c r="N80" s="203">
        <f t="shared" si="56"/>
        <v>50000</v>
      </c>
      <c r="O80" s="203">
        <f t="shared" si="57"/>
        <v>50000</v>
      </c>
      <c r="P80" s="203">
        <f t="shared" si="58"/>
        <v>50000</v>
      </c>
      <c r="Q80" s="214"/>
      <c r="R80" s="219"/>
      <c r="S80" s="217">
        <v>46213</v>
      </c>
      <c r="T80" s="205"/>
      <c r="U80" s="205"/>
      <c r="V80" s="215"/>
      <c r="W80" s="212"/>
      <c r="X80" s="10">
        <v>7</v>
      </c>
      <c r="Y80" s="10">
        <v>7</v>
      </c>
      <c r="Z80" s="213">
        <f t="shared" si="59"/>
        <v>50000</v>
      </c>
      <c r="AA80" s="62"/>
      <c r="AB80" s="62"/>
      <c r="AC80" s="62"/>
      <c r="AD80" s="62"/>
      <c r="AE80" s="62"/>
      <c r="AF80" s="63"/>
      <c r="AG80" s="64"/>
      <c r="AH80" s="6">
        <v>1</v>
      </c>
      <c r="AI80">
        <f t="shared" si="60"/>
        <v>25</v>
      </c>
      <c r="AJ80">
        <f t="shared" si="61"/>
        <v>25</v>
      </c>
      <c r="AK80">
        <f t="shared" si="62"/>
        <v>0</v>
      </c>
      <c r="AL80">
        <f t="shared" si="63"/>
        <v>0</v>
      </c>
      <c r="AM80">
        <f t="shared" si="64"/>
        <v>0</v>
      </c>
      <c r="AN80">
        <f t="shared" si="65"/>
        <v>0</v>
      </c>
      <c r="AO80">
        <f t="shared" si="66"/>
        <v>0</v>
      </c>
      <c r="AP80">
        <f t="shared" si="67"/>
        <v>0</v>
      </c>
      <c r="AQ80">
        <f t="shared" si="68"/>
        <v>0</v>
      </c>
      <c r="AR80">
        <f t="shared" si="69"/>
        <v>0</v>
      </c>
      <c r="AS80">
        <f t="shared" si="70"/>
        <v>0</v>
      </c>
      <c r="AT80">
        <f t="shared" si="71"/>
        <v>0</v>
      </c>
      <c r="AU80">
        <f t="shared" si="72"/>
        <v>1</v>
      </c>
      <c r="AV80">
        <f t="shared" si="73"/>
        <v>1</v>
      </c>
      <c r="AW80">
        <f t="shared" si="74"/>
        <v>1</v>
      </c>
      <c r="AX80">
        <f t="shared" si="75"/>
        <v>1</v>
      </c>
      <c r="AY80">
        <f t="shared" si="76"/>
        <v>50000</v>
      </c>
      <c r="AZ80">
        <f t="shared" si="77"/>
        <v>50000</v>
      </c>
      <c r="BA80">
        <f t="shared" si="78"/>
        <v>0</v>
      </c>
      <c r="BB80">
        <f t="shared" si="79"/>
        <v>0</v>
      </c>
      <c r="BC80">
        <f t="shared" si="80"/>
        <v>0</v>
      </c>
      <c r="BD80">
        <f t="shared" si="81"/>
        <v>0</v>
      </c>
      <c r="BE80">
        <f t="shared" si="82"/>
        <v>0</v>
      </c>
      <c r="BF80">
        <f t="shared" si="83"/>
        <v>0</v>
      </c>
      <c r="BG80"/>
      <c r="BH80"/>
      <c r="BI80"/>
      <c r="BJ80"/>
      <c r="BK80"/>
      <c r="BL80"/>
      <c r="BM80"/>
      <c r="BN80"/>
      <c r="BO80"/>
      <c r="BP80"/>
      <c r="BQ80"/>
      <c r="BR80"/>
      <c r="BS80"/>
      <c r="BT80"/>
      <c r="BU80"/>
      <c r="BV80"/>
      <c r="BW80"/>
      <c r="BX80"/>
      <c r="BY80"/>
      <c r="BZ80"/>
      <c r="CA80"/>
      <c r="CB80"/>
      <c r="CC80"/>
      <c r="CD80"/>
      <c r="CE80"/>
      <c r="CF80"/>
      <c r="CG80"/>
      <c r="CH80"/>
      <c r="CI80"/>
      <c r="CJ80"/>
      <c r="CK80"/>
      <c r="CL80"/>
      <c r="CM80"/>
      <c r="CN80"/>
      <c r="CO80"/>
      <c r="CP80"/>
      <c r="CQ80"/>
      <c r="CR80"/>
      <c r="CS80"/>
      <c r="CT80"/>
      <c r="CU80"/>
      <c r="CV80"/>
      <c r="CW80"/>
      <c r="CX80"/>
      <c r="CY80"/>
      <c r="CZ80"/>
      <c r="DA80"/>
      <c r="DB80"/>
      <c r="DC80"/>
      <c r="DD80"/>
      <c r="DE80"/>
      <c r="DF80"/>
      <c r="DG80"/>
      <c r="DH80"/>
      <c r="DI80"/>
      <c r="DJ80"/>
      <c r="DK80"/>
      <c r="DL80"/>
      <c r="DM80"/>
      <c r="DN80"/>
      <c r="DO80"/>
      <c r="DP80"/>
      <c r="DQ80"/>
      <c r="DR80"/>
      <c r="DS80"/>
      <c r="DT80"/>
      <c r="DU80"/>
      <c r="DV80"/>
      <c r="DW80"/>
      <c r="DX80"/>
      <c r="DY80"/>
      <c r="DZ80"/>
      <c r="EA80"/>
      <c r="EB80"/>
      <c r="EC80"/>
      <c r="ED80"/>
      <c r="EE80"/>
      <c r="EF80"/>
      <c r="EG80"/>
      <c r="EH80"/>
      <c r="EI80"/>
      <c r="EJ80"/>
      <c r="EK80"/>
      <c r="EL80"/>
      <c r="EM80"/>
      <c r="EN80"/>
      <c r="EO80"/>
      <c r="EP80"/>
      <c r="EQ80"/>
      <c r="ER80"/>
      <c r="ES80"/>
      <c r="ET80"/>
      <c r="EU80"/>
      <c r="EV80"/>
      <c r="EW80"/>
      <c r="EX80"/>
      <c r="EY80"/>
      <c r="EZ80"/>
      <c r="FA80"/>
      <c r="FB80"/>
      <c r="FC80"/>
      <c r="FD80"/>
      <c r="FE80"/>
      <c r="FF80"/>
      <c r="FG80"/>
      <c r="FH80"/>
      <c r="FI80"/>
      <c r="FJ80"/>
      <c r="FK80"/>
      <c r="FL80"/>
      <c r="FM80"/>
      <c r="FN80"/>
      <c r="FO80"/>
      <c r="FP80"/>
      <c r="FQ80"/>
      <c r="FR80"/>
      <c r="FS80"/>
      <c r="FT80"/>
      <c r="FU80"/>
      <c r="FV80"/>
      <c r="FW80"/>
      <c r="FX80"/>
      <c r="FY80"/>
      <c r="FZ80"/>
      <c r="GA80"/>
      <c r="GB80"/>
      <c r="GC80"/>
      <c r="GD80"/>
      <c r="GE80"/>
      <c r="GF80"/>
      <c r="GG80"/>
      <c r="GH80"/>
      <c r="GI80"/>
      <c r="GJ80"/>
      <c r="GK80"/>
      <c r="GL80"/>
      <c r="GM80"/>
      <c r="GN80"/>
      <c r="GO80"/>
      <c r="GP80"/>
      <c r="GQ80"/>
      <c r="GR80"/>
      <c r="GS80"/>
      <c r="GT80"/>
      <c r="GU80"/>
      <c r="GV80"/>
      <c r="GW80"/>
      <c r="GX80"/>
      <c r="GY80"/>
      <c r="GZ80"/>
      <c r="HA80"/>
      <c r="HB80"/>
      <c r="HC80"/>
      <c r="HD80"/>
      <c r="HE80"/>
      <c r="HF80"/>
      <c r="HG80"/>
      <c r="HH80"/>
      <c r="HI80"/>
      <c r="HJ80"/>
      <c r="HK80"/>
      <c r="HL80"/>
      <c r="HM80"/>
      <c r="HN80"/>
      <c r="HO80"/>
      <c r="HP80"/>
      <c r="HQ80"/>
      <c r="HR80"/>
      <c r="HS80"/>
      <c r="HT80"/>
      <c r="HU80"/>
      <c r="HV80"/>
      <c r="HW80"/>
      <c r="HX80"/>
      <c r="HY80"/>
      <c r="HZ80"/>
      <c r="IA80"/>
      <c r="IB80"/>
      <c r="IC80"/>
      <c r="ID80"/>
      <c r="IE80"/>
      <c r="IF80"/>
      <c r="IG80"/>
      <c r="IH80"/>
      <c r="II80"/>
      <c r="IJ80"/>
      <c r="IK80"/>
      <c r="IL80"/>
      <c r="IM80"/>
      <c r="IN80"/>
      <c r="IO80"/>
      <c r="IP80"/>
      <c r="IQ80"/>
      <c r="IR80"/>
      <c r="IS80"/>
      <c r="IT80"/>
      <c r="IU80"/>
      <c r="IV80"/>
    </row>
    <row r="81" spans="1:256" s="201" customFormat="1" ht="14.25" x14ac:dyDescent="0.2">
      <c r="A81" s="10">
        <v>3100</v>
      </c>
      <c r="B81" s="11" t="s">
        <v>233</v>
      </c>
      <c r="C81" s="105" t="s">
        <v>234</v>
      </c>
      <c r="D81" s="11" t="s">
        <v>170</v>
      </c>
      <c r="E81" s="12">
        <v>20007</v>
      </c>
      <c r="F81" s="202">
        <v>35</v>
      </c>
      <c r="G81" s="11">
        <v>30000</v>
      </c>
      <c r="H81" s="116">
        <v>-10000</v>
      </c>
      <c r="I81" s="192"/>
      <c r="J81" s="204"/>
      <c r="K81" s="193"/>
      <c r="L81" s="193"/>
      <c r="M81" s="193"/>
      <c r="N81" s="203">
        <f t="shared" si="56"/>
        <v>30000</v>
      </c>
      <c r="O81" s="203">
        <f t="shared" si="57"/>
        <v>20000</v>
      </c>
      <c r="P81" s="203">
        <f t="shared" si="58"/>
        <v>20000</v>
      </c>
      <c r="Q81" s="214"/>
      <c r="R81" s="219"/>
      <c r="S81" s="217">
        <v>46220</v>
      </c>
      <c r="T81" s="205"/>
      <c r="U81" s="205"/>
      <c r="V81" s="215"/>
      <c r="W81" s="212"/>
      <c r="X81" s="10">
        <v>7</v>
      </c>
      <c r="Y81" s="10">
        <v>7</v>
      </c>
      <c r="Z81" s="213">
        <f t="shared" si="59"/>
        <v>30000</v>
      </c>
      <c r="AA81" s="62"/>
      <c r="AB81" s="62"/>
      <c r="AC81" s="62"/>
      <c r="AD81" s="62"/>
      <c r="AE81" s="62"/>
      <c r="AF81" s="63"/>
      <c r="AG81" s="64"/>
      <c r="AH81" s="6">
        <v>1</v>
      </c>
      <c r="AI81">
        <f t="shared" si="60"/>
        <v>25</v>
      </c>
      <c r="AJ81">
        <f t="shared" si="61"/>
        <v>25</v>
      </c>
      <c r="AK81">
        <f t="shared" si="62"/>
        <v>0</v>
      </c>
      <c r="AL81">
        <f t="shared" si="63"/>
        <v>0</v>
      </c>
      <c r="AM81">
        <f t="shared" si="64"/>
        <v>0</v>
      </c>
      <c r="AN81">
        <f t="shared" si="65"/>
        <v>0</v>
      </c>
      <c r="AO81">
        <f t="shared" si="66"/>
        <v>0</v>
      </c>
      <c r="AP81">
        <f t="shared" si="67"/>
        <v>0</v>
      </c>
      <c r="AQ81">
        <f t="shared" si="68"/>
        <v>0</v>
      </c>
      <c r="AR81">
        <f t="shared" si="69"/>
        <v>0</v>
      </c>
      <c r="AS81">
        <f t="shared" si="70"/>
        <v>0</v>
      </c>
      <c r="AT81">
        <f t="shared" si="71"/>
        <v>0</v>
      </c>
      <c r="AU81">
        <f t="shared" si="72"/>
        <v>1</v>
      </c>
      <c r="AV81">
        <f t="shared" si="73"/>
        <v>1</v>
      </c>
      <c r="AW81">
        <f t="shared" si="74"/>
        <v>1</v>
      </c>
      <c r="AX81">
        <f t="shared" si="75"/>
        <v>1</v>
      </c>
      <c r="AY81">
        <f t="shared" si="76"/>
        <v>20000</v>
      </c>
      <c r="AZ81">
        <f t="shared" si="77"/>
        <v>20000</v>
      </c>
      <c r="BA81">
        <f t="shared" si="78"/>
        <v>0</v>
      </c>
      <c r="BB81">
        <f t="shared" si="79"/>
        <v>0</v>
      </c>
      <c r="BC81">
        <f t="shared" si="80"/>
        <v>0</v>
      </c>
      <c r="BD81">
        <f t="shared" si="81"/>
        <v>0</v>
      </c>
      <c r="BE81">
        <f t="shared" si="82"/>
        <v>0</v>
      </c>
      <c r="BF81">
        <f t="shared" si="83"/>
        <v>0</v>
      </c>
      <c r="BG81"/>
      <c r="BH81"/>
      <c r="BI81"/>
      <c r="BJ81"/>
      <c r="BK81"/>
      <c r="BL81"/>
      <c r="BM81"/>
      <c r="BN81"/>
      <c r="BO81"/>
      <c r="BP81"/>
      <c r="BQ81"/>
      <c r="BR81"/>
      <c r="BS81"/>
      <c r="BT81"/>
      <c r="BU81"/>
      <c r="BV81"/>
      <c r="BW81"/>
      <c r="BX81"/>
      <c r="BY81"/>
      <c r="BZ81"/>
      <c r="CA81"/>
      <c r="CB81"/>
      <c r="CC81"/>
      <c r="CD81"/>
      <c r="CE81"/>
      <c r="CF81"/>
      <c r="CG81"/>
      <c r="CH81"/>
      <c r="CI81"/>
      <c r="CJ81"/>
      <c r="CK81"/>
      <c r="CL81"/>
      <c r="CM81"/>
      <c r="CN81"/>
      <c r="CO81"/>
      <c r="CP81"/>
      <c r="CQ81"/>
      <c r="CR81"/>
      <c r="CS81"/>
      <c r="CT81"/>
      <c r="CU81"/>
      <c r="CV81"/>
      <c r="CW81"/>
      <c r="CX81"/>
      <c r="CY81"/>
      <c r="CZ81"/>
      <c r="DA81"/>
      <c r="DB81"/>
      <c r="DC81"/>
      <c r="DD81"/>
      <c r="DE81"/>
      <c r="DF81"/>
      <c r="DG81"/>
      <c r="DH81"/>
      <c r="DI81"/>
      <c r="DJ81"/>
      <c r="DK81"/>
      <c r="DL81"/>
      <c r="DM81"/>
      <c r="DN81"/>
      <c r="DO81"/>
      <c r="DP81"/>
      <c r="DQ81"/>
      <c r="DR81"/>
      <c r="DS81"/>
      <c r="DT81"/>
      <c r="DU81"/>
      <c r="DV81"/>
      <c r="DW81"/>
      <c r="DX81"/>
      <c r="DY81"/>
      <c r="DZ81"/>
      <c r="EA81"/>
      <c r="EB81"/>
      <c r="EC81"/>
      <c r="ED81"/>
      <c r="EE81"/>
      <c r="EF81"/>
      <c r="EG81"/>
      <c r="EH81"/>
      <c r="EI81"/>
      <c r="EJ81"/>
      <c r="EK81"/>
      <c r="EL81"/>
      <c r="EM81"/>
      <c r="EN81"/>
      <c r="EO81"/>
      <c r="EP81"/>
      <c r="EQ81"/>
      <c r="ER81"/>
      <c r="ES81"/>
      <c r="ET81"/>
      <c r="EU81"/>
      <c r="EV81"/>
      <c r="EW81"/>
      <c r="EX81"/>
      <c r="EY81"/>
      <c r="EZ81"/>
      <c r="FA81"/>
      <c r="FB81"/>
      <c r="FC81"/>
      <c r="FD81"/>
      <c r="FE81"/>
      <c r="FF81"/>
      <c r="FG81"/>
      <c r="FH81"/>
      <c r="FI81"/>
      <c r="FJ81"/>
      <c r="FK81"/>
      <c r="FL81"/>
      <c r="FM81"/>
      <c r="FN81"/>
      <c r="FO81"/>
      <c r="FP81"/>
      <c r="FQ81"/>
      <c r="FR81"/>
      <c r="FS81"/>
      <c r="FT81"/>
      <c r="FU81"/>
      <c r="FV81"/>
      <c r="FW81"/>
      <c r="FX81"/>
      <c r="FY81"/>
      <c r="FZ81"/>
      <c r="GA81"/>
      <c r="GB81"/>
      <c r="GC81"/>
      <c r="GD81"/>
      <c r="GE81"/>
      <c r="GF81"/>
      <c r="GG81"/>
      <c r="GH81"/>
      <c r="GI81"/>
      <c r="GJ81"/>
      <c r="GK81"/>
      <c r="GL81"/>
      <c r="GM81"/>
      <c r="GN81"/>
      <c r="GO81"/>
      <c r="GP81"/>
      <c r="GQ81"/>
      <c r="GR81"/>
      <c r="GS81"/>
      <c r="GT81"/>
      <c r="GU81"/>
      <c r="GV81"/>
      <c r="GW81"/>
      <c r="GX81"/>
      <c r="GY81"/>
      <c r="GZ81"/>
      <c r="HA81"/>
      <c r="HB81"/>
      <c r="HC81"/>
      <c r="HD81"/>
      <c r="HE81"/>
      <c r="HF81"/>
      <c r="HG81"/>
      <c r="HH81"/>
      <c r="HI81"/>
      <c r="HJ81"/>
      <c r="HK81"/>
      <c r="HL81"/>
      <c r="HM81"/>
      <c r="HN81"/>
      <c r="HO81"/>
      <c r="HP81"/>
      <c r="HQ81"/>
      <c r="HR81"/>
      <c r="HS81"/>
      <c r="HT81"/>
      <c r="HU81"/>
      <c r="HV81"/>
      <c r="HW81"/>
      <c r="HX81"/>
      <c r="HY81"/>
      <c r="HZ81"/>
      <c r="IA81"/>
      <c r="IB81"/>
      <c r="IC81"/>
      <c r="ID81"/>
      <c r="IE81"/>
      <c r="IF81"/>
      <c r="IG81"/>
      <c r="IH81"/>
      <c r="II81"/>
      <c r="IJ81"/>
      <c r="IK81"/>
      <c r="IL81"/>
      <c r="IM81"/>
      <c r="IN81"/>
      <c r="IO81"/>
      <c r="IP81"/>
      <c r="IQ81"/>
      <c r="IR81"/>
      <c r="IS81"/>
      <c r="IT81"/>
      <c r="IU81"/>
      <c r="IV81"/>
    </row>
    <row r="82" spans="1:256" s="201" customFormat="1" ht="14.25" x14ac:dyDescent="0.2">
      <c r="A82" s="10">
        <v>3109</v>
      </c>
      <c r="B82" s="11" t="s">
        <v>417</v>
      </c>
      <c r="C82" s="105" t="s">
        <v>418</v>
      </c>
      <c r="D82" s="11" t="s">
        <v>105</v>
      </c>
      <c r="E82" s="12">
        <v>11620</v>
      </c>
      <c r="F82" s="202">
        <v>35</v>
      </c>
      <c r="G82" s="11">
        <v>60000</v>
      </c>
      <c r="H82" s="116">
        <v>0</v>
      </c>
      <c r="I82" s="192"/>
      <c r="J82" s="204"/>
      <c r="K82" s="193"/>
      <c r="L82" s="193"/>
      <c r="M82" s="193"/>
      <c r="N82" s="203">
        <f t="shared" si="56"/>
        <v>60000</v>
      </c>
      <c r="O82" s="203">
        <f t="shared" si="57"/>
        <v>60000</v>
      </c>
      <c r="P82" s="203">
        <f t="shared" si="58"/>
        <v>60000</v>
      </c>
      <c r="Q82" s="214"/>
      <c r="R82" s="219"/>
      <c r="S82" s="217">
        <v>46232</v>
      </c>
      <c r="T82" s="205"/>
      <c r="U82" s="205"/>
      <c r="V82" s="215"/>
      <c r="W82" s="212"/>
      <c r="X82" s="10">
        <v>7</v>
      </c>
      <c r="Y82" s="10">
        <v>7</v>
      </c>
      <c r="Z82" s="213">
        <f t="shared" si="59"/>
        <v>60000</v>
      </c>
      <c r="AA82" s="62"/>
      <c r="AB82" s="62"/>
      <c r="AC82" s="62"/>
      <c r="AD82" s="62"/>
      <c r="AE82" s="62"/>
      <c r="AF82" s="63"/>
      <c r="AG82" s="64"/>
      <c r="AH82" s="6">
        <v>1</v>
      </c>
      <c r="AI82">
        <f t="shared" si="60"/>
        <v>25</v>
      </c>
      <c r="AJ82">
        <f t="shared" si="61"/>
        <v>25</v>
      </c>
      <c r="AK82">
        <f t="shared" si="62"/>
        <v>0</v>
      </c>
      <c r="AL82">
        <f t="shared" si="63"/>
        <v>0</v>
      </c>
      <c r="AM82">
        <f t="shared" si="64"/>
        <v>0</v>
      </c>
      <c r="AN82">
        <f t="shared" si="65"/>
        <v>0</v>
      </c>
      <c r="AO82">
        <f t="shared" si="66"/>
        <v>0</v>
      </c>
      <c r="AP82">
        <f t="shared" si="67"/>
        <v>0</v>
      </c>
      <c r="AQ82">
        <f t="shared" si="68"/>
        <v>0</v>
      </c>
      <c r="AR82">
        <f t="shared" si="69"/>
        <v>0</v>
      </c>
      <c r="AS82">
        <f t="shared" si="70"/>
        <v>0</v>
      </c>
      <c r="AT82">
        <f t="shared" si="71"/>
        <v>0</v>
      </c>
      <c r="AU82">
        <f t="shared" si="72"/>
        <v>1</v>
      </c>
      <c r="AV82">
        <f t="shared" si="73"/>
        <v>1</v>
      </c>
      <c r="AW82">
        <f t="shared" si="74"/>
        <v>1</v>
      </c>
      <c r="AX82">
        <f t="shared" si="75"/>
        <v>1</v>
      </c>
      <c r="AY82">
        <f t="shared" si="76"/>
        <v>60000</v>
      </c>
      <c r="AZ82">
        <f t="shared" si="77"/>
        <v>60000</v>
      </c>
      <c r="BA82">
        <f t="shared" si="78"/>
        <v>0</v>
      </c>
      <c r="BB82">
        <f t="shared" si="79"/>
        <v>0</v>
      </c>
      <c r="BC82">
        <f t="shared" si="80"/>
        <v>0</v>
      </c>
      <c r="BD82">
        <f t="shared" si="81"/>
        <v>0</v>
      </c>
      <c r="BE82">
        <f t="shared" si="82"/>
        <v>0</v>
      </c>
      <c r="BF82">
        <f t="shared" si="83"/>
        <v>0</v>
      </c>
      <c r="BG82"/>
      <c r="BH82"/>
      <c r="BI82"/>
      <c r="BJ82"/>
      <c r="BK82"/>
      <c r="BL82"/>
      <c r="BM82"/>
      <c r="BN82"/>
      <c r="BO82"/>
      <c r="BP82"/>
      <c r="BQ82"/>
      <c r="BR82"/>
      <c r="BS82"/>
      <c r="BT82"/>
      <c r="BU82"/>
      <c r="BV82"/>
      <c r="BW82"/>
      <c r="BX82"/>
      <c r="BY82"/>
      <c r="BZ82"/>
      <c r="CA82"/>
      <c r="CB82"/>
      <c r="CC82"/>
      <c r="CD82"/>
      <c r="CE82"/>
      <c r="CF82"/>
      <c r="CG82"/>
      <c r="CH82"/>
      <c r="CI82"/>
      <c r="CJ82"/>
      <c r="CK82"/>
      <c r="CL82"/>
      <c r="CM82"/>
      <c r="CN82"/>
      <c r="CO82"/>
      <c r="CP82"/>
      <c r="CQ82"/>
      <c r="CR82"/>
      <c r="CS82"/>
      <c r="CT82"/>
      <c r="CU82"/>
      <c r="CV82"/>
      <c r="CW82"/>
      <c r="CX82"/>
      <c r="CY82"/>
      <c r="CZ82"/>
      <c r="DA82"/>
      <c r="DB82"/>
      <c r="DC82"/>
      <c r="DD82"/>
      <c r="DE82"/>
      <c r="DF82"/>
      <c r="DG82"/>
      <c r="DH82"/>
      <c r="DI82"/>
      <c r="DJ82"/>
      <c r="DK82"/>
      <c r="DL82"/>
      <c r="DM82"/>
      <c r="DN82"/>
      <c r="DO82"/>
      <c r="DP82"/>
      <c r="DQ82"/>
      <c r="DR82"/>
      <c r="DS82"/>
      <c r="DT82"/>
      <c r="DU82"/>
      <c r="DV82"/>
      <c r="DW82"/>
      <c r="DX82"/>
      <c r="DY82"/>
      <c r="DZ82"/>
      <c r="EA82"/>
      <c r="EB82"/>
      <c r="EC82"/>
      <c r="ED82"/>
      <c r="EE82"/>
      <c r="EF82"/>
      <c r="EG82"/>
      <c r="EH82"/>
      <c r="EI82"/>
      <c r="EJ82"/>
      <c r="EK82"/>
      <c r="EL82"/>
      <c r="EM82"/>
      <c r="EN82"/>
      <c r="EO82"/>
      <c r="EP82"/>
      <c r="EQ82"/>
      <c r="ER82"/>
      <c r="ES82"/>
      <c r="ET82"/>
      <c r="EU82"/>
      <c r="EV82"/>
      <c r="EW82"/>
      <c r="EX82"/>
      <c r="EY82"/>
      <c r="EZ82"/>
      <c r="FA82"/>
      <c r="FB82"/>
      <c r="FC82"/>
      <c r="FD82"/>
      <c r="FE82"/>
      <c r="FF82"/>
      <c r="FG82"/>
      <c r="FH82"/>
      <c r="FI82"/>
      <c r="FJ82"/>
      <c r="FK82"/>
      <c r="FL82"/>
      <c r="FM82"/>
      <c r="FN82"/>
      <c r="FO82"/>
      <c r="FP82"/>
      <c r="FQ82"/>
      <c r="FR82"/>
      <c r="FS82"/>
      <c r="FT82"/>
      <c r="FU82"/>
      <c r="FV82"/>
      <c r="FW82"/>
      <c r="FX82"/>
      <c r="FY82"/>
      <c r="FZ82"/>
      <c r="GA82"/>
      <c r="GB82"/>
      <c r="GC82"/>
      <c r="GD82"/>
      <c r="GE82"/>
      <c r="GF82"/>
      <c r="GG82"/>
      <c r="GH82"/>
      <c r="GI82"/>
      <c r="GJ82"/>
      <c r="GK82"/>
      <c r="GL82"/>
      <c r="GM82"/>
      <c r="GN82"/>
      <c r="GO82"/>
      <c r="GP82"/>
      <c r="GQ82"/>
      <c r="GR82"/>
      <c r="GS82"/>
      <c r="GT82"/>
      <c r="GU82"/>
      <c r="GV82"/>
      <c r="GW82"/>
      <c r="GX82"/>
      <c r="GY82"/>
      <c r="GZ82"/>
      <c r="HA82"/>
      <c r="HB82"/>
      <c r="HC82"/>
      <c r="HD82"/>
      <c r="HE82"/>
      <c r="HF82"/>
      <c r="HG82"/>
      <c r="HH82"/>
      <c r="HI82"/>
      <c r="HJ82"/>
      <c r="HK82"/>
      <c r="HL82"/>
      <c r="HM82"/>
      <c r="HN82"/>
      <c r="HO82"/>
      <c r="HP82"/>
      <c r="HQ82"/>
      <c r="HR82"/>
      <c r="HS82"/>
      <c r="HT82"/>
      <c r="HU82"/>
      <c r="HV82"/>
      <c r="HW82"/>
      <c r="HX82"/>
      <c r="HY82"/>
      <c r="HZ82"/>
      <c r="IA82"/>
      <c r="IB82"/>
      <c r="IC82"/>
      <c r="ID82"/>
      <c r="IE82"/>
      <c r="IF82"/>
      <c r="IG82"/>
      <c r="IH82"/>
      <c r="II82"/>
      <c r="IJ82"/>
      <c r="IK82"/>
      <c r="IL82"/>
      <c r="IM82"/>
      <c r="IN82"/>
      <c r="IO82"/>
      <c r="IP82"/>
      <c r="IQ82"/>
      <c r="IR82"/>
      <c r="IS82"/>
      <c r="IT82"/>
      <c r="IU82"/>
      <c r="IV82"/>
    </row>
    <row r="83" spans="1:256" s="201" customFormat="1" ht="14.25" x14ac:dyDescent="0.2">
      <c r="A83" s="10">
        <v>3112</v>
      </c>
      <c r="B83" s="11" t="s">
        <v>419</v>
      </c>
      <c r="C83" s="105" t="s">
        <v>420</v>
      </c>
      <c r="D83" s="11" t="s">
        <v>235</v>
      </c>
      <c r="E83" s="12">
        <v>11919</v>
      </c>
      <c r="F83" s="202">
        <v>35</v>
      </c>
      <c r="G83" s="11">
        <v>60000</v>
      </c>
      <c r="H83" s="116">
        <v>0</v>
      </c>
      <c r="I83" s="192"/>
      <c r="J83" s="204"/>
      <c r="K83" s="193"/>
      <c r="L83" s="193"/>
      <c r="M83" s="193"/>
      <c r="N83" s="203">
        <f t="shared" si="56"/>
        <v>60000</v>
      </c>
      <c r="O83" s="203">
        <f t="shared" si="57"/>
        <v>60000</v>
      </c>
      <c r="P83" s="203">
        <f t="shared" si="58"/>
        <v>60000</v>
      </c>
      <c r="Q83" s="214"/>
      <c r="R83" s="219"/>
      <c r="S83" s="217">
        <v>46223</v>
      </c>
      <c r="T83" s="205"/>
      <c r="U83" s="205"/>
      <c r="V83" s="215"/>
      <c r="W83" s="212"/>
      <c r="X83" s="10">
        <v>7</v>
      </c>
      <c r="Y83" s="10">
        <v>7</v>
      </c>
      <c r="Z83" s="213">
        <f t="shared" si="59"/>
        <v>60000</v>
      </c>
      <c r="AA83" s="62"/>
      <c r="AB83" s="62"/>
      <c r="AC83" s="62"/>
      <c r="AD83" s="62"/>
      <c r="AE83" s="62"/>
      <c r="AF83" s="63"/>
      <c r="AG83" s="64"/>
      <c r="AH83" s="6">
        <v>1</v>
      </c>
      <c r="AI83">
        <f t="shared" si="60"/>
        <v>25</v>
      </c>
      <c r="AJ83">
        <f t="shared" si="61"/>
        <v>25</v>
      </c>
      <c r="AK83">
        <f t="shared" si="62"/>
        <v>0</v>
      </c>
      <c r="AL83">
        <f t="shared" si="63"/>
        <v>0</v>
      </c>
      <c r="AM83">
        <f t="shared" si="64"/>
        <v>0</v>
      </c>
      <c r="AN83">
        <f t="shared" si="65"/>
        <v>0</v>
      </c>
      <c r="AO83">
        <f t="shared" si="66"/>
        <v>0</v>
      </c>
      <c r="AP83">
        <f t="shared" si="67"/>
        <v>0</v>
      </c>
      <c r="AQ83">
        <f t="shared" si="68"/>
        <v>0</v>
      </c>
      <c r="AR83">
        <f t="shared" si="69"/>
        <v>0</v>
      </c>
      <c r="AS83">
        <f t="shared" si="70"/>
        <v>0</v>
      </c>
      <c r="AT83">
        <f t="shared" si="71"/>
        <v>0</v>
      </c>
      <c r="AU83">
        <f t="shared" si="72"/>
        <v>1</v>
      </c>
      <c r="AV83">
        <f t="shared" si="73"/>
        <v>1</v>
      </c>
      <c r="AW83">
        <f t="shared" si="74"/>
        <v>1</v>
      </c>
      <c r="AX83">
        <f t="shared" si="75"/>
        <v>1</v>
      </c>
      <c r="AY83">
        <f t="shared" si="76"/>
        <v>60000</v>
      </c>
      <c r="AZ83">
        <f t="shared" si="77"/>
        <v>60000</v>
      </c>
      <c r="BA83">
        <f t="shared" si="78"/>
        <v>0</v>
      </c>
      <c r="BB83">
        <f t="shared" si="79"/>
        <v>0</v>
      </c>
      <c r="BC83">
        <f t="shared" si="80"/>
        <v>0</v>
      </c>
      <c r="BD83">
        <f t="shared" si="81"/>
        <v>0</v>
      </c>
      <c r="BE83">
        <f t="shared" si="82"/>
        <v>0</v>
      </c>
      <c r="BF83">
        <f t="shared" si="83"/>
        <v>0</v>
      </c>
      <c r="BG83"/>
      <c r="BH83"/>
      <c r="BI83"/>
      <c r="BJ83"/>
      <c r="BK83"/>
      <c r="BL83"/>
      <c r="BM83"/>
      <c r="BN83"/>
      <c r="BO83"/>
      <c r="BP83"/>
      <c r="BQ83"/>
      <c r="BR83"/>
      <c r="BS83"/>
      <c r="BT83"/>
      <c r="BU83"/>
      <c r="BV83"/>
      <c r="BW83"/>
      <c r="BX83"/>
      <c r="BY83"/>
      <c r="BZ83"/>
      <c r="CA83"/>
      <c r="CB83"/>
      <c r="CC83"/>
      <c r="CD83"/>
      <c r="CE83"/>
      <c r="CF83"/>
      <c r="CG83"/>
      <c r="CH83"/>
      <c r="CI83"/>
      <c r="CJ83"/>
      <c r="CK83"/>
      <c r="CL83"/>
      <c r="CM83"/>
      <c r="CN83"/>
      <c r="CO83"/>
      <c r="CP83"/>
      <c r="CQ83"/>
      <c r="CR83"/>
      <c r="CS83"/>
      <c r="CT83"/>
      <c r="CU83"/>
      <c r="CV83"/>
      <c r="CW83"/>
      <c r="CX83"/>
      <c r="CY83"/>
      <c r="CZ83"/>
      <c r="DA83"/>
      <c r="DB83"/>
      <c r="DC83"/>
      <c r="DD83"/>
      <c r="DE83"/>
      <c r="DF83"/>
      <c r="DG83"/>
      <c r="DH83"/>
      <c r="DI83"/>
      <c r="DJ83"/>
      <c r="DK83"/>
      <c r="DL83"/>
      <c r="DM83"/>
      <c r="DN83"/>
      <c r="DO83"/>
      <c r="DP83"/>
      <c r="DQ83"/>
      <c r="DR83"/>
      <c r="DS83"/>
      <c r="DT83"/>
      <c r="DU83"/>
      <c r="DV83"/>
      <c r="DW83"/>
      <c r="DX83"/>
      <c r="DY83"/>
      <c r="DZ83"/>
      <c r="EA83"/>
      <c r="EB83"/>
      <c r="EC83"/>
      <c r="ED83"/>
      <c r="EE83"/>
      <c r="EF83"/>
      <c r="EG83"/>
      <c r="EH83"/>
      <c r="EI83"/>
      <c r="EJ83"/>
      <c r="EK83"/>
      <c r="EL83"/>
      <c r="EM83"/>
      <c r="EN83"/>
      <c r="EO83"/>
      <c r="EP83"/>
      <c r="EQ83"/>
      <c r="ER83"/>
      <c r="ES83"/>
      <c r="ET83"/>
      <c r="EU83"/>
      <c r="EV83"/>
      <c r="EW83"/>
      <c r="EX83"/>
      <c r="EY83"/>
      <c r="EZ83"/>
      <c r="FA83"/>
      <c r="FB83"/>
      <c r="FC83"/>
      <c r="FD83"/>
      <c r="FE83"/>
      <c r="FF83"/>
      <c r="FG83"/>
      <c r="FH83"/>
      <c r="FI83"/>
      <c r="FJ83"/>
      <c r="FK83"/>
      <c r="FL83"/>
      <c r="FM83"/>
      <c r="FN83"/>
      <c r="FO83"/>
      <c r="FP83"/>
      <c r="FQ83"/>
      <c r="FR83"/>
      <c r="FS83"/>
      <c r="FT83"/>
      <c r="FU83"/>
      <c r="FV83"/>
      <c r="FW83"/>
      <c r="FX83"/>
      <c r="FY83"/>
      <c r="FZ83"/>
      <c r="GA83"/>
      <c r="GB83"/>
      <c r="GC83"/>
      <c r="GD83"/>
      <c r="GE83"/>
      <c r="GF83"/>
      <c r="GG83"/>
      <c r="GH83"/>
      <c r="GI83"/>
      <c r="GJ83"/>
      <c r="GK83"/>
      <c r="GL83"/>
      <c r="GM83"/>
      <c r="GN83"/>
      <c r="GO83"/>
      <c r="GP83"/>
      <c r="GQ83"/>
      <c r="GR83"/>
      <c r="GS83"/>
      <c r="GT83"/>
      <c r="GU83"/>
      <c r="GV83"/>
      <c r="GW83"/>
      <c r="GX83"/>
      <c r="GY83"/>
      <c r="GZ83"/>
      <c r="HA83"/>
      <c r="HB83"/>
      <c r="HC83"/>
      <c r="HD83"/>
      <c r="HE83"/>
      <c r="HF83"/>
      <c r="HG83"/>
      <c r="HH83"/>
      <c r="HI83"/>
      <c r="HJ83"/>
      <c r="HK83"/>
      <c r="HL83"/>
      <c r="HM83"/>
      <c r="HN83"/>
      <c r="HO83"/>
      <c r="HP83"/>
      <c r="HQ83"/>
      <c r="HR83"/>
      <c r="HS83"/>
      <c r="HT83"/>
      <c r="HU83"/>
      <c r="HV83"/>
      <c r="HW83"/>
      <c r="HX83"/>
      <c r="HY83"/>
      <c r="HZ83"/>
      <c r="IA83"/>
      <c r="IB83"/>
      <c r="IC83"/>
      <c r="ID83"/>
      <c r="IE83"/>
      <c r="IF83"/>
      <c r="IG83"/>
      <c r="IH83"/>
      <c r="II83"/>
      <c r="IJ83"/>
      <c r="IK83"/>
      <c r="IL83"/>
      <c r="IM83"/>
      <c r="IN83"/>
      <c r="IO83"/>
      <c r="IP83"/>
      <c r="IQ83"/>
      <c r="IR83"/>
      <c r="IS83"/>
      <c r="IT83"/>
      <c r="IU83"/>
      <c r="IV83"/>
    </row>
    <row r="84" spans="1:256" s="201" customFormat="1" ht="14.25" x14ac:dyDescent="0.2">
      <c r="A84" s="10">
        <v>3114</v>
      </c>
      <c r="B84" s="11" t="s">
        <v>250</v>
      </c>
      <c r="C84" s="105" t="s">
        <v>251</v>
      </c>
      <c r="D84" s="11" t="s">
        <v>106</v>
      </c>
      <c r="E84" s="12">
        <v>11921</v>
      </c>
      <c r="F84" s="202">
        <v>35</v>
      </c>
      <c r="G84" s="11">
        <v>30000</v>
      </c>
      <c r="H84" s="116">
        <v>-3000</v>
      </c>
      <c r="I84" s="192"/>
      <c r="J84" s="204"/>
      <c r="K84" s="193"/>
      <c r="L84" s="193"/>
      <c r="M84" s="193"/>
      <c r="N84" s="203">
        <f t="shared" si="56"/>
        <v>30000</v>
      </c>
      <c r="O84" s="203">
        <f t="shared" si="57"/>
        <v>27000</v>
      </c>
      <c r="P84" s="203">
        <f t="shared" si="58"/>
        <v>27000</v>
      </c>
      <c r="Q84" s="214"/>
      <c r="R84" s="219"/>
      <c r="S84" s="217">
        <v>46216</v>
      </c>
      <c r="T84" s="205"/>
      <c r="U84" s="205"/>
      <c r="V84" s="215"/>
      <c r="W84" s="212"/>
      <c r="X84" s="10">
        <v>7</v>
      </c>
      <c r="Y84" s="10">
        <v>7</v>
      </c>
      <c r="Z84" s="213">
        <f t="shared" si="59"/>
        <v>30000</v>
      </c>
      <c r="AA84" s="62"/>
      <c r="AB84" s="62"/>
      <c r="AC84" s="62"/>
      <c r="AD84" s="62"/>
      <c r="AE84" s="62"/>
      <c r="AF84" s="63"/>
      <c r="AG84" s="64"/>
      <c r="AH84" s="6">
        <v>1</v>
      </c>
      <c r="AI84">
        <f t="shared" si="60"/>
        <v>25</v>
      </c>
      <c r="AJ84">
        <f t="shared" si="61"/>
        <v>25</v>
      </c>
      <c r="AK84">
        <f t="shared" si="62"/>
        <v>0</v>
      </c>
      <c r="AL84">
        <f t="shared" si="63"/>
        <v>0</v>
      </c>
      <c r="AM84">
        <f t="shared" si="64"/>
        <v>0</v>
      </c>
      <c r="AN84">
        <f t="shared" si="65"/>
        <v>0</v>
      </c>
      <c r="AO84">
        <f t="shared" si="66"/>
        <v>0</v>
      </c>
      <c r="AP84">
        <f t="shared" si="67"/>
        <v>0</v>
      </c>
      <c r="AQ84">
        <f t="shared" si="68"/>
        <v>0</v>
      </c>
      <c r="AR84">
        <f t="shared" si="69"/>
        <v>0</v>
      </c>
      <c r="AS84">
        <f t="shared" si="70"/>
        <v>0</v>
      </c>
      <c r="AT84">
        <f t="shared" si="71"/>
        <v>0</v>
      </c>
      <c r="AU84">
        <f t="shared" si="72"/>
        <v>1</v>
      </c>
      <c r="AV84">
        <f t="shared" si="73"/>
        <v>1</v>
      </c>
      <c r="AW84">
        <f t="shared" si="74"/>
        <v>1</v>
      </c>
      <c r="AX84">
        <f t="shared" si="75"/>
        <v>1</v>
      </c>
      <c r="AY84">
        <f t="shared" si="76"/>
        <v>27000</v>
      </c>
      <c r="AZ84">
        <f t="shared" si="77"/>
        <v>27000</v>
      </c>
      <c r="BA84">
        <f t="shared" si="78"/>
        <v>0</v>
      </c>
      <c r="BB84">
        <f t="shared" si="79"/>
        <v>0</v>
      </c>
      <c r="BC84">
        <f t="shared" si="80"/>
        <v>0</v>
      </c>
      <c r="BD84">
        <f t="shared" si="81"/>
        <v>0</v>
      </c>
      <c r="BE84">
        <f t="shared" si="82"/>
        <v>0</v>
      </c>
      <c r="BF84">
        <f t="shared" si="83"/>
        <v>0</v>
      </c>
      <c r="BG84"/>
      <c r="BH84"/>
      <c r="BI84"/>
      <c r="BJ84"/>
      <c r="BK84"/>
      <c r="BL84"/>
      <c r="BM84"/>
      <c r="BN84"/>
      <c r="BO84"/>
      <c r="BP84"/>
      <c r="BQ84"/>
      <c r="BR84"/>
      <c r="BS84"/>
      <c r="BT84"/>
      <c r="BU84"/>
      <c r="BV84"/>
      <c r="BW84"/>
      <c r="BX84"/>
      <c r="BY84"/>
      <c r="BZ84"/>
      <c r="CA84"/>
      <c r="CB84"/>
      <c r="CC84"/>
      <c r="CD84"/>
      <c r="CE84"/>
      <c r="CF84"/>
      <c r="CG84"/>
      <c r="CH84"/>
      <c r="CI84"/>
      <c r="CJ84"/>
      <c r="CK84"/>
      <c r="CL84"/>
      <c r="CM84"/>
      <c r="CN84"/>
      <c r="CO84"/>
      <c r="CP84"/>
      <c r="CQ84"/>
      <c r="CR84"/>
      <c r="CS84"/>
      <c r="CT84"/>
      <c r="CU84"/>
      <c r="CV84"/>
      <c r="CW84"/>
      <c r="CX84"/>
      <c r="CY84"/>
      <c r="CZ84"/>
      <c r="DA84"/>
      <c r="DB84"/>
      <c r="DC84"/>
      <c r="DD84"/>
      <c r="DE84"/>
      <c r="DF84"/>
      <c r="DG84"/>
      <c r="DH84"/>
      <c r="DI84"/>
      <c r="DJ84"/>
      <c r="DK84"/>
      <c r="DL84"/>
      <c r="DM84"/>
      <c r="DN84"/>
      <c r="DO84"/>
      <c r="DP84"/>
      <c r="DQ84"/>
      <c r="DR84"/>
      <c r="DS84"/>
      <c r="DT84"/>
      <c r="DU84"/>
      <c r="DV84"/>
      <c r="DW84"/>
      <c r="DX84"/>
      <c r="DY84"/>
      <c r="DZ84"/>
      <c r="EA84"/>
      <c r="EB84"/>
      <c r="EC84"/>
      <c r="ED84"/>
      <c r="EE84"/>
      <c r="EF84"/>
      <c r="EG84"/>
      <c r="EH84"/>
      <c r="EI84"/>
      <c r="EJ84"/>
      <c r="EK84"/>
      <c r="EL84"/>
      <c r="EM84"/>
      <c r="EN84"/>
      <c r="EO84"/>
      <c r="EP84"/>
      <c r="EQ84"/>
      <c r="ER84"/>
      <c r="ES84"/>
      <c r="ET84"/>
      <c r="EU84"/>
      <c r="EV84"/>
      <c r="EW84"/>
      <c r="EX84"/>
      <c r="EY84"/>
      <c r="EZ84"/>
      <c r="FA84"/>
      <c r="FB84"/>
      <c r="FC84"/>
      <c r="FD84"/>
      <c r="FE84"/>
      <c r="FF84"/>
      <c r="FG84"/>
      <c r="FH84"/>
      <c r="FI84"/>
      <c r="FJ84"/>
      <c r="FK84"/>
      <c r="FL84"/>
      <c r="FM84"/>
      <c r="FN84"/>
      <c r="FO84"/>
      <c r="FP84"/>
      <c r="FQ84"/>
      <c r="FR84"/>
      <c r="FS84"/>
      <c r="FT84"/>
      <c r="FU84"/>
      <c r="FV84"/>
      <c r="FW84"/>
      <c r="FX84"/>
      <c r="FY84"/>
      <c r="FZ84"/>
      <c r="GA84"/>
      <c r="GB84"/>
      <c r="GC84"/>
      <c r="GD84"/>
      <c r="GE84"/>
      <c r="GF84"/>
      <c r="GG84"/>
      <c r="GH84"/>
      <c r="GI84"/>
      <c r="GJ84"/>
      <c r="GK84"/>
      <c r="GL84"/>
      <c r="GM84"/>
      <c r="GN84"/>
      <c r="GO84"/>
      <c r="GP84"/>
      <c r="GQ84"/>
      <c r="GR84"/>
      <c r="GS84"/>
      <c r="GT84"/>
      <c r="GU84"/>
      <c r="GV84"/>
      <c r="GW84"/>
      <c r="GX84"/>
      <c r="GY84"/>
      <c r="GZ84"/>
      <c r="HA84"/>
      <c r="HB84"/>
      <c r="HC84"/>
      <c r="HD84"/>
      <c r="HE84"/>
      <c r="HF84"/>
      <c r="HG84"/>
      <c r="HH84"/>
      <c r="HI84"/>
      <c r="HJ84"/>
      <c r="HK84"/>
      <c r="HL84"/>
      <c r="HM84"/>
      <c r="HN84"/>
      <c r="HO84"/>
      <c r="HP84"/>
      <c r="HQ84"/>
      <c r="HR84"/>
      <c r="HS84"/>
      <c r="HT84"/>
      <c r="HU84"/>
      <c r="HV84"/>
      <c r="HW84"/>
      <c r="HX84"/>
      <c r="HY84"/>
      <c r="HZ84"/>
      <c r="IA84"/>
      <c r="IB84"/>
      <c r="IC84"/>
      <c r="ID84"/>
      <c r="IE84"/>
      <c r="IF84"/>
      <c r="IG84"/>
      <c r="IH84"/>
      <c r="II84"/>
      <c r="IJ84"/>
      <c r="IK84"/>
      <c r="IL84"/>
      <c r="IM84"/>
      <c r="IN84"/>
      <c r="IO84"/>
      <c r="IP84"/>
      <c r="IQ84"/>
      <c r="IR84"/>
      <c r="IS84"/>
      <c r="IT84"/>
      <c r="IU84"/>
      <c r="IV84"/>
    </row>
    <row r="85" spans="1:256" s="201" customFormat="1" ht="14.25" x14ac:dyDescent="0.2">
      <c r="A85" s="10">
        <v>3115</v>
      </c>
      <c r="B85" s="11" t="s">
        <v>238</v>
      </c>
      <c r="C85" s="105" t="s">
        <v>239</v>
      </c>
      <c r="D85" s="11" t="s">
        <v>217</v>
      </c>
      <c r="E85" s="12">
        <v>11938</v>
      </c>
      <c r="F85" s="202">
        <v>35</v>
      </c>
      <c r="G85" s="11">
        <v>30000</v>
      </c>
      <c r="H85" s="116">
        <v>0</v>
      </c>
      <c r="I85" s="192"/>
      <c r="J85" s="204"/>
      <c r="K85" s="193"/>
      <c r="L85" s="193"/>
      <c r="M85" s="193"/>
      <c r="N85" s="203">
        <f t="shared" si="56"/>
        <v>30000</v>
      </c>
      <c r="O85" s="203">
        <f t="shared" si="57"/>
        <v>30000</v>
      </c>
      <c r="P85" s="203">
        <f t="shared" si="58"/>
        <v>30000</v>
      </c>
      <c r="Q85" s="214"/>
      <c r="R85" s="219"/>
      <c r="S85" s="217">
        <v>46217</v>
      </c>
      <c r="T85" s="205"/>
      <c r="U85" s="205"/>
      <c r="V85" s="215"/>
      <c r="W85" s="212"/>
      <c r="X85" s="10">
        <v>7</v>
      </c>
      <c r="Y85" s="10">
        <v>7</v>
      </c>
      <c r="Z85" s="213">
        <f t="shared" si="59"/>
        <v>30000</v>
      </c>
      <c r="AA85" s="62"/>
      <c r="AB85" s="62"/>
      <c r="AC85" s="62"/>
      <c r="AD85" s="62"/>
      <c r="AE85" s="62"/>
      <c r="AF85" s="63"/>
      <c r="AG85" s="64"/>
      <c r="AH85" s="6">
        <v>1</v>
      </c>
      <c r="AI85">
        <f t="shared" si="60"/>
        <v>25</v>
      </c>
      <c r="AJ85">
        <f t="shared" si="61"/>
        <v>25</v>
      </c>
      <c r="AK85">
        <f t="shared" si="62"/>
        <v>0</v>
      </c>
      <c r="AL85">
        <f t="shared" si="63"/>
        <v>0</v>
      </c>
      <c r="AM85">
        <f t="shared" si="64"/>
        <v>0</v>
      </c>
      <c r="AN85">
        <f t="shared" si="65"/>
        <v>0</v>
      </c>
      <c r="AO85">
        <f t="shared" si="66"/>
        <v>0</v>
      </c>
      <c r="AP85">
        <f t="shared" si="67"/>
        <v>0</v>
      </c>
      <c r="AQ85">
        <f t="shared" si="68"/>
        <v>0</v>
      </c>
      <c r="AR85">
        <f t="shared" si="69"/>
        <v>0</v>
      </c>
      <c r="AS85">
        <f t="shared" si="70"/>
        <v>0</v>
      </c>
      <c r="AT85">
        <f t="shared" si="71"/>
        <v>0</v>
      </c>
      <c r="AU85">
        <f t="shared" si="72"/>
        <v>1</v>
      </c>
      <c r="AV85">
        <f t="shared" si="73"/>
        <v>1</v>
      </c>
      <c r="AW85">
        <f t="shared" si="74"/>
        <v>1</v>
      </c>
      <c r="AX85">
        <f t="shared" si="75"/>
        <v>1</v>
      </c>
      <c r="AY85">
        <f t="shared" si="76"/>
        <v>30000</v>
      </c>
      <c r="AZ85">
        <f t="shared" si="77"/>
        <v>30000</v>
      </c>
      <c r="BA85">
        <f t="shared" si="78"/>
        <v>0</v>
      </c>
      <c r="BB85">
        <f t="shared" si="79"/>
        <v>0</v>
      </c>
      <c r="BC85">
        <f t="shared" si="80"/>
        <v>0</v>
      </c>
      <c r="BD85">
        <f t="shared" si="81"/>
        <v>0</v>
      </c>
      <c r="BE85">
        <f t="shared" si="82"/>
        <v>0</v>
      </c>
      <c r="BF85">
        <f t="shared" si="83"/>
        <v>0</v>
      </c>
      <c r="BG85"/>
      <c r="BH85"/>
      <c r="BI85"/>
      <c r="BJ85"/>
      <c r="BK85"/>
      <c r="BL85"/>
      <c r="BM85"/>
      <c r="BN85"/>
      <c r="BO85"/>
      <c r="BP85"/>
      <c r="BQ85"/>
      <c r="BR85"/>
      <c r="BS85"/>
      <c r="BT85"/>
      <c r="BU85"/>
      <c r="BV85"/>
      <c r="BW85"/>
      <c r="BX85"/>
      <c r="BY85"/>
      <c r="BZ85"/>
      <c r="CA85"/>
      <c r="CB85"/>
      <c r="CC85"/>
      <c r="CD85"/>
      <c r="CE85"/>
      <c r="CF85"/>
      <c r="CG85"/>
      <c r="CH85"/>
      <c r="CI85"/>
      <c r="CJ85"/>
      <c r="CK85"/>
      <c r="CL85"/>
      <c r="CM85"/>
      <c r="CN85"/>
      <c r="CO85"/>
      <c r="CP85"/>
      <c r="CQ85"/>
      <c r="CR85"/>
      <c r="CS85"/>
      <c r="CT85"/>
      <c r="CU85"/>
      <c r="CV85"/>
      <c r="CW85"/>
      <c r="CX85"/>
      <c r="CY85"/>
      <c r="CZ85"/>
      <c r="DA85"/>
      <c r="DB85"/>
      <c r="DC85"/>
      <c r="DD85"/>
      <c r="DE85"/>
      <c r="DF85"/>
      <c r="DG85"/>
      <c r="DH85"/>
      <c r="DI85"/>
      <c r="DJ85"/>
      <c r="DK85"/>
      <c r="DL85"/>
      <c r="DM85"/>
      <c r="DN85"/>
      <c r="DO85"/>
      <c r="DP85"/>
      <c r="DQ85"/>
      <c r="DR85"/>
      <c r="DS85"/>
      <c r="DT85"/>
      <c r="DU85"/>
      <c r="DV85"/>
      <c r="DW85"/>
      <c r="DX85"/>
      <c r="DY85"/>
      <c r="DZ85"/>
      <c r="EA85"/>
      <c r="EB85"/>
      <c r="EC85"/>
      <c r="ED85"/>
      <c r="EE85"/>
      <c r="EF85"/>
      <c r="EG85"/>
      <c r="EH85"/>
      <c r="EI85"/>
      <c r="EJ85"/>
      <c r="EK85"/>
      <c r="EL85"/>
      <c r="EM85"/>
      <c r="EN85"/>
      <c r="EO85"/>
      <c r="EP85"/>
      <c r="EQ85"/>
      <c r="ER85"/>
      <c r="ES85"/>
      <c r="ET85"/>
      <c r="EU85"/>
      <c r="EV85"/>
      <c r="EW85"/>
      <c r="EX85"/>
      <c r="EY85"/>
      <c r="EZ85"/>
      <c r="FA85"/>
      <c r="FB85"/>
      <c r="FC85"/>
      <c r="FD85"/>
      <c r="FE85"/>
      <c r="FF85"/>
      <c r="FG85"/>
      <c r="FH85"/>
      <c r="FI85"/>
      <c r="FJ85"/>
      <c r="FK85"/>
      <c r="FL85"/>
      <c r="FM85"/>
      <c r="FN85"/>
      <c r="FO85"/>
      <c r="FP85"/>
      <c r="FQ85"/>
      <c r="FR85"/>
      <c r="FS85"/>
      <c r="FT85"/>
      <c r="FU85"/>
      <c r="FV85"/>
      <c r="FW85"/>
      <c r="FX85"/>
      <c r="FY85"/>
      <c r="FZ85"/>
      <c r="GA85"/>
      <c r="GB85"/>
      <c r="GC85"/>
      <c r="GD85"/>
      <c r="GE85"/>
      <c r="GF85"/>
      <c r="GG85"/>
      <c r="GH85"/>
      <c r="GI85"/>
      <c r="GJ85"/>
      <c r="GK85"/>
      <c r="GL85"/>
      <c r="GM85"/>
      <c r="GN85"/>
      <c r="GO85"/>
      <c r="GP85"/>
      <c r="GQ85"/>
      <c r="GR85"/>
      <c r="GS85"/>
      <c r="GT85"/>
      <c r="GU85"/>
      <c r="GV85"/>
      <c r="GW85"/>
      <c r="GX85"/>
      <c r="GY85"/>
      <c r="GZ85"/>
      <c r="HA85"/>
      <c r="HB85"/>
      <c r="HC85"/>
      <c r="HD85"/>
      <c r="HE85"/>
      <c r="HF85"/>
      <c r="HG85"/>
      <c r="HH85"/>
      <c r="HI85"/>
      <c r="HJ85"/>
      <c r="HK85"/>
      <c r="HL85"/>
      <c r="HM85"/>
      <c r="HN85"/>
      <c r="HO85"/>
      <c r="HP85"/>
      <c r="HQ85"/>
      <c r="HR85"/>
      <c r="HS85"/>
      <c r="HT85"/>
      <c r="HU85"/>
      <c r="HV85"/>
      <c r="HW85"/>
      <c r="HX85"/>
      <c r="HY85"/>
      <c r="HZ85"/>
      <c r="IA85"/>
      <c r="IB85"/>
      <c r="IC85"/>
      <c r="ID85"/>
      <c r="IE85"/>
      <c r="IF85"/>
      <c r="IG85"/>
      <c r="IH85"/>
      <c r="II85"/>
      <c r="IJ85"/>
      <c r="IK85"/>
      <c r="IL85"/>
      <c r="IM85"/>
      <c r="IN85"/>
      <c r="IO85"/>
      <c r="IP85"/>
      <c r="IQ85"/>
      <c r="IR85"/>
      <c r="IS85"/>
      <c r="IT85"/>
      <c r="IU85"/>
      <c r="IV85"/>
    </row>
    <row r="86" spans="1:256" s="201" customFormat="1" ht="14.25" x14ac:dyDescent="0.2">
      <c r="A86" s="10">
        <v>3118</v>
      </c>
      <c r="B86" s="11" t="s">
        <v>421</v>
      </c>
      <c r="C86" s="105" t="s">
        <v>422</v>
      </c>
      <c r="D86" s="11" t="s">
        <v>106</v>
      </c>
      <c r="E86" s="12">
        <v>11940</v>
      </c>
      <c r="F86" s="202">
        <v>35</v>
      </c>
      <c r="G86" s="11">
        <v>60000</v>
      </c>
      <c r="H86" s="116">
        <v>60000</v>
      </c>
      <c r="I86" s="192"/>
      <c r="J86" s="204"/>
      <c r="K86" s="193"/>
      <c r="L86" s="193"/>
      <c r="M86" s="193"/>
      <c r="N86" s="203">
        <f t="shared" si="56"/>
        <v>120000</v>
      </c>
      <c r="O86" s="203">
        <f t="shared" si="57"/>
        <v>120000</v>
      </c>
      <c r="P86" s="203">
        <f t="shared" si="58"/>
        <v>120000</v>
      </c>
      <c r="Q86" s="214"/>
      <c r="R86" s="219"/>
      <c r="S86" s="217">
        <v>46203</v>
      </c>
      <c r="T86" s="205"/>
      <c r="U86" s="205"/>
      <c r="V86" s="215"/>
      <c r="W86" s="212"/>
      <c r="X86" s="10">
        <v>7</v>
      </c>
      <c r="Y86" s="10">
        <v>7</v>
      </c>
      <c r="Z86" s="213">
        <f t="shared" si="59"/>
        <v>120000</v>
      </c>
      <c r="AA86" s="62"/>
      <c r="AB86" s="62"/>
      <c r="AC86" s="62"/>
      <c r="AD86" s="62"/>
      <c r="AE86" s="62"/>
      <c r="AF86" s="63"/>
      <c r="AG86" s="64"/>
      <c r="AH86" s="6">
        <v>1</v>
      </c>
      <c r="AI86">
        <f t="shared" si="60"/>
        <v>25</v>
      </c>
      <c r="AJ86">
        <f t="shared" si="61"/>
        <v>25</v>
      </c>
      <c r="AK86">
        <f t="shared" si="62"/>
        <v>0</v>
      </c>
      <c r="AL86">
        <f t="shared" si="63"/>
        <v>0</v>
      </c>
      <c r="AM86">
        <f t="shared" si="64"/>
        <v>0</v>
      </c>
      <c r="AN86">
        <f t="shared" si="65"/>
        <v>0</v>
      </c>
      <c r="AO86">
        <f t="shared" si="66"/>
        <v>0</v>
      </c>
      <c r="AP86">
        <f t="shared" si="67"/>
        <v>0</v>
      </c>
      <c r="AQ86">
        <f t="shared" si="68"/>
        <v>0</v>
      </c>
      <c r="AR86">
        <f t="shared" si="69"/>
        <v>0</v>
      </c>
      <c r="AS86">
        <f t="shared" si="70"/>
        <v>0</v>
      </c>
      <c r="AT86">
        <f t="shared" si="71"/>
        <v>0</v>
      </c>
      <c r="AU86">
        <f t="shared" si="72"/>
        <v>1</v>
      </c>
      <c r="AV86">
        <f t="shared" si="73"/>
        <v>1</v>
      </c>
      <c r="AW86">
        <f t="shared" si="74"/>
        <v>1</v>
      </c>
      <c r="AX86">
        <f t="shared" si="75"/>
        <v>1</v>
      </c>
      <c r="AY86">
        <f t="shared" si="76"/>
        <v>120000</v>
      </c>
      <c r="AZ86">
        <f t="shared" si="77"/>
        <v>120000</v>
      </c>
      <c r="BA86">
        <f t="shared" si="78"/>
        <v>0</v>
      </c>
      <c r="BB86">
        <f t="shared" si="79"/>
        <v>0</v>
      </c>
      <c r="BC86">
        <f t="shared" si="80"/>
        <v>0</v>
      </c>
      <c r="BD86">
        <f t="shared" si="81"/>
        <v>0</v>
      </c>
      <c r="BE86">
        <f t="shared" si="82"/>
        <v>0</v>
      </c>
      <c r="BF86">
        <f t="shared" si="83"/>
        <v>0</v>
      </c>
      <c r="BG86"/>
      <c r="BH86"/>
      <c r="BI86"/>
      <c r="BJ86"/>
      <c r="BK86"/>
      <c r="BL86"/>
      <c r="BM86"/>
      <c r="BN86"/>
      <c r="BO86"/>
      <c r="BP86"/>
      <c r="BQ86"/>
      <c r="BR86"/>
      <c r="BS86"/>
      <c r="BT86"/>
      <c r="BU86"/>
      <c r="BV86"/>
      <c r="BW86"/>
      <c r="BX86"/>
      <c r="BY86"/>
      <c r="BZ86"/>
      <c r="CA86"/>
      <c r="CB86"/>
      <c r="CC86"/>
      <c r="CD86"/>
      <c r="CE86"/>
      <c r="CF86"/>
      <c r="CG86"/>
      <c r="CH86"/>
      <c r="CI86"/>
      <c r="CJ86"/>
      <c r="CK86"/>
      <c r="CL86"/>
      <c r="CM86"/>
      <c r="CN86"/>
      <c r="CO86"/>
      <c r="CP86"/>
      <c r="CQ86"/>
      <c r="CR86"/>
      <c r="CS86"/>
      <c r="CT86"/>
      <c r="CU86"/>
      <c r="CV86"/>
      <c r="CW86"/>
      <c r="CX86"/>
      <c r="CY86"/>
      <c r="CZ86"/>
      <c r="DA86"/>
      <c r="DB86"/>
      <c r="DC86"/>
      <c r="DD86"/>
      <c r="DE86"/>
      <c r="DF86"/>
      <c r="DG86"/>
      <c r="DH86"/>
      <c r="DI86"/>
      <c r="DJ86"/>
      <c r="DK86"/>
      <c r="DL86"/>
      <c r="DM86"/>
      <c r="DN86"/>
      <c r="DO86"/>
      <c r="DP86"/>
      <c r="DQ86"/>
      <c r="DR86"/>
      <c r="DS86"/>
      <c r="DT86"/>
      <c r="DU86"/>
      <c r="DV86"/>
      <c r="DW86"/>
      <c r="DX86"/>
      <c r="DY86"/>
      <c r="DZ86"/>
      <c r="EA86"/>
      <c r="EB86"/>
      <c r="EC86"/>
      <c r="ED86"/>
      <c r="EE86"/>
      <c r="EF86"/>
      <c r="EG86"/>
      <c r="EH86"/>
      <c r="EI86"/>
      <c r="EJ86"/>
      <c r="EK86"/>
      <c r="EL86"/>
      <c r="EM86"/>
      <c r="EN86"/>
      <c r="EO86"/>
      <c r="EP86"/>
      <c r="EQ86"/>
      <c r="ER86"/>
      <c r="ES86"/>
      <c r="ET86"/>
      <c r="EU86"/>
      <c r="EV86"/>
      <c r="EW86"/>
      <c r="EX86"/>
      <c r="EY86"/>
      <c r="EZ86"/>
      <c r="FA86"/>
      <c r="FB86"/>
      <c r="FC86"/>
      <c r="FD86"/>
      <c r="FE86"/>
      <c r="FF86"/>
      <c r="FG86"/>
      <c r="FH86"/>
      <c r="FI86"/>
      <c r="FJ86"/>
      <c r="FK86"/>
      <c r="FL86"/>
      <c r="FM86"/>
      <c r="FN86"/>
      <c r="FO86"/>
      <c r="FP86"/>
      <c r="FQ86"/>
      <c r="FR86"/>
      <c r="FS86"/>
      <c r="FT86"/>
      <c r="FU86"/>
      <c r="FV86"/>
      <c r="FW86"/>
      <c r="FX86"/>
      <c r="FY86"/>
      <c r="FZ86"/>
      <c r="GA86"/>
      <c r="GB86"/>
      <c r="GC86"/>
      <c r="GD86"/>
      <c r="GE86"/>
      <c r="GF86"/>
      <c r="GG86"/>
      <c r="GH86"/>
      <c r="GI86"/>
      <c r="GJ86"/>
      <c r="GK86"/>
      <c r="GL86"/>
      <c r="GM86"/>
      <c r="GN86"/>
      <c r="GO86"/>
      <c r="GP86"/>
      <c r="GQ86"/>
      <c r="GR86"/>
      <c r="GS86"/>
      <c r="GT86"/>
      <c r="GU86"/>
      <c r="GV86"/>
      <c r="GW86"/>
      <c r="GX86"/>
      <c r="GY86"/>
      <c r="GZ86"/>
      <c r="HA86"/>
      <c r="HB86"/>
      <c r="HC86"/>
      <c r="HD86"/>
      <c r="HE86"/>
      <c r="HF86"/>
      <c r="HG86"/>
      <c r="HH86"/>
      <c r="HI86"/>
      <c r="HJ86"/>
      <c r="HK86"/>
      <c r="HL86"/>
      <c r="HM86"/>
      <c r="HN86"/>
      <c r="HO86"/>
      <c r="HP86"/>
      <c r="HQ86"/>
      <c r="HR86"/>
      <c r="HS86"/>
      <c r="HT86"/>
      <c r="HU86"/>
      <c r="HV86"/>
      <c r="HW86"/>
      <c r="HX86"/>
      <c r="HY86"/>
      <c r="HZ86"/>
      <c r="IA86"/>
      <c r="IB86"/>
      <c r="IC86"/>
      <c r="ID86"/>
      <c r="IE86"/>
      <c r="IF86"/>
      <c r="IG86"/>
      <c r="IH86"/>
      <c r="II86"/>
      <c r="IJ86"/>
      <c r="IK86"/>
      <c r="IL86"/>
      <c r="IM86"/>
      <c r="IN86"/>
      <c r="IO86"/>
      <c r="IP86"/>
      <c r="IQ86"/>
      <c r="IR86"/>
      <c r="IS86"/>
      <c r="IT86"/>
      <c r="IU86"/>
      <c r="IV86"/>
    </row>
    <row r="87" spans="1:256" s="201" customFormat="1" ht="14.25" x14ac:dyDescent="0.2">
      <c r="A87" s="10">
        <v>3119</v>
      </c>
      <c r="B87" s="11" t="s">
        <v>423</v>
      </c>
      <c r="C87" s="105" t="s">
        <v>424</v>
      </c>
      <c r="D87" s="11" t="s">
        <v>105</v>
      </c>
      <c r="E87" s="12">
        <v>11941</v>
      </c>
      <c r="F87" s="202">
        <v>35</v>
      </c>
      <c r="G87" s="11">
        <v>60000</v>
      </c>
      <c r="H87" s="116">
        <v>0</v>
      </c>
      <c r="I87" s="192"/>
      <c r="J87" s="204"/>
      <c r="K87" s="193"/>
      <c r="L87" s="193"/>
      <c r="M87" s="193"/>
      <c r="N87" s="203">
        <f t="shared" si="56"/>
        <v>60000</v>
      </c>
      <c r="O87" s="203">
        <f t="shared" si="57"/>
        <v>60000</v>
      </c>
      <c r="P87" s="203">
        <f t="shared" si="58"/>
        <v>60000</v>
      </c>
      <c r="Q87" s="214"/>
      <c r="R87" s="219"/>
      <c r="S87" s="217">
        <v>46213</v>
      </c>
      <c r="T87" s="205"/>
      <c r="U87" s="205"/>
      <c r="V87" s="215"/>
      <c r="W87" s="212"/>
      <c r="X87" s="10">
        <v>7</v>
      </c>
      <c r="Y87" s="10">
        <v>7</v>
      </c>
      <c r="Z87" s="213">
        <f t="shared" si="59"/>
        <v>60000</v>
      </c>
      <c r="AA87" s="62"/>
      <c r="AB87" s="62"/>
      <c r="AC87" s="62"/>
      <c r="AD87" s="62"/>
      <c r="AE87" s="62"/>
      <c r="AF87" s="63"/>
      <c r="AG87" s="64"/>
      <c r="AH87" s="6">
        <v>1</v>
      </c>
      <c r="AI87">
        <f t="shared" si="60"/>
        <v>25</v>
      </c>
      <c r="AJ87">
        <f t="shared" si="61"/>
        <v>25</v>
      </c>
      <c r="AK87">
        <f t="shared" si="62"/>
        <v>0</v>
      </c>
      <c r="AL87">
        <f t="shared" si="63"/>
        <v>0</v>
      </c>
      <c r="AM87">
        <f t="shared" si="64"/>
        <v>0</v>
      </c>
      <c r="AN87">
        <f t="shared" si="65"/>
        <v>0</v>
      </c>
      <c r="AO87">
        <f t="shared" si="66"/>
        <v>0</v>
      </c>
      <c r="AP87">
        <f t="shared" si="67"/>
        <v>0</v>
      </c>
      <c r="AQ87">
        <f t="shared" si="68"/>
        <v>0</v>
      </c>
      <c r="AR87">
        <f t="shared" si="69"/>
        <v>0</v>
      </c>
      <c r="AS87">
        <f t="shared" si="70"/>
        <v>0</v>
      </c>
      <c r="AT87">
        <f t="shared" si="71"/>
        <v>0</v>
      </c>
      <c r="AU87">
        <f t="shared" si="72"/>
        <v>1</v>
      </c>
      <c r="AV87">
        <f t="shared" si="73"/>
        <v>1</v>
      </c>
      <c r="AW87">
        <f t="shared" si="74"/>
        <v>1</v>
      </c>
      <c r="AX87">
        <f t="shared" si="75"/>
        <v>1</v>
      </c>
      <c r="AY87">
        <f t="shared" si="76"/>
        <v>60000</v>
      </c>
      <c r="AZ87">
        <f t="shared" si="77"/>
        <v>60000</v>
      </c>
      <c r="BA87">
        <f t="shared" si="78"/>
        <v>0</v>
      </c>
      <c r="BB87">
        <f t="shared" si="79"/>
        <v>0</v>
      </c>
      <c r="BC87">
        <f t="shared" si="80"/>
        <v>0</v>
      </c>
      <c r="BD87">
        <f t="shared" si="81"/>
        <v>0</v>
      </c>
      <c r="BE87">
        <f t="shared" si="82"/>
        <v>0</v>
      </c>
      <c r="BF87">
        <f t="shared" si="83"/>
        <v>0</v>
      </c>
      <c r="BG87"/>
      <c r="BH87"/>
      <c r="BI87"/>
      <c r="BJ87"/>
      <c r="BK87"/>
      <c r="BL87"/>
      <c r="BM87"/>
      <c r="BN87"/>
      <c r="BO87"/>
      <c r="BP87"/>
      <c r="BQ87"/>
      <c r="BR87"/>
      <c r="BS87"/>
      <c r="BT87"/>
      <c r="BU87"/>
      <c r="BV87"/>
      <c r="BW87"/>
      <c r="BX87"/>
      <c r="BY87"/>
      <c r="BZ87"/>
      <c r="CA87"/>
      <c r="CB87"/>
      <c r="CC87"/>
      <c r="CD87"/>
      <c r="CE87"/>
      <c r="CF87"/>
      <c r="CG87"/>
      <c r="CH87"/>
      <c r="CI87"/>
      <c r="CJ87"/>
      <c r="CK87"/>
      <c r="CL87"/>
      <c r="CM87"/>
      <c r="CN87"/>
      <c r="CO87"/>
      <c r="CP87"/>
      <c r="CQ87"/>
      <c r="CR87"/>
      <c r="CS87"/>
      <c r="CT87"/>
      <c r="CU87"/>
      <c r="CV87"/>
      <c r="CW87"/>
      <c r="CX87"/>
      <c r="CY87"/>
      <c r="CZ87"/>
      <c r="DA87"/>
      <c r="DB87"/>
      <c r="DC87"/>
      <c r="DD87"/>
      <c r="DE87"/>
      <c r="DF87"/>
      <c r="DG87"/>
      <c r="DH87"/>
      <c r="DI87"/>
      <c r="DJ87"/>
      <c r="DK87"/>
      <c r="DL87"/>
      <c r="DM87"/>
      <c r="DN87"/>
      <c r="DO87"/>
      <c r="DP87"/>
      <c r="DQ87"/>
      <c r="DR87"/>
      <c r="DS87"/>
      <c r="DT87"/>
      <c r="DU87"/>
      <c r="DV87"/>
      <c r="DW87"/>
      <c r="DX87"/>
      <c r="DY87"/>
      <c r="DZ87"/>
      <c r="EA87"/>
      <c r="EB87"/>
      <c r="EC87"/>
      <c r="ED87"/>
      <c r="EE87"/>
      <c r="EF87"/>
      <c r="EG87"/>
      <c r="EH87"/>
      <c r="EI87"/>
      <c r="EJ87"/>
      <c r="EK87"/>
      <c r="EL87"/>
      <c r="EM87"/>
      <c r="EN87"/>
      <c r="EO87"/>
      <c r="EP87"/>
      <c r="EQ87"/>
      <c r="ER87"/>
      <c r="ES87"/>
      <c r="ET87"/>
      <c r="EU87"/>
      <c r="EV87"/>
      <c r="EW87"/>
      <c r="EX87"/>
      <c r="EY87"/>
      <c r="EZ87"/>
      <c r="FA87"/>
      <c r="FB87"/>
      <c r="FC87"/>
      <c r="FD87"/>
      <c r="FE87"/>
      <c r="FF87"/>
      <c r="FG87"/>
      <c r="FH87"/>
      <c r="FI87"/>
      <c r="FJ87"/>
      <c r="FK87"/>
      <c r="FL87"/>
      <c r="FM87"/>
      <c r="FN87"/>
      <c r="FO87"/>
      <c r="FP87"/>
      <c r="FQ87"/>
      <c r="FR87"/>
      <c r="FS87"/>
      <c r="FT87"/>
      <c r="FU87"/>
      <c r="FV87"/>
      <c r="FW87"/>
      <c r="FX87"/>
      <c r="FY87"/>
      <c r="FZ87"/>
      <c r="GA87"/>
      <c r="GB87"/>
      <c r="GC87"/>
      <c r="GD87"/>
      <c r="GE87"/>
      <c r="GF87"/>
      <c r="GG87"/>
      <c r="GH87"/>
      <c r="GI87"/>
      <c r="GJ87"/>
      <c r="GK87"/>
      <c r="GL87"/>
      <c r="GM87"/>
      <c r="GN87"/>
      <c r="GO87"/>
      <c r="GP87"/>
      <c r="GQ87"/>
      <c r="GR87"/>
      <c r="GS87"/>
      <c r="GT87"/>
      <c r="GU87"/>
      <c r="GV87"/>
      <c r="GW87"/>
      <c r="GX87"/>
      <c r="GY87"/>
      <c r="GZ87"/>
      <c r="HA87"/>
      <c r="HB87"/>
      <c r="HC87"/>
      <c r="HD87"/>
      <c r="HE87"/>
      <c r="HF87"/>
      <c r="HG87"/>
      <c r="HH87"/>
      <c r="HI87"/>
      <c r="HJ87"/>
      <c r="HK87"/>
      <c r="HL87"/>
      <c r="HM87"/>
      <c r="HN87"/>
      <c r="HO87"/>
      <c r="HP87"/>
      <c r="HQ87"/>
      <c r="HR87"/>
      <c r="HS87"/>
      <c r="HT87"/>
      <c r="HU87"/>
      <c r="HV87"/>
      <c r="HW87"/>
      <c r="HX87"/>
      <c r="HY87"/>
      <c r="HZ87"/>
      <c r="IA87"/>
      <c r="IB87"/>
      <c r="IC87"/>
      <c r="ID87"/>
      <c r="IE87"/>
      <c r="IF87"/>
      <c r="IG87"/>
      <c r="IH87"/>
      <c r="II87"/>
      <c r="IJ87"/>
      <c r="IK87"/>
      <c r="IL87"/>
      <c r="IM87"/>
      <c r="IN87"/>
      <c r="IO87"/>
      <c r="IP87"/>
      <c r="IQ87"/>
      <c r="IR87"/>
      <c r="IS87"/>
      <c r="IT87"/>
      <c r="IU87"/>
      <c r="IV87"/>
    </row>
    <row r="88" spans="1:256" s="201" customFormat="1" ht="14.25" x14ac:dyDescent="0.2">
      <c r="A88" s="10">
        <v>3128</v>
      </c>
      <c r="B88" s="11" t="s">
        <v>425</v>
      </c>
      <c r="C88" s="105" t="s">
        <v>426</v>
      </c>
      <c r="D88" s="11" t="s">
        <v>105</v>
      </c>
      <c r="E88" s="12">
        <v>11977</v>
      </c>
      <c r="F88" s="202">
        <v>35</v>
      </c>
      <c r="G88" s="11">
        <v>60000</v>
      </c>
      <c r="H88" s="116">
        <v>0</v>
      </c>
      <c r="I88" s="192"/>
      <c r="J88" s="204"/>
      <c r="K88" s="193"/>
      <c r="L88" s="193"/>
      <c r="M88" s="193"/>
      <c r="N88" s="203">
        <f t="shared" si="56"/>
        <v>60000</v>
      </c>
      <c r="O88" s="203">
        <f t="shared" si="57"/>
        <v>60000</v>
      </c>
      <c r="P88" s="203">
        <f t="shared" si="58"/>
        <v>60000</v>
      </c>
      <c r="Q88" s="214"/>
      <c r="R88" s="219"/>
      <c r="S88" s="217">
        <v>46206</v>
      </c>
      <c r="T88" s="205"/>
      <c r="U88" s="205"/>
      <c r="V88" s="215"/>
      <c r="W88" s="212"/>
      <c r="X88" s="10">
        <v>7</v>
      </c>
      <c r="Y88" s="10">
        <v>7</v>
      </c>
      <c r="Z88" s="213">
        <f t="shared" si="59"/>
        <v>60000</v>
      </c>
      <c r="AA88" s="62"/>
      <c r="AB88" s="62"/>
      <c r="AC88" s="62"/>
      <c r="AD88" s="62"/>
      <c r="AE88" s="62"/>
      <c r="AF88" s="63"/>
      <c r="AG88" s="64"/>
      <c r="AH88" s="6">
        <v>1</v>
      </c>
      <c r="AI88">
        <f t="shared" si="60"/>
        <v>25</v>
      </c>
      <c r="AJ88">
        <f t="shared" si="61"/>
        <v>25</v>
      </c>
      <c r="AK88">
        <f t="shared" si="62"/>
        <v>0</v>
      </c>
      <c r="AL88">
        <f t="shared" si="63"/>
        <v>0</v>
      </c>
      <c r="AM88">
        <f t="shared" si="64"/>
        <v>0</v>
      </c>
      <c r="AN88">
        <f t="shared" si="65"/>
        <v>0</v>
      </c>
      <c r="AO88">
        <f t="shared" si="66"/>
        <v>0</v>
      </c>
      <c r="AP88">
        <f t="shared" si="67"/>
        <v>0</v>
      </c>
      <c r="AQ88">
        <f t="shared" si="68"/>
        <v>0</v>
      </c>
      <c r="AR88">
        <f t="shared" si="69"/>
        <v>0</v>
      </c>
      <c r="AS88">
        <f t="shared" si="70"/>
        <v>0</v>
      </c>
      <c r="AT88">
        <f t="shared" si="71"/>
        <v>0</v>
      </c>
      <c r="AU88">
        <f t="shared" si="72"/>
        <v>1</v>
      </c>
      <c r="AV88">
        <f t="shared" si="73"/>
        <v>1</v>
      </c>
      <c r="AW88">
        <f t="shared" si="74"/>
        <v>1</v>
      </c>
      <c r="AX88">
        <f t="shared" si="75"/>
        <v>1</v>
      </c>
      <c r="AY88">
        <f t="shared" si="76"/>
        <v>60000</v>
      </c>
      <c r="AZ88">
        <f t="shared" si="77"/>
        <v>60000</v>
      </c>
      <c r="BA88">
        <f t="shared" si="78"/>
        <v>0</v>
      </c>
      <c r="BB88">
        <f t="shared" si="79"/>
        <v>0</v>
      </c>
      <c r="BC88">
        <f t="shared" si="80"/>
        <v>0</v>
      </c>
      <c r="BD88">
        <f t="shared" si="81"/>
        <v>0</v>
      </c>
      <c r="BE88">
        <f t="shared" si="82"/>
        <v>0</v>
      </c>
      <c r="BF88">
        <f t="shared" si="83"/>
        <v>0</v>
      </c>
      <c r="BG88"/>
      <c r="BH88"/>
      <c r="BI88"/>
      <c r="BJ88"/>
      <c r="BK88"/>
      <c r="BL88"/>
      <c r="BM88"/>
      <c r="BN88"/>
      <c r="BO88"/>
      <c r="BP88"/>
      <c r="BQ88"/>
      <c r="BR88"/>
      <c r="BS88"/>
      <c r="BT88"/>
      <c r="BU88"/>
      <c r="BV88"/>
      <c r="BW88"/>
      <c r="BX88"/>
      <c r="BY88"/>
      <c r="BZ88"/>
      <c r="CA88"/>
      <c r="CB88"/>
      <c r="CC88"/>
      <c r="CD88"/>
      <c r="CE88"/>
      <c r="CF88"/>
      <c r="CG88"/>
      <c r="CH88"/>
      <c r="CI88"/>
      <c r="CJ88"/>
      <c r="CK88"/>
      <c r="CL88"/>
      <c r="CM88"/>
      <c r="CN88"/>
      <c r="CO88"/>
      <c r="CP88"/>
      <c r="CQ88"/>
      <c r="CR88"/>
      <c r="CS88"/>
      <c r="CT88"/>
      <c r="CU88"/>
      <c r="CV88"/>
      <c r="CW88"/>
      <c r="CX88"/>
      <c r="CY88"/>
      <c r="CZ88"/>
      <c r="DA88"/>
      <c r="DB88"/>
      <c r="DC88"/>
      <c r="DD88"/>
      <c r="DE88"/>
      <c r="DF88"/>
      <c r="DG88"/>
      <c r="DH88"/>
      <c r="DI88"/>
      <c r="DJ88"/>
      <c r="DK88"/>
      <c r="DL88"/>
      <c r="DM88"/>
      <c r="DN88"/>
      <c r="DO88"/>
      <c r="DP88"/>
      <c r="DQ88"/>
      <c r="DR88"/>
      <c r="DS88"/>
      <c r="DT88"/>
      <c r="DU88"/>
      <c r="DV88"/>
      <c r="DW88"/>
      <c r="DX88"/>
      <c r="DY88"/>
      <c r="DZ88"/>
      <c r="EA88"/>
      <c r="EB88"/>
      <c r="EC88"/>
      <c r="ED88"/>
      <c r="EE88"/>
      <c r="EF88"/>
      <c r="EG88"/>
      <c r="EH88"/>
      <c r="EI88"/>
      <c r="EJ88"/>
      <c r="EK88"/>
      <c r="EL88"/>
      <c r="EM88"/>
      <c r="EN88"/>
      <c r="EO88"/>
      <c r="EP88"/>
      <c r="EQ88"/>
      <c r="ER88"/>
      <c r="ES88"/>
      <c r="ET88"/>
      <c r="EU88"/>
      <c r="EV88"/>
      <c r="EW88"/>
      <c r="EX88"/>
      <c r="EY88"/>
      <c r="EZ88"/>
      <c r="FA88"/>
      <c r="FB88"/>
      <c r="FC88"/>
      <c r="FD88"/>
      <c r="FE88"/>
      <c r="FF88"/>
      <c r="FG88"/>
      <c r="FH88"/>
      <c r="FI88"/>
      <c r="FJ88"/>
      <c r="FK88"/>
      <c r="FL88"/>
      <c r="FM88"/>
      <c r="FN88"/>
      <c r="FO88"/>
      <c r="FP88"/>
      <c r="FQ88"/>
      <c r="FR88"/>
      <c r="FS88"/>
      <c r="FT88"/>
      <c r="FU88"/>
      <c r="FV88"/>
      <c r="FW88"/>
      <c r="FX88"/>
      <c r="FY88"/>
      <c r="FZ88"/>
      <c r="GA88"/>
      <c r="GB88"/>
      <c r="GC88"/>
      <c r="GD88"/>
      <c r="GE88"/>
      <c r="GF88"/>
      <c r="GG88"/>
      <c r="GH88"/>
      <c r="GI88"/>
      <c r="GJ88"/>
      <c r="GK88"/>
      <c r="GL88"/>
      <c r="GM88"/>
      <c r="GN88"/>
      <c r="GO88"/>
      <c r="GP88"/>
      <c r="GQ88"/>
      <c r="GR88"/>
      <c r="GS88"/>
      <c r="GT88"/>
      <c r="GU88"/>
      <c r="GV88"/>
      <c r="GW88"/>
      <c r="GX88"/>
      <c r="GY88"/>
      <c r="GZ88"/>
      <c r="HA88"/>
      <c r="HB88"/>
      <c r="HC88"/>
      <c r="HD88"/>
      <c r="HE88"/>
      <c r="HF88"/>
      <c r="HG88"/>
      <c r="HH88"/>
      <c r="HI88"/>
      <c r="HJ88"/>
      <c r="HK88"/>
      <c r="HL88"/>
      <c r="HM88"/>
      <c r="HN88"/>
      <c r="HO88"/>
      <c r="HP88"/>
      <c r="HQ88"/>
      <c r="HR88"/>
      <c r="HS88"/>
      <c r="HT88"/>
      <c r="HU88"/>
      <c r="HV88"/>
      <c r="HW88"/>
      <c r="HX88"/>
      <c r="HY88"/>
      <c r="HZ88"/>
      <c r="IA88"/>
      <c r="IB88"/>
      <c r="IC88"/>
      <c r="ID88"/>
      <c r="IE88"/>
      <c r="IF88"/>
      <c r="IG88"/>
      <c r="IH88"/>
      <c r="II88"/>
      <c r="IJ88"/>
      <c r="IK88"/>
      <c r="IL88"/>
      <c r="IM88"/>
      <c r="IN88"/>
      <c r="IO88"/>
      <c r="IP88"/>
      <c r="IQ88"/>
      <c r="IR88"/>
      <c r="IS88"/>
      <c r="IT88"/>
      <c r="IU88"/>
      <c r="IV88"/>
    </row>
    <row r="89" spans="1:256" s="201" customFormat="1" ht="14.25" x14ac:dyDescent="0.2">
      <c r="A89" s="10">
        <v>3129</v>
      </c>
      <c r="B89" s="11" t="s">
        <v>427</v>
      </c>
      <c r="C89" s="105" t="s">
        <v>428</v>
      </c>
      <c r="D89" s="11" t="s">
        <v>106</v>
      </c>
      <c r="E89" s="12">
        <v>11980</v>
      </c>
      <c r="F89" s="202">
        <v>35</v>
      </c>
      <c r="G89" s="11">
        <v>60000</v>
      </c>
      <c r="H89" s="116">
        <v>0</v>
      </c>
      <c r="I89" s="192"/>
      <c r="J89" s="204"/>
      <c r="K89" s="193"/>
      <c r="L89" s="193"/>
      <c r="M89" s="193"/>
      <c r="N89" s="203">
        <f t="shared" si="56"/>
        <v>60000</v>
      </c>
      <c r="O89" s="203">
        <f t="shared" si="57"/>
        <v>60000</v>
      </c>
      <c r="P89" s="203">
        <f t="shared" si="58"/>
        <v>60000</v>
      </c>
      <c r="Q89" s="214"/>
      <c r="R89" s="219"/>
      <c r="S89" s="217">
        <v>46216</v>
      </c>
      <c r="T89" s="205"/>
      <c r="U89" s="205"/>
      <c r="V89" s="215"/>
      <c r="W89" s="212"/>
      <c r="X89" s="10">
        <v>7</v>
      </c>
      <c r="Y89" s="10">
        <v>7</v>
      </c>
      <c r="Z89" s="213">
        <f t="shared" si="59"/>
        <v>60000</v>
      </c>
      <c r="AA89" s="62"/>
      <c r="AB89" s="62"/>
      <c r="AC89" s="62"/>
      <c r="AD89" s="62"/>
      <c r="AE89" s="62"/>
      <c r="AF89" s="63"/>
      <c r="AG89" s="64"/>
      <c r="AH89" s="6">
        <v>1</v>
      </c>
      <c r="AI89">
        <f t="shared" si="60"/>
        <v>25</v>
      </c>
      <c r="AJ89">
        <f t="shared" si="61"/>
        <v>25</v>
      </c>
      <c r="AK89">
        <f t="shared" si="62"/>
        <v>0</v>
      </c>
      <c r="AL89">
        <f t="shared" si="63"/>
        <v>0</v>
      </c>
      <c r="AM89">
        <f t="shared" si="64"/>
        <v>0</v>
      </c>
      <c r="AN89">
        <f t="shared" si="65"/>
        <v>0</v>
      </c>
      <c r="AO89">
        <f t="shared" si="66"/>
        <v>0</v>
      </c>
      <c r="AP89">
        <f t="shared" si="67"/>
        <v>0</v>
      </c>
      <c r="AQ89">
        <f t="shared" si="68"/>
        <v>0</v>
      </c>
      <c r="AR89">
        <f t="shared" si="69"/>
        <v>0</v>
      </c>
      <c r="AS89">
        <f t="shared" si="70"/>
        <v>0</v>
      </c>
      <c r="AT89">
        <f t="shared" si="71"/>
        <v>0</v>
      </c>
      <c r="AU89">
        <f t="shared" si="72"/>
        <v>1</v>
      </c>
      <c r="AV89">
        <f t="shared" si="73"/>
        <v>1</v>
      </c>
      <c r="AW89">
        <f t="shared" si="74"/>
        <v>1</v>
      </c>
      <c r="AX89">
        <f t="shared" si="75"/>
        <v>1</v>
      </c>
      <c r="AY89">
        <f t="shared" si="76"/>
        <v>60000</v>
      </c>
      <c r="AZ89">
        <f t="shared" si="77"/>
        <v>60000</v>
      </c>
      <c r="BA89">
        <f t="shared" si="78"/>
        <v>0</v>
      </c>
      <c r="BB89">
        <f t="shared" si="79"/>
        <v>0</v>
      </c>
      <c r="BC89">
        <f t="shared" si="80"/>
        <v>0</v>
      </c>
      <c r="BD89">
        <f t="shared" si="81"/>
        <v>0</v>
      </c>
      <c r="BE89">
        <f t="shared" si="82"/>
        <v>0</v>
      </c>
      <c r="BF89">
        <f t="shared" si="83"/>
        <v>0</v>
      </c>
      <c r="BG89"/>
      <c r="BH89"/>
      <c r="BI89"/>
      <c r="BJ89"/>
      <c r="BK89"/>
      <c r="BL89"/>
      <c r="BM89"/>
      <c r="BN89"/>
      <c r="BO89"/>
      <c r="BP89"/>
      <c r="BQ89"/>
      <c r="BR89"/>
      <c r="BS89"/>
      <c r="BT89"/>
      <c r="BU89"/>
      <c r="BV89"/>
      <c r="BW89"/>
      <c r="BX89"/>
      <c r="BY89"/>
      <c r="BZ89"/>
      <c r="CA89"/>
      <c r="CB89"/>
      <c r="CC89"/>
      <c r="CD89"/>
      <c r="CE89"/>
      <c r="CF89"/>
      <c r="CG89"/>
      <c r="CH89"/>
      <c r="CI89"/>
      <c r="CJ89"/>
      <c r="CK89"/>
      <c r="CL89"/>
      <c r="CM89"/>
      <c r="CN89"/>
      <c r="CO89"/>
      <c r="CP89"/>
      <c r="CQ89"/>
      <c r="CR89"/>
      <c r="CS89"/>
      <c r="CT89"/>
      <c r="CU89"/>
      <c r="CV89"/>
      <c r="CW89"/>
      <c r="CX89"/>
      <c r="CY89"/>
      <c r="CZ89"/>
      <c r="DA89"/>
      <c r="DB89"/>
      <c r="DC89"/>
      <c r="DD89"/>
      <c r="DE89"/>
      <c r="DF89"/>
      <c r="DG89"/>
      <c r="DH89"/>
      <c r="DI89"/>
      <c r="DJ89"/>
      <c r="DK89"/>
      <c r="DL89"/>
      <c r="DM89"/>
      <c r="DN89"/>
      <c r="DO89"/>
      <c r="DP89"/>
      <c r="DQ89"/>
      <c r="DR89"/>
      <c r="DS89"/>
      <c r="DT89"/>
      <c r="DU89"/>
      <c r="DV89"/>
      <c r="DW89"/>
      <c r="DX89"/>
      <c r="DY89"/>
      <c r="DZ89"/>
      <c r="EA89"/>
      <c r="EB89"/>
      <c r="EC89"/>
      <c r="ED89"/>
      <c r="EE89"/>
      <c r="EF89"/>
      <c r="EG89"/>
      <c r="EH89"/>
      <c r="EI89"/>
      <c r="EJ89"/>
      <c r="EK89"/>
      <c r="EL89"/>
      <c r="EM89"/>
      <c r="EN89"/>
      <c r="EO89"/>
      <c r="EP89"/>
      <c r="EQ89"/>
      <c r="ER89"/>
      <c r="ES89"/>
      <c r="ET89"/>
      <c r="EU89"/>
      <c r="EV89"/>
      <c r="EW89"/>
      <c r="EX89"/>
      <c r="EY89"/>
      <c r="EZ89"/>
      <c r="FA89"/>
      <c r="FB89"/>
      <c r="FC89"/>
      <c r="FD89"/>
      <c r="FE89"/>
      <c r="FF89"/>
      <c r="FG89"/>
      <c r="FH89"/>
      <c r="FI89"/>
      <c r="FJ89"/>
      <c r="FK89"/>
      <c r="FL89"/>
      <c r="FM89"/>
      <c r="FN89"/>
      <c r="FO89"/>
      <c r="FP89"/>
      <c r="FQ89"/>
      <c r="FR89"/>
      <c r="FS89"/>
      <c r="FT89"/>
      <c r="FU89"/>
      <c r="FV89"/>
      <c r="FW89"/>
      <c r="FX89"/>
      <c r="FY89"/>
      <c r="FZ89"/>
      <c r="GA89"/>
      <c r="GB89"/>
      <c r="GC89"/>
      <c r="GD89"/>
      <c r="GE89"/>
      <c r="GF89"/>
      <c r="GG89"/>
      <c r="GH89"/>
      <c r="GI89"/>
      <c r="GJ89"/>
      <c r="GK89"/>
      <c r="GL89"/>
      <c r="GM89"/>
      <c r="GN89"/>
      <c r="GO89"/>
      <c r="GP89"/>
      <c r="GQ89"/>
      <c r="GR89"/>
      <c r="GS89"/>
      <c r="GT89"/>
      <c r="GU89"/>
      <c r="GV89"/>
      <c r="GW89"/>
      <c r="GX89"/>
      <c r="GY89"/>
      <c r="GZ89"/>
      <c r="HA89"/>
      <c r="HB89"/>
      <c r="HC89"/>
      <c r="HD89"/>
      <c r="HE89"/>
      <c r="HF89"/>
      <c r="HG89"/>
      <c r="HH89"/>
      <c r="HI89"/>
      <c r="HJ89"/>
      <c r="HK89"/>
      <c r="HL89"/>
      <c r="HM89"/>
      <c r="HN89"/>
      <c r="HO89"/>
      <c r="HP89"/>
      <c r="HQ89"/>
      <c r="HR89"/>
      <c r="HS89"/>
      <c r="HT89"/>
      <c r="HU89"/>
      <c r="HV89"/>
      <c r="HW89"/>
      <c r="HX89"/>
      <c r="HY89"/>
      <c r="HZ89"/>
      <c r="IA89"/>
      <c r="IB89"/>
      <c r="IC89"/>
      <c r="ID89"/>
      <c r="IE89"/>
      <c r="IF89"/>
      <c r="IG89"/>
      <c r="IH89"/>
      <c r="II89"/>
      <c r="IJ89"/>
      <c r="IK89"/>
      <c r="IL89"/>
      <c r="IM89"/>
      <c r="IN89"/>
      <c r="IO89"/>
      <c r="IP89"/>
      <c r="IQ89"/>
      <c r="IR89"/>
      <c r="IS89"/>
      <c r="IT89"/>
      <c r="IU89"/>
      <c r="IV89"/>
    </row>
    <row r="90" spans="1:256" s="201" customFormat="1" ht="14.25" x14ac:dyDescent="0.2">
      <c r="A90" s="10">
        <v>3130</v>
      </c>
      <c r="B90" s="11" t="s">
        <v>429</v>
      </c>
      <c r="C90" s="105" t="s">
        <v>430</v>
      </c>
      <c r="D90" s="11" t="s">
        <v>170</v>
      </c>
      <c r="E90" s="12">
        <v>11623</v>
      </c>
      <c r="F90" s="202">
        <v>35</v>
      </c>
      <c r="G90" s="11">
        <v>60000</v>
      </c>
      <c r="H90" s="116">
        <v>0</v>
      </c>
      <c r="I90" s="192"/>
      <c r="J90" s="204"/>
      <c r="K90" s="193"/>
      <c r="L90" s="193"/>
      <c r="M90" s="193"/>
      <c r="N90" s="203">
        <f t="shared" si="56"/>
        <v>60000</v>
      </c>
      <c r="O90" s="203">
        <f t="shared" si="57"/>
        <v>60000</v>
      </c>
      <c r="P90" s="203">
        <f t="shared" si="58"/>
        <v>60000</v>
      </c>
      <c r="Q90" s="214"/>
      <c r="R90" s="219"/>
      <c r="S90" s="217">
        <v>46213</v>
      </c>
      <c r="T90" s="205"/>
      <c r="U90" s="205"/>
      <c r="V90" s="215"/>
      <c r="W90" s="212"/>
      <c r="X90" s="10">
        <v>7</v>
      </c>
      <c r="Y90" s="10">
        <v>7</v>
      </c>
      <c r="Z90" s="213">
        <f t="shared" si="59"/>
        <v>60000</v>
      </c>
      <c r="AA90" s="62"/>
      <c r="AB90" s="62"/>
      <c r="AC90" s="62"/>
      <c r="AD90" s="62"/>
      <c r="AE90" s="62"/>
      <c r="AF90" s="63"/>
      <c r="AG90" s="64"/>
      <c r="AH90" s="6">
        <v>1</v>
      </c>
      <c r="AI90">
        <f t="shared" si="60"/>
        <v>25</v>
      </c>
      <c r="AJ90">
        <f t="shared" si="61"/>
        <v>25</v>
      </c>
      <c r="AK90">
        <f t="shared" si="62"/>
        <v>0</v>
      </c>
      <c r="AL90">
        <f t="shared" si="63"/>
        <v>0</v>
      </c>
      <c r="AM90">
        <f t="shared" si="64"/>
        <v>0</v>
      </c>
      <c r="AN90">
        <f t="shared" si="65"/>
        <v>0</v>
      </c>
      <c r="AO90">
        <f t="shared" si="66"/>
        <v>0</v>
      </c>
      <c r="AP90">
        <f t="shared" si="67"/>
        <v>0</v>
      </c>
      <c r="AQ90">
        <f t="shared" si="68"/>
        <v>0</v>
      </c>
      <c r="AR90">
        <f t="shared" si="69"/>
        <v>0</v>
      </c>
      <c r="AS90">
        <f t="shared" si="70"/>
        <v>0</v>
      </c>
      <c r="AT90">
        <f t="shared" si="71"/>
        <v>0</v>
      </c>
      <c r="AU90">
        <f t="shared" si="72"/>
        <v>1</v>
      </c>
      <c r="AV90">
        <f t="shared" si="73"/>
        <v>1</v>
      </c>
      <c r="AW90">
        <f t="shared" si="74"/>
        <v>1</v>
      </c>
      <c r="AX90">
        <f t="shared" si="75"/>
        <v>1</v>
      </c>
      <c r="AY90">
        <f t="shared" si="76"/>
        <v>60000</v>
      </c>
      <c r="AZ90">
        <f t="shared" si="77"/>
        <v>60000</v>
      </c>
      <c r="BA90">
        <f t="shared" si="78"/>
        <v>0</v>
      </c>
      <c r="BB90">
        <f t="shared" si="79"/>
        <v>0</v>
      </c>
      <c r="BC90">
        <f t="shared" si="80"/>
        <v>0</v>
      </c>
      <c r="BD90">
        <f t="shared" si="81"/>
        <v>0</v>
      </c>
      <c r="BE90">
        <f t="shared" si="82"/>
        <v>0</v>
      </c>
      <c r="BF90">
        <f t="shared" si="83"/>
        <v>0</v>
      </c>
      <c r="BG90"/>
      <c r="BH90"/>
      <c r="BI90"/>
      <c r="BJ90"/>
      <c r="BK90"/>
      <c r="BL90"/>
      <c r="BM90"/>
      <c r="BN90"/>
      <c r="BO90"/>
      <c r="BP90"/>
      <c r="BQ90"/>
      <c r="BR90"/>
      <c r="BS90"/>
      <c r="BT90"/>
      <c r="BU90"/>
      <c r="BV90"/>
      <c r="BW90"/>
      <c r="BX90"/>
      <c r="BY90"/>
      <c r="BZ90"/>
      <c r="CA90"/>
      <c r="CB90"/>
      <c r="CC90"/>
      <c r="CD90"/>
      <c r="CE90"/>
      <c r="CF90"/>
      <c r="CG90"/>
      <c r="CH90"/>
      <c r="CI90"/>
      <c r="CJ90"/>
      <c r="CK90"/>
      <c r="CL90"/>
      <c r="CM90"/>
      <c r="CN90"/>
      <c r="CO90"/>
      <c r="CP90"/>
      <c r="CQ90"/>
      <c r="CR90"/>
      <c r="CS90"/>
      <c r="CT90"/>
      <c r="CU90"/>
      <c r="CV90"/>
      <c r="CW90"/>
      <c r="CX90"/>
      <c r="CY90"/>
      <c r="CZ90"/>
      <c r="DA90"/>
      <c r="DB90"/>
      <c r="DC90"/>
      <c r="DD90"/>
      <c r="DE90"/>
      <c r="DF90"/>
      <c r="DG90"/>
      <c r="DH90"/>
      <c r="DI90"/>
      <c r="DJ90"/>
      <c r="DK90"/>
      <c r="DL90"/>
      <c r="DM90"/>
      <c r="DN90"/>
      <c r="DO90"/>
      <c r="DP90"/>
      <c r="DQ90"/>
      <c r="DR90"/>
      <c r="DS90"/>
      <c r="DT90"/>
      <c r="DU90"/>
      <c r="DV90"/>
      <c r="DW90"/>
      <c r="DX90"/>
      <c r="DY90"/>
      <c r="DZ90"/>
      <c r="EA90"/>
      <c r="EB90"/>
      <c r="EC90"/>
      <c r="ED90"/>
      <c r="EE90"/>
      <c r="EF90"/>
      <c r="EG90"/>
      <c r="EH90"/>
      <c r="EI90"/>
      <c r="EJ90"/>
      <c r="EK90"/>
      <c r="EL90"/>
      <c r="EM90"/>
      <c r="EN90"/>
      <c r="EO90"/>
      <c r="EP90"/>
      <c r="EQ90"/>
      <c r="ER90"/>
      <c r="ES90"/>
      <c r="ET90"/>
      <c r="EU90"/>
      <c r="EV90"/>
      <c r="EW90"/>
      <c r="EX90"/>
      <c r="EY90"/>
      <c r="EZ90"/>
      <c r="FA90"/>
      <c r="FB90"/>
      <c r="FC90"/>
      <c r="FD90"/>
      <c r="FE90"/>
      <c r="FF90"/>
      <c r="FG90"/>
      <c r="FH90"/>
      <c r="FI90"/>
      <c r="FJ90"/>
      <c r="FK90"/>
      <c r="FL90"/>
      <c r="FM90"/>
      <c r="FN90"/>
      <c r="FO90"/>
      <c r="FP90"/>
      <c r="FQ90"/>
      <c r="FR90"/>
      <c r="FS90"/>
      <c r="FT90"/>
      <c r="FU90"/>
      <c r="FV90"/>
      <c r="FW90"/>
      <c r="FX90"/>
      <c r="FY90"/>
      <c r="FZ90"/>
      <c r="GA90"/>
      <c r="GB90"/>
      <c r="GC90"/>
      <c r="GD90"/>
      <c r="GE90"/>
      <c r="GF90"/>
      <c r="GG90"/>
      <c r="GH90"/>
      <c r="GI90"/>
      <c r="GJ90"/>
      <c r="GK90"/>
      <c r="GL90"/>
      <c r="GM90"/>
      <c r="GN90"/>
      <c r="GO90"/>
      <c r="GP90"/>
      <c r="GQ90"/>
      <c r="GR90"/>
      <c r="GS90"/>
      <c r="GT90"/>
      <c r="GU90"/>
      <c r="GV90"/>
      <c r="GW90"/>
      <c r="GX90"/>
      <c r="GY90"/>
      <c r="GZ90"/>
      <c r="HA90"/>
      <c r="HB90"/>
      <c r="HC90"/>
      <c r="HD90"/>
      <c r="HE90"/>
      <c r="HF90"/>
      <c r="HG90"/>
      <c r="HH90"/>
      <c r="HI90"/>
      <c r="HJ90"/>
      <c r="HK90"/>
      <c r="HL90"/>
      <c r="HM90"/>
      <c r="HN90"/>
      <c r="HO90"/>
      <c r="HP90"/>
      <c r="HQ90"/>
      <c r="HR90"/>
      <c r="HS90"/>
      <c r="HT90"/>
      <c r="HU90"/>
      <c r="HV90"/>
      <c r="HW90"/>
      <c r="HX90"/>
      <c r="HY90"/>
      <c r="HZ90"/>
      <c r="IA90"/>
      <c r="IB90"/>
      <c r="IC90"/>
      <c r="ID90"/>
      <c r="IE90"/>
      <c r="IF90"/>
      <c r="IG90"/>
      <c r="IH90"/>
      <c r="II90"/>
      <c r="IJ90"/>
      <c r="IK90"/>
      <c r="IL90"/>
      <c r="IM90"/>
      <c r="IN90"/>
      <c r="IO90"/>
      <c r="IP90"/>
      <c r="IQ90"/>
      <c r="IR90"/>
      <c r="IS90"/>
      <c r="IT90"/>
      <c r="IU90"/>
      <c r="IV90"/>
    </row>
    <row r="91" spans="1:256" s="201" customFormat="1" ht="14.25" x14ac:dyDescent="0.2">
      <c r="A91" s="10">
        <v>3134</v>
      </c>
      <c r="B91" s="11" t="s">
        <v>431</v>
      </c>
      <c r="C91" s="105" t="s">
        <v>432</v>
      </c>
      <c r="D91" s="11" t="s">
        <v>105</v>
      </c>
      <c r="E91" s="12">
        <v>269</v>
      </c>
      <c r="F91" s="202">
        <v>35</v>
      </c>
      <c r="G91" s="11">
        <v>60000</v>
      </c>
      <c r="H91" s="116">
        <v>0</v>
      </c>
      <c r="I91" s="192"/>
      <c r="J91" s="204"/>
      <c r="K91" s="193"/>
      <c r="L91" s="193"/>
      <c r="M91" s="193"/>
      <c r="N91" s="203">
        <f t="shared" si="56"/>
        <v>60000</v>
      </c>
      <c r="O91" s="203">
        <f t="shared" si="57"/>
        <v>60000</v>
      </c>
      <c r="P91" s="203">
        <f t="shared" si="58"/>
        <v>60000</v>
      </c>
      <c r="Q91" s="214"/>
      <c r="R91" s="219"/>
      <c r="S91" s="217">
        <v>46216</v>
      </c>
      <c r="T91" s="205"/>
      <c r="U91" s="205"/>
      <c r="V91" s="215"/>
      <c r="W91" s="212"/>
      <c r="X91" s="10">
        <v>7</v>
      </c>
      <c r="Y91" s="10">
        <v>7</v>
      </c>
      <c r="Z91" s="213">
        <f t="shared" si="59"/>
        <v>60000</v>
      </c>
      <c r="AA91" s="62"/>
      <c r="AB91" s="62"/>
      <c r="AC91" s="62"/>
      <c r="AD91" s="62"/>
      <c r="AE91" s="62"/>
      <c r="AF91" s="63"/>
      <c r="AG91" s="64"/>
      <c r="AH91" s="6">
        <v>1</v>
      </c>
      <c r="AI91">
        <f t="shared" si="60"/>
        <v>25</v>
      </c>
      <c r="AJ91">
        <f t="shared" si="61"/>
        <v>25</v>
      </c>
      <c r="AK91">
        <f t="shared" si="62"/>
        <v>0</v>
      </c>
      <c r="AL91">
        <f t="shared" si="63"/>
        <v>0</v>
      </c>
      <c r="AM91">
        <f t="shared" si="64"/>
        <v>0</v>
      </c>
      <c r="AN91">
        <f t="shared" si="65"/>
        <v>0</v>
      </c>
      <c r="AO91">
        <f t="shared" si="66"/>
        <v>0</v>
      </c>
      <c r="AP91">
        <f t="shared" si="67"/>
        <v>0</v>
      </c>
      <c r="AQ91">
        <f t="shared" si="68"/>
        <v>0</v>
      </c>
      <c r="AR91">
        <f t="shared" si="69"/>
        <v>0</v>
      </c>
      <c r="AS91">
        <f t="shared" si="70"/>
        <v>0</v>
      </c>
      <c r="AT91">
        <f t="shared" si="71"/>
        <v>0</v>
      </c>
      <c r="AU91">
        <f t="shared" si="72"/>
        <v>1</v>
      </c>
      <c r="AV91">
        <f t="shared" si="73"/>
        <v>1</v>
      </c>
      <c r="AW91">
        <f t="shared" si="74"/>
        <v>1</v>
      </c>
      <c r="AX91">
        <f t="shared" si="75"/>
        <v>1</v>
      </c>
      <c r="AY91">
        <f t="shared" si="76"/>
        <v>60000</v>
      </c>
      <c r="AZ91">
        <f t="shared" si="77"/>
        <v>60000</v>
      </c>
      <c r="BA91">
        <f t="shared" si="78"/>
        <v>0</v>
      </c>
      <c r="BB91">
        <f t="shared" si="79"/>
        <v>0</v>
      </c>
      <c r="BC91">
        <f t="shared" si="80"/>
        <v>0</v>
      </c>
      <c r="BD91">
        <f t="shared" si="81"/>
        <v>0</v>
      </c>
      <c r="BE91">
        <f t="shared" si="82"/>
        <v>0</v>
      </c>
      <c r="BF91">
        <f t="shared" si="83"/>
        <v>0</v>
      </c>
      <c r="BG91"/>
      <c r="BH91"/>
      <c r="BI91"/>
      <c r="BJ91"/>
      <c r="BK91"/>
      <c r="BL91"/>
      <c r="BM91"/>
      <c r="BN91"/>
      <c r="BO91"/>
      <c r="BP91"/>
      <c r="BQ91"/>
      <c r="BR91"/>
      <c r="BS91"/>
      <c r="BT91"/>
      <c r="BU91"/>
      <c r="BV91"/>
      <c r="BW91"/>
      <c r="BX91"/>
      <c r="BY91"/>
      <c r="BZ91"/>
      <c r="CA91"/>
      <c r="CB91"/>
      <c r="CC91"/>
      <c r="CD91"/>
      <c r="CE91"/>
      <c r="CF91"/>
      <c r="CG91"/>
      <c r="CH91"/>
      <c r="CI91"/>
      <c r="CJ91"/>
      <c r="CK91"/>
      <c r="CL91"/>
      <c r="CM91"/>
      <c r="CN91"/>
      <c r="CO91"/>
      <c r="CP91"/>
      <c r="CQ91"/>
      <c r="CR91"/>
      <c r="CS91"/>
      <c r="CT91"/>
      <c r="CU91"/>
      <c r="CV91"/>
      <c r="CW91"/>
      <c r="CX91"/>
      <c r="CY91"/>
      <c r="CZ91"/>
      <c r="DA91"/>
      <c r="DB91"/>
      <c r="DC91"/>
      <c r="DD91"/>
      <c r="DE91"/>
      <c r="DF91"/>
      <c r="DG91"/>
      <c r="DH91"/>
      <c r="DI91"/>
      <c r="DJ91"/>
      <c r="DK91"/>
      <c r="DL91"/>
      <c r="DM91"/>
      <c r="DN91"/>
      <c r="DO91"/>
      <c r="DP91"/>
      <c r="DQ91"/>
      <c r="DR91"/>
      <c r="DS91"/>
      <c r="DT91"/>
      <c r="DU91"/>
      <c r="DV91"/>
      <c r="DW91"/>
      <c r="DX91"/>
      <c r="DY91"/>
      <c r="DZ91"/>
      <c r="EA91"/>
      <c r="EB91"/>
      <c r="EC91"/>
      <c r="ED91"/>
      <c r="EE91"/>
      <c r="EF91"/>
      <c r="EG91"/>
      <c r="EH91"/>
      <c r="EI91"/>
      <c r="EJ91"/>
      <c r="EK91"/>
      <c r="EL91"/>
      <c r="EM91"/>
      <c r="EN91"/>
      <c r="EO91"/>
      <c r="EP91"/>
      <c r="EQ91"/>
      <c r="ER91"/>
      <c r="ES91"/>
      <c r="ET91"/>
      <c r="EU91"/>
      <c r="EV91"/>
      <c r="EW91"/>
      <c r="EX91"/>
      <c r="EY91"/>
      <c r="EZ91"/>
      <c r="FA91"/>
      <c r="FB91"/>
      <c r="FC91"/>
      <c r="FD91"/>
      <c r="FE91"/>
      <c r="FF91"/>
      <c r="FG91"/>
      <c r="FH91"/>
      <c r="FI91"/>
      <c r="FJ91"/>
      <c r="FK91"/>
      <c r="FL91"/>
      <c r="FM91"/>
      <c r="FN91"/>
      <c r="FO91"/>
      <c r="FP91"/>
      <c r="FQ91"/>
      <c r="FR91"/>
      <c r="FS91"/>
      <c r="FT91"/>
      <c r="FU91"/>
      <c r="FV91"/>
      <c r="FW91"/>
      <c r="FX91"/>
      <c r="FY91"/>
      <c r="FZ91"/>
      <c r="GA91"/>
      <c r="GB91"/>
      <c r="GC91"/>
      <c r="GD91"/>
      <c r="GE91"/>
      <c r="GF91"/>
      <c r="GG91"/>
      <c r="GH91"/>
      <c r="GI91"/>
      <c r="GJ91"/>
      <c r="GK91"/>
      <c r="GL91"/>
      <c r="GM91"/>
      <c r="GN91"/>
      <c r="GO91"/>
      <c r="GP91"/>
      <c r="GQ91"/>
      <c r="GR91"/>
      <c r="GS91"/>
      <c r="GT91"/>
      <c r="GU91"/>
      <c r="GV91"/>
      <c r="GW91"/>
      <c r="GX91"/>
      <c r="GY91"/>
      <c r="GZ91"/>
      <c r="HA91"/>
      <c r="HB91"/>
      <c r="HC91"/>
      <c r="HD91"/>
      <c r="HE91"/>
      <c r="HF91"/>
      <c r="HG91"/>
      <c r="HH91"/>
      <c r="HI91"/>
      <c r="HJ91"/>
      <c r="HK91"/>
      <c r="HL91"/>
      <c r="HM91"/>
      <c r="HN91"/>
      <c r="HO91"/>
      <c r="HP91"/>
      <c r="HQ91"/>
      <c r="HR91"/>
      <c r="HS91"/>
      <c r="HT91"/>
      <c r="HU91"/>
      <c r="HV91"/>
      <c r="HW91"/>
      <c r="HX91"/>
      <c r="HY91"/>
      <c r="HZ91"/>
      <c r="IA91"/>
      <c r="IB91"/>
      <c r="IC91"/>
      <c r="ID91"/>
      <c r="IE91"/>
      <c r="IF91"/>
      <c r="IG91"/>
      <c r="IH91"/>
      <c r="II91"/>
      <c r="IJ91"/>
      <c r="IK91"/>
      <c r="IL91"/>
      <c r="IM91"/>
      <c r="IN91"/>
      <c r="IO91"/>
      <c r="IP91"/>
      <c r="IQ91"/>
      <c r="IR91"/>
      <c r="IS91"/>
      <c r="IT91"/>
      <c r="IU91"/>
      <c r="IV91"/>
    </row>
    <row r="92" spans="1:256" s="201" customFormat="1" ht="14.25" x14ac:dyDescent="0.2">
      <c r="A92" s="10">
        <v>3137</v>
      </c>
      <c r="B92" s="11" t="s">
        <v>433</v>
      </c>
      <c r="C92" s="105" t="s">
        <v>434</v>
      </c>
      <c r="D92" s="11" t="s">
        <v>106</v>
      </c>
      <c r="E92" s="12">
        <v>20002</v>
      </c>
      <c r="F92" s="202">
        <v>35</v>
      </c>
      <c r="G92" s="11">
        <v>55000</v>
      </c>
      <c r="H92" s="116">
        <v>0</v>
      </c>
      <c r="I92" s="192"/>
      <c r="J92" s="204"/>
      <c r="K92" s="193"/>
      <c r="L92" s="193"/>
      <c r="M92" s="193"/>
      <c r="N92" s="203">
        <f t="shared" si="56"/>
        <v>55000</v>
      </c>
      <c r="O92" s="203">
        <f t="shared" si="57"/>
        <v>55000</v>
      </c>
      <c r="P92" s="203">
        <f t="shared" si="58"/>
        <v>55000</v>
      </c>
      <c r="Q92" s="214"/>
      <c r="R92" s="219"/>
      <c r="S92" s="217">
        <v>46213</v>
      </c>
      <c r="T92" s="205"/>
      <c r="U92" s="205"/>
      <c r="V92" s="215"/>
      <c r="W92" s="212"/>
      <c r="X92" s="10">
        <v>7</v>
      </c>
      <c r="Y92" s="10">
        <v>7</v>
      </c>
      <c r="Z92" s="213">
        <f t="shared" si="59"/>
        <v>55000</v>
      </c>
      <c r="AA92" s="62"/>
      <c r="AB92" s="62"/>
      <c r="AC92" s="62"/>
      <c r="AD92" s="62"/>
      <c r="AE92" s="62"/>
      <c r="AF92" s="63"/>
      <c r="AG92" s="64"/>
      <c r="AH92" s="6">
        <v>1</v>
      </c>
      <c r="AI92">
        <f t="shared" si="60"/>
        <v>25</v>
      </c>
      <c r="AJ92">
        <f t="shared" si="61"/>
        <v>25</v>
      </c>
      <c r="AK92">
        <f t="shared" si="62"/>
        <v>0</v>
      </c>
      <c r="AL92">
        <f t="shared" si="63"/>
        <v>0</v>
      </c>
      <c r="AM92">
        <f t="shared" si="64"/>
        <v>0</v>
      </c>
      <c r="AN92">
        <f t="shared" si="65"/>
        <v>0</v>
      </c>
      <c r="AO92">
        <f t="shared" si="66"/>
        <v>0</v>
      </c>
      <c r="AP92">
        <f t="shared" si="67"/>
        <v>0</v>
      </c>
      <c r="AQ92">
        <f t="shared" si="68"/>
        <v>0</v>
      </c>
      <c r="AR92">
        <f t="shared" si="69"/>
        <v>0</v>
      </c>
      <c r="AS92">
        <f t="shared" si="70"/>
        <v>0</v>
      </c>
      <c r="AT92">
        <f t="shared" si="71"/>
        <v>0</v>
      </c>
      <c r="AU92">
        <f t="shared" si="72"/>
        <v>1</v>
      </c>
      <c r="AV92">
        <f t="shared" si="73"/>
        <v>1</v>
      </c>
      <c r="AW92">
        <f t="shared" si="74"/>
        <v>1</v>
      </c>
      <c r="AX92">
        <f t="shared" si="75"/>
        <v>1</v>
      </c>
      <c r="AY92">
        <f t="shared" si="76"/>
        <v>55000</v>
      </c>
      <c r="AZ92">
        <f t="shared" si="77"/>
        <v>55000</v>
      </c>
      <c r="BA92">
        <f t="shared" si="78"/>
        <v>0</v>
      </c>
      <c r="BB92">
        <f t="shared" si="79"/>
        <v>0</v>
      </c>
      <c r="BC92">
        <f t="shared" si="80"/>
        <v>0</v>
      </c>
      <c r="BD92">
        <f t="shared" si="81"/>
        <v>0</v>
      </c>
      <c r="BE92">
        <f t="shared" si="82"/>
        <v>0</v>
      </c>
      <c r="BF92">
        <f t="shared" si="83"/>
        <v>0</v>
      </c>
      <c r="BG92"/>
      <c r="BH92"/>
      <c r="BI92"/>
      <c r="BJ92"/>
      <c r="BK92"/>
      <c r="BL92"/>
      <c r="BM92"/>
      <c r="BN92"/>
      <c r="BO92"/>
      <c r="BP92"/>
      <c r="BQ92"/>
      <c r="BR92"/>
      <c r="BS92"/>
      <c r="BT92"/>
      <c r="BU92"/>
      <c r="BV92"/>
      <c r="BW92"/>
      <c r="BX92"/>
      <c r="BY92"/>
      <c r="BZ92"/>
      <c r="CA92"/>
      <c r="CB92"/>
      <c r="CC92"/>
      <c r="CD92"/>
      <c r="CE92"/>
      <c r="CF92"/>
      <c r="CG92"/>
      <c r="CH92"/>
      <c r="CI92"/>
      <c r="CJ92"/>
      <c r="CK92"/>
      <c r="CL92"/>
      <c r="CM92"/>
      <c r="CN92"/>
      <c r="CO92"/>
      <c r="CP92"/>
      <c r="CQ92"/>
      <c r="CR92"/>
      <c r="CS92"/>
      <c r="CT92"/>
      <c r="CU92"/>
      <c r="CV92"/>
      <c r="CW92"/>
      <c r="CX92"/>
      <c r="CY92"/>
      <c r="CZ92"/>
      <c r="DA92"/>
      <c r="DB92"/>
      <c r="DC92"/>
      <c r="DD92"/>
      <c r="DE92"/>
      <c r="DF92"/>
      <c r="DG92"/>
      <c r="DH92"/>
      <c r="DI92"/>
      <c r="DJ92"/>
      <c r="DK92"/>
      <c r="DL92"/>
      <c r="DM92"/>
      <c r="DN92"/>
      <c r="DO92"/>
      <c r="DP92"/>
      <c r="DQ92"/>
      <c r="DR92"/>
      <c r="DS92"/>
      <c r="DT92"/>
      <c r="DU92"/>
      <c r="DV92"/>
      <c r="DW92"/>
      <c r="DX92"/>
      <c r="DY92"/>
      <c r="DZ92"/>
      <c r="EA92"/>
      <c r="EB92"/>
      <c r="EC92"/>
      <c r="ED92"/>
      <c r="EE92"/>
      <c r="EF92"/>
      <c r="EG92"/>
      <c r="EH92"/>
      <c r="EI92"/>
      <c r="EJ92"/>
      <c r="EK92"/>
      <c r="EL92"/>
      <c r="EM92"/>
      <c r="EN92"/>
      <c r="EO92"/>
      <c r="EP92"/>
      <c r="EQ92"/>
      <c r="ER92"/>
      <c r="ES92"/>
      <c r="ET92"/>
      <c r="EU92"/>
      <c r="EV92"/>
      <c r="EW92"/>
      <c r="EX92"/>
      <c r="EY92"/>
      <c r="EZ92"/>
      <c r="FA92"/>
      <c r="FB92"/>
      <c r="FC92"/>
      <c r="FD92"/>
      <c r="FE92"/>
      <c r="FF92"/>
      <c r="FG92"/>
      <c r="FH92"/>
      <c r="FI92"/>
      <c r="FJ92"/>
      <c r="FK92"/>
      <c r="FL92"/>
      <c r="FM92"/>
      <c r="FN92"/>
      <c r="FO92"/>
      <c r="FP92"/>
      <c r="FQ92"/>
      <c r="FR92"/>
      <c r="FS92"/>
      <c r="FT92"/>
      <c r="FU92"/>
      <c r="FV92"/>
      <c r="FW92"/>
      <c r="FX92"/>
      <c r="FY92"/>
      <c r="FZ92"/>
      <c r="GA92"/>
      <c r="GB92"/>
      <c r="GC92"/>
      <c r="GD92"/>
      <c r="GE92"/>
      <c r="GF92"/>
      <c r="GG92"/>
      <c r="GH92"/>
      <c r="GI92"/>
      <c r="GJ92"/>
      <c r="GK92"/>
      <c r="GL92"/>
      <c r="GM92"/>
      <c r="GN92"/>
      <c r="GO92"/>
      <c r="GP92"/>
      <c r="GQ92"/>
      <c r="GR92"/>
      <c r="GS92"/>
      <c r="GT92"/>
      <c r="GU92"/>
      <c r="GV92"/>
      <c r="GW92"/>
      <c r="GX92"/>
      <c r="GY92"/>
      <c r="GZ92"/>
      <c r="HA92"/>
      <c r="HB92"/>
      <c r="HC92"/>
      <c r="HD92"/>
      <c r="HE92"/>
      <c r="HF92"/>
      <c r="HG92"/>
      <c r="HH92"/>
      <c r="HI92"/>
      <c r="HJ92"/>
      <c r="HK92"/>
      <c r="HL92"/>
      <c r="HM92"/>
      <c r="HN92"/>
      <c r="HO92"/>
      <c r="HP92"/>
      <c r="HQ92"/>
      <c r="HR92"/>
      <c r="HS92"/>
      <c r="HT92"/>
      <c r="HU92"/>
      <c r="HV92"/>
      <c r="HW92"/>
      <c r="HX92"/>
      <c r="HY92"/>
      <c r="HZ92"/>
      <c r="IA92"/>
      <c r="IB92"/>
      <c r="IC92"/>
      <c r="ID92"/>
      <c r="IE92"/>
      <c r="IF92"/>
      <c r="IG92"/>
      <c r="IH92"/>
      <c r="II92"/>
      <c r="IJ92"/>
      <c r="IK92"/>
      <c r="IL92"/>
      <c r="IM92"/>
      <c r="IN92"/>
      <c r="IO92"/>
      <c r="IP92"/>
      <c r="IQ92"/>
      <c r="IR92"/>
      <c r="IS92"/>
      <c r="IT92"/>
      <c r="IU92"/>
      <c r="IV92"/>
    </row>
    <row r="93" spans="1:256" s="201" customFormat="1" ht="14.25" x14ac:dyDescent="0.2">
      <c r="A93" s="10">
        <v>3142</v>
      </c>
      <c r="B93" s="11" t="s">
        <v>435</v>
      </c>
      <c r="C93" s="105" t="s">
        <v>436</v>
      </c>
      <c r="D93" s="11" t="s">
        <v>154</v>
      </c>
      <c r="E93" s="12">
        <v>11965</v>
      </c>
      <c r="F93" s="202">
        <v>35</v>
      </c>
      <c r="G93" s="11">
        <v>60000</v>
      </c>
      <c r="H93" s="116">
        <v>-10000</v>
      </c>
      <c r="I93" s="192"/>
      <c r="J93" s="204"/>
      <c r="K93" s="193"/>
      <c r="L93" s="193"/>
      <c r="M93" s="193"/>
      <c r="N93" s="203">
        <f t="shared" si="56"/>
        <v>60000</v>
      </c>
      <c r="O93" s="203">
        <f t="shared" si="57"/>
        <v>50000</v>
      </c>
      <c r="P93" s="203">
        <f t="shared" si="58"/>
        <v>50000</v>
      </c>
      <c r="Q93" s="214"/>
      <c r="R93" s="219"/>
      <c r="S93" s="217">
        <v>46204</v>
      </c>
      <c r="T93" s="205"/>
      <c r="U93" s="205"/>
      <c r="V93" s="215"/>
      <c r="W93" s="212"/>
      <c r="X93" s="10">
        <v>7</v>
      </c>
      <c r="Y93" s="10">
        <v>7</v>
      </c>
      <c r="Z93" s="213">
        <f t="shared" si="59"/>
        <v>60000</v>
      </c>
      <c r="AA93" s="62"/>
      <c r="AB93" s="62"/>
      <c r="AC93" s="62"/>
      <c r="AD93" s="62"/>
      <c r="AE93" s="62"/>
      <c r="AF93" s="63"/>
      <c r="AG93" s="64"/>
      <c r="AH93" s="6">
        <v>1</v>
      </c>
      <c r="AI93">
        <f t="shared" si="60"/>
        <v>25</v>
      </c>
      <c r="AJ93">
        <f t="shared" si="61"/>
        <v>25</v>
      </c>
      <c r="AK93">
        <f t="shared" si="62"/>
        <v>0</v>
      </c>
      <c r="AL93">
        <f t="shared" si="63"/>
        <v>0</v>
      </c>
      <c r="AM93">
        <f t="shared" si="64"/>
        <v>0</v>
      </c>
      <c r="AN93">
        <f t="shared" si="65"/>
        <v>0</v>
      </c>
      <c r="AO93">
        <f t="shared" si="66"/>
        <v>0</v>
      </c>
      <c r="AP93">
        <f t="shared" si="67"/>
        <v>0</v>
      </c>
      <c r="AQ93">
        <f t="shared" si="68"/>
        <v>0</v>
      </c>
      <c r="AR93">
        <f t="shared" si="69"/>
        <v>0</v>
      </c>
      <c r="AS93">
        <f t="shared" si="70"/>
        <v>0</v>
      </c>
      <c r="AT93">
        <f t="shared" si="71"/>
        <v>0</v>
      </c>
      <c r="AU93">
        <f t="shared" si="72"/>
        <v>1</v>
      </c>
      <c r="AV93">
        <f t="shared" si="73"/>
        <v>1</v>
      </c>
      <c r="AW93">
        <f t="shared" si="74"/>
        <v>1</v>
      </c>
      <c r="AX93">
        <f t="shared" si="75"/>
        <v>1</v>
      </c>
      <c r="AY93">
        <f t="shared" si="76"/>
        <v>50000</v>
      </c>
      <c r="AZ93">
        <f t="shared" si="77"/>
        <v>50000</v>
      </c>
      <c r="BA93">
        <f t="shared" si="78"/>
        <v>0</v>
      </c>
      <c r="BB93">
        <f t="shared" si="79"/>
        <v>0</v>
      </c>
      <c r="BC93">
        <f t="shared" si="80"/>
        <v>0</v>
      </c>
      <c r="BD93">
        <f t="shared" si="81"/>
        <v>0</v>
      </c>
      <c r="BE93">
        <f t="shared" si="82"/>
        <v>0</v>
      </c>
      <c r="BF93">
        <f t="shared" si="83"/>
        <v>0</v>
      </c>
      <c r="BG93"/>
      <c r="BH93"/>
      <c r="BI93"/>
      <c r="BJ93"/>
      <c r="BK93"/>
      <c r="BL93"/>
      <c r="BM93"/>
      <c r="BN93"/>
      <c r="BO93"/>
      <c r="BP93"/>
      <c r="BQ93"/>
      <c r="BR93"/>
      <c r="BS93"/>
      <c r="BT93"/>
      <c r="BU93"/>
      <c r="BV93"/>
      <c r="BW93"/>
      <c r="BX93"/>
      <c r="BY93"/>
      <c r="BZ93"/>
      <c r="CA93"/>
      <c r="CB93"/>
      <c r="CC93"/>
      <c r="CD93"/>
      <c r="CE93"/>
      <c r="CF93"/>
      <c r="CG93"/>
      <c r="CH93"/>
      <c r="CI93"/>
      <c r="CJ93"/>
      <c r="CK93"/>
      <c r="CL93"/>
      <c r="CM93"/>
      <c r="CN93"/>
      <c r="CO93"/>
      <c r="CP93"/>
      <c r="CQ93"/>
      <c r="CR93"/>
      <c r="CS93"/>
      <c r="CT93"/>
      <c r="CU93"/>
      <c r="CV93"/>
      <c r="CW93"/>
      <c r="CX93"/>
      <c r="CY93"/>
      <c r="CZ93"/>
      <c r="DA93"/>
      <c r="DB93"/>
      <c r="DC93"/>
      <c r="DD93"/>
      <c r="DE93"/>
      <c r="DF93"/>
      <c r="DG93"/>
      <c r="DH93"/>
      <c r="DI93"/>
      <c r="DJ93"/>
      <c r="DK93"/>
      <c r="DL93"/>
      <c r="DM93"/>
      <c r="DN93"/>
      <c r="DO93"/>
      <c r="DP93"/>
      <c r="DQ93"/>
      <c r="DR93"/>
      <c r="DS93"/>
      <c r="DT93"/>
      <c r="DU93"/>
      <c r="DV93"/>
      <c r="DW93"/>
      <c r="DX93"/>
      <c r="DY93"/>
      <c r="DZ93"/>
      <c r="EA93"/>
      <c r="EB93"/>
      <c r="EC93"/>
      <c r="ED93"/>
      <c r="EE93"/>
      <c r="EF93"/>
      <c r="EG93"/>
      <c r="EH93"/>
      <c r="EI93"/>
      <c r="EJ93"/>
      <c r="EK93"/>
      <c r="EL93"/>
      <c r="EM93"/>
      <c r="EN93"/>
      <c r="EO93"/>
      <c r="EP93"/>
      <c r="EQ93"/>
      <c r="ER93"/>
      <c r="ES93"/>
      <c r="ET93"/>
      <c r="EU93"/>
      <c r="EV93"/>
      <c r="EW93"/>
      <c r="EX93"/>
      <c r="EY93"/>
      <c r="EZ93"/>
      <c r="FA93"/>
      <c r="FB93"/>
      <c r="FC93"/>
      <c r="FD93"/>
      <c r="FE93"/>
      <c r="FF93"/>
      <c r="FG93"/>
      <c r="FH93"/>
      <c r="FI93"/>
      <c r="FJ93"/>
      <c r="FK93"/>
      <c r="FL93"/>
      <c r="FM93"/>
      <c r="FN93"/>
      <c r="FO93"/>
      <c r="FP93"/>
      <c r="FQ93"/>
      <c r="FR93"/>
      <c r="FS93"/>
      <c r="FT93"/>
      <c r="FU93"/>
      <c r="FV93"/>
      <c r="FW93"/>
      <c r="FX93"/>
      <c r="FY93"/>
      <c r="FZ93"/>
      <c r="GA93"/>
      <c r="GB93"/>
      <c r="GC93"/>
      <c r="GD93"/>
      <c r="GE93"/>
      <c r="GF93"/>
      <c r="GG93"/>
      <c r="GH93"/>
      <c r="GI93"/>
      <c r="GJ93"/>
      <c r="GK93"/>
      <c r="GL93"/>
      <c r="GM93"/>
      <c r="GN93"/>
      <c r="GO93"/>
      <c r="GP93"/>
      <c r="GQ93"/>
      <c r="GR93"/>
      <c r="GS93"/>
      <c r="GT93"/>
      <c r="GU93"/>
      <c r="GV93"/>
      <c r="GW93"/>
      <c r="GX93"/>
      <c r="GY93"/>
      <c r="GZ93"/>
      <c r="HA93"/>
      <c r="HB93"/>
      <c r="HC93"/>
      <c r="HD93"/>
      <c r="HE93"/>
      <c r="HF93"/>
      <c r="HG93"/>
      <c r="HH93"/>
      <c r="HI93"/>
      <c r="HJ93"/>
      <c r="HK93"/>
      <c r="HL93"/>
      <c r="HM93"/>
      <c r="HN93"/>
      <c r="HO93"/>
      <c r="HP93"/>
      <c r="HQ93"/>
      <c r="HR93"/>
      <c r="HS93"/>
      <c r="HT93"/>
      <c r="HU93"/>
      <c r="HV93"/>
      <c r="HW93"/>
      <c r="HX93"/>
      <c r="HY93"/>
      <c r="HZ93"/>
      <c r="IA93"/>
      <c r="IB93"/>
      <c r="IC93"/>
      <c r="ID93"/>
      <c r="IE93"/>
      <c r="IF93"/>
      <c r="IG93"/>
      <c r="IH93"/>
      <c r="II93"/>
      <c r="IJ93"/>
      <c r="IK93"/>
      <c r="IL93"/>
      <c r="IM93"/>
      <c r="IN93"/>
      <c r="IO93"/>
      <c r="IP93"/>
      <c r="IQ93"/>
      <c r="IR93"/>
      <c r="IS93"/>
      <c r="IT93"/>
      <c r="IU93"/>
      <c r="IV93"/>
    </row>
    <row r="94" spans="1:256" s="201" customFormat="1" ht="14.25" x14ac:dyDescent="0.2">
      <c r="A94" s="10">
        <v>3158</v>
      </c>
      <c r="B94" s="11" t="s">
        <v>437</v>
      </c>
      <c r="C94" s="105" t="s">
        <v>438</v>
      </c>
      <c r="D94" s="11" t="s">
        <v>325</v>
      </c>
      <c r="E94" s="12">
        <v>20018</v>
      </c>
      <c r="F94" s="202">
        <v>34</v>
      </c>
      <c r="G94" s="11">
        <v>80000</v>
      </c>
      <c r="H94" s="116">
        <v>0</v>
      </c>
      <c r="I94" s="192"/>
      <c r="J94" s="204"/>
      <c r="K94" s="193"/>
      <c r="L94" s="193"/>
      <c r="M94" s="193"/>
      <c r="N94" s="203">
        <f t="shared" si="56"/>
        <v>80000</v>
      </c>
      <c r="O94" s="203">
        <f t="shared" si="57"/>
        <v>80000</v>
      </c>
      <c r="P94" s="203">
        <f t="shared" si="58"/>
        <v>80000</v>
      </c>
      <c r="Q94" s="214"/>
      <c r="R94" s="219"/>
      <c r="S94" s="217">
        <v>46209</v>
      </c>
      <c r="T94" s="205"/>
      <c r="U94" s="205"/>
      <c r="V94" s="215"/>
      <c r="W94" s="212"/>
      <c r="X94" s="10">
        <v>7</v>
      </c>
      <c r="Y94" s="10">
        <v>7</v>
      </c>
      <c r="Z94" s="213">
        <f t="shared" si="59"/>
        <v>80000</v>
      </c>
      <c r="AA94" s="62"/>
      <c r="AB94" s="62"/>
      <c r="AC94" s="62"/>
      <c r="AD94" s="62"/>
      <c r="AE94" s="62"/>
      <c r="AF94" s="63"/>
      <c r="AG94" s="64"/>
      <c r="AH94" s="6">
        <v>1</v>
      </c>
      <c r="AI94">
        <f t="shared" si="60"/>
        <v>25</v>
      </c>
      <c r="AJ94">
        <f t="shared" si="61"/>
        <v>25</v>
      </c>
      <c r="AK94">
        <f t="shared" si="62"/>
        <v>0</v>
      </c>
      <c r="AL94">
        <f t="shared" si="63"/>
        <v>0</v>
      </c>
      <c r="AM94">
        <f t="shared" si="64"/>
        <v>0</v>
      </c>
      <c r="AN94">
        <f t="shared" si="65"/>
        <v>0</v>
      </c>
      <c r="AO94">
        <f t="shared" si="66"/>
        <v>0</v>
      </c>
      <c r="AP94">
        <f t="shared" si="67"/>
        <v>0</v>
      </c>
      <c r="AQ94">
        <f t="shared" si="68"/>
        <v>0</v>
      </c>
      <c r="AR94">
        <f t="shared" si="69"/>
        <v>0</v>
      </c>
      <c r="AS94">
        <f t="shared" si="70"/>
        <v>0</v>
      </c>
      <c r="AT94">
        <f t="shared" si="71"/>
        <v>0</v>
      </c>
      <c r="AU94">
        <f t="shared" si="72"/>
        <v>1</v>
      </c>
      <c r="AV94">
        <f t="shared" si="73"/>
        <v>1</v>
      </c>
      <c r="AW94">
        <f t="shared" si="74"/>
        <v>1</v>
      </c>
      <c r="AX94">
        <f t="shared" si="75"/>
        <v>1</v>
      </c>
      <c r="AY94">
        <f t="shared" si="76"/>
        <v>80000</v>
      </c>
      <c r="AZ94">
        <f t="shared" si="77"/>
        <v>80000</v>
      </c>
      <c r="BA94">
        <f t="shared" si="78"/>
        <v>0</v>
      </c>
      <c r="BB94">
        <f t="shared" si="79"/>
        <v>0</v>
      </c>
      <c r="BC94">
        <f t="shared" si="80"/>
        <v>0</v>
      </c>
      <c r="BD94">
        <f t="shared" si="81"/>
        <v>0</v>
      </c>
      <c r="BE94">
        <f t="shared" si="82"/>
        <v>0</v>
      </c>
      <c r="BF94">
        <f t="shared" si="83"/>
        <v>0</v>
      </c>
      <c r="BG94"/>
      <c r="BH94"/>
      <c r="BI94"/>
      <c r="BJ94"/>
      <c r="BK94"/>
      <c r="BL94"/>
      <c r="BM94"/>
      <c r="BN94"/>
      <c r="BO94"/>
      <c r="BP94"/>
      <c r="BQ94"/>
      <c r="BR94"/>
      <c r="BS94"/>
      <c r="BT94"/>
      <c r="BU94"/>
      <c r="BV94"/>
      <c r="BW94"/>
      <c r="BX94"/>
      <c r="BY94"/>
      <c r="BZ94"/>
      <c r="CA94"/>
      <c r="CB94"/>
      <c r="CC94"/>
      <c r="CD94"/>
      <c r="CE94"/>
      <c r="CF94"/>
      <c r="CG94"/>
      <c r="CH94"/>
      <c r="CI94"/>
      <c r="CJ94"/>
      <c r="CK94"/>
      <c r="CL94"/>
      <c r="CM94"/>
      <c r="CN94"/>
      <c r="CO94"/>
      <c r="CP94"/>
      <c r="CQ94"/>
      <c r="CR94"/>
      <c r="CS94"/>
      <c r="CT94"/>
      <c r="CU94"/>
      <c r="CV94"/>
      <c r="CW94"/>
      <c r="CX94"/>
      <c r="CY94"/>
      <c r="CZ94"/>
      <c r="DA94"/>
      <c r="DB94"/>
      <c r="DC94"/>
      <c r="DD94"/>
      <c r="DE94"/>
      <c r="DF94"/>
      <c r="DG94"/>
      <c r="DH94"/>
      <c r="DI94"/>
      <c r="DJ94"/>
      <c r="DK94"/>
      <c r="DL94"/>
      <c r="DM94"/>
      <c r="DN94"/>
      <c r="DO94"/>
      <c r="DP94"/>
      <c r="DQ94"/>
      <c r="DR94"/>
      <c r="DS94"/>
      <c r="DT94"/>
      <c r="DU94"/>
      <c r="DV94"/>
      <c r="DW94"/>
      <c r="DX94"/>
      <c r="DY94"/>
      <c r="DZ94"/>
      <c r="EA94"/>
      <c r="EB94"/>
      <c r="EC94"/>
      <c r="ED94"/>
      <c r="EE94"/>
      <c r="EF94"/>
      <c r="EG94"/>
      <c r="EH94"/>
      <c r="EI94"/>
      <c r="EJ94"/>
      <c r="EK94"/>
      <c r="EL94"/>
      <c r="EM94"/>
      <c r="EN94"/>
      <c r="EO94"/>
      <c r="EP94"/>
      <c r="EQ94"/>
      <c r="ER94"/>
      <c r="ES94"/>
      <c r="ET94"/>
      <c r="EU94"/>
      <c r="EV94"/>
      <c r="EW94"/>
      <c r="EX94"/>
      <c r="EY94"/>
      <c r="EZ94"/>
      <c r="FA94"/>
      <c r="FB94"/>
      <c r="FC94"/>
      <c r="FD94"/>
      <c r="FE94"/>
      <c r="FF94"/>
      <c r="FG94"/>
      <c r="FH94"/>
      <c r="FI94"/>
      <c r="FJ94"/>
      <c r="FK94"/>
      <c r="FL94"/>
      <c r="FM94"/>
      <c r="FN94"/>
      <c r="FO94"/>
      <c r="FP94"/>
      <c r="FQ94"/>
      <c r="FR94"/>
      <c r="FS94"/>
      <c r="FT94"/>
      <c r="FU94"/>
      <c r="FV94"/>
      <c r="FW94"/>
      <c r="FX94"/>
      <c r="FY94"/>
      <c r="FZ94"/>
      <c r="GA94"/>
      <c r="GB94"/>
      <c r="GC94"/>
      <c r="GD94"/>
      <c r="GE94"/>
      <c r="GF94"/>
      <c r="GG94"/>
      <c r="GH94"/>
      <c r="GI94"/>
      <c r="GJ94"/>
      <c r="GK94"/>
      <c r="GL94"/>
      <c r="GM94"/>
      <c r="GN94"/>
      <c r="GO94"/>
      <c r="GP94"/>
      <c r="GQ94"/>
      <c r="GR94"/>
      <c r="GS94"/>
      <c r="GT94"/>
      <c r="GU94"/>
      <c r="GV94"/>
      <c r="GW94"/>
      <c r="GX94"/>
      <c r="GY94"/>
      <c r="GZ94"/>
      <c r="HA94"/>
      <c r="HB94"/>
      <c r="HC94"/>
      <c r="HD94"/>
      <c r="HE94"/>
      <c r="HF94"/>
      <c r="HG94"/>
      <c r="HH94"/>
      <c r="HI94"/>
      <c r="HJ94"/>
      <c r="HK94"/>
      <c r="HL94"/>
      <c r="HM94"/>
      <c r="HN94"/>
      <c r="HO94"/>
      <c r="HP94"/>
      <c r="HQ94"/>
      <c r="HR94"/>
      <c r="HS94"/>
      <c r="HT94"/>
      <c r="HU94"/>
      <c r="HV94"/>
      <c r="HW94"/>
      <c r="HX94"/>
      <c r="HY94"/>
      <c r="HZ94"/>
      <c r="IA94"/>
      <c r="IB94"/>
      <c r="IC94"/>
      <c r="ID94"/>
      <c r="IE94"/>
      <c r="IF94"/>
      <c r="IG94"/>
      <c r="IH94"/>
      <c r="II94"/>
      <c r="IJ94"/>
      <c r="IK94"/>
      <c r="IL94"/>
      <c r="IM94"/>
      <c r="IN94"/>
      <c r="IO94"/>
      <c r="IP94"/>
      <c r="IQ94"/>
      <c r="IR94"/>
      <c r="IS94"/>
      <c r="IT94"/>
      <c r="IU94"/>
      <c r="IV94"/>
    </row>
    <row r="95" spans="1:256" s="201" customFormat="1" ht="14.25" x14ac:dyDescent="0.2">
      <c r="A95" s="10">
        <v>3163</v>
      </c>
      <c r="B95" s="11" t="s">
        <v>439</v>
      </c>
      <c r="C95" s="105" t="s">
        <v>440</v>
      </c>
      <c r="D95" s="11" t="s">
        <v>106</v>
      </c>
      <c r="E95" s="12">
        <v>20025</v>
      </c>
      <c r="F95" s="202">
        <v>34</v>
      </c>
      <c r="G95" s="11">
        <v>200000</v>
      </c>
      <c r="H95" s="116">
        <v>0</v>
      </c>
      <c r="I95" s="192"/>
      <c r="J95" s="204"/>
      <c r="K95" s="193"/>
      <c r="L95" s="193"/>
      <c r="M95" s="193"/>
      <c r="N95" s="203">
        <f t="shared" si="56"/>
        <v>200000</v>
      </c>
      <c r="O95" s="203">
        <f t="shared" si="57"/>
        <v>200000</v>
      </c>
      <c r="P95" s="203">
        <f t="shared" si="58"/>
        <v>200000</v>
      </c>
      <c r="Q95" s="214"/>
      <c r="R95" s="219"/>
      <c r="S95" s="217">
        <v>46217</v>
      </c>
      <c r="T95" s="205"/>
      <c r="U95" s="205"/>
      <c r="V95" s="215"/>
      <c r="W95" s="212"/>
      <c r="X95" s="10">
        <v>7</v>
      </c>
      <c r="Y95" s="10">
        <v>7</v>
      </c>
      <c r="Z95" s="213">
        <f t="shared" si="59"/>
        <v>200000</v>
      </c>
      <c r="AA95" s="62"/>
      <c r="AB95" s="62"/>
      <c r="AC95" s="62"/>
      <c r="AD95" s="62"/>
      <c r="AE95" s="62"/>
      <c r="AF95" s="63"/>
      <c r="AG95" s="64"/>
      <c r="AH95" s="6">
        <v>1</v>
      </c>
      <c r="AI95">
        <f t="shared" si="60"/>
        <v>25</v>
      </c>
      <c r="AJ95">
        <f t="shared" si="61"/>
        <v>25</v>
      </c>
      <c r="AK95">
        <f t="shared" si="62"/>
        <v>0</v>
      </c>
      <c r="AL95">
        <f t="shared" si="63"/>
        <v>0</v>
      </c>
      <c r="AM95">
        <f t="shared" si="64"/>
        <v>0</v>
      </c>
      <c r="AN95">
        <f t="shared" si="65"/>
        <v>0</v>
      </c>
      <c r="AO95">
        <f t="shared" si="66"/>
        <v>0</v>
      </c>
      <c r="AP95">
        <f t="shared" si="67"/>
        <v>0</v>
      </c>
      <c r="AQ95">
        <f t="shared" si="68"/>
        <v>0</v>
      </c>
      <c r="AR95">
        <f t="shared" si="69"/>
        <v>0</v>
      </c>
      <c r="AS95">
        <f t="shared" si="70"/>
        <v>0</v>
      </c>
      <c r="AT95">
        <f t="shared" si="71"/>
        <v>0</v>
      </c>
      <c r="AU95">
        <f t="shared" si="72"/>
        <v>1</v>
      </c>
      <c r="AV95">
        <f t="shared" si="73"/>
        <v>1</v>
      </c>
      <c r="AW95">
        <f t="shared" si="74"/>
        <v>1</v>
      </c>
      <c r="AX95">
        <f t="shared" si="75"/>
        <v>1</v>
      </c>
      <c r="AY95">
        <f t="shared" si="76"/>
        <v>200000</v>
      </c>
      <c r="AZ95">
        <f t="shared" si="77"/>
        <v>200000</v>
      </c>
      <c r="BA95">
        <f t="shared" si="78"/>
        <v>0</v>
      </c>
      <c r="BB95">
        <f t="shared" si="79"/>
        <v>0</v>
      </c>
      <c r="BC95">
        <f t="shared" si="80"/>
        <v>0</v>
      </c>
      <c r="BD95">
        <f t="shared" si="81"/>
        <v>0</v>
      </c>
      <c r="BE95">
        <f t="shared" si="82"/>
        <v>0</v>
      </c>
      <c r="BF95">
        <f t="shared" si="83"/>
        <v>0</v>
      </c>
      <c r="BG95"/>
      <c r="BH95"/>
      <c r="BI95"/>
      <c r="BJ95"/>
      <c r="BK95"/>
      <c r="BL95"/>
      <c r="BM95"/>
      <c r="BN95"/>
      <c r="BO95"/>
      <c r="BP95"/>
      <c r="BQ95"/>
      <c r="BR95"/>
      <c r="BS95"/>
      <c r="BT95"/>
      <c r="BU95"/>
      <c r="BV95"/>
      <c r="BW95"/>
      <c r="BX95"/>
      <c r="BY95"/>
      <c r="BZ95"/>
      <c r="CA95"/>
      <c r="CB95"/>
      <c r="CC95"/>
      <c r="CD95"/>
      <c r="CE95"/>
      <c r="CF95"/>
      <c r="CG95"/>
      <c r="CH95"/>
      <c r="CI95"/>
      <c r="CJ95"/>
      <c r="CK95"/>
      <c r="CL95"/>
      <c r="CM95"/>
      <c r="CN95"/>
      <c r="CO95"/>
      <c r="CP95"/>
      <c r="CQ95"/>
      <c r="CR95"/>
      <c r="CS95"/>
      <c r="CT95"/>
      <c r="CU95"/>
      <c r="CV95"/>
      <c r="CW95"/>
      <c r="CX95"/>
      <c r="CY95"/>
      <c r="CZ95"/>
      <c r="DA95"/>
      <c r="DB95"/>
      <c r="DC95"/>
      <c r="DD95"/>
      <c r="DE95"/>
      <c r="DF95"/>
      <c r="DG95"/>
      <c r="DH95"/>
      <c r="DI95"/>
      <c r="DJ95"/>
      <c r="DK95"/>
      <c r="DL95"/>
      <c r="DM95"/>
      <c r="DN95"/>
      <c r="DO95"/>
      <c r="DP95"/>
      <c r="DQ95"/>
      <c r="DR95"/>
      <c r="DS95"/>
      <c r="DT95"/>
      <c r="DU95"/>
      <c r="DV95"/>
      <c r="DW95"/>
      <c r="DX95"/>
      <c r="DY95"/>
      <c r="DZ95"/>
      <c r="EA95"/>
      <c r="EB95"/>
      <c r="EC95"/>
      <c r="ED95"/>
      <c r="EE95"/>
      <c r="EF95"/>
      <c r="EG95"/>
      <c r="EH95"/>
      <c r="EI95"/>
      <c r="EJ95"/>
      <c r="EK95"/>
      <c r="EL95"/>
      <c r="EM95"/>
      <c r="EN95"/>
      <c r="EO95"/>
      <c r="EP95"/>
      <c r="EQ95"/>
      <c r="ER95"/>
      <c r="ES95"/>
      <c r="ET95"/>
      <c r="EU95"/>
      <c r="EV95"/>
      <c r="EW95"/>
      <c r="EX95"/>
      <c r="EY95"/>
      <c r="EZ95"/>
      <c r="FA95"/>
      <c r="FB95"/>
      <c r="FC95"/>
      <c r="FD95"/>
      <c r="FE95"/>
      <c r="FF95"/>
      <c r="FG95"/>
      <c r="FH95"/>
      <c r="FI95"/>
      <c r="FJ95"/>
      <c r="FK95"/>
      <c r="FL95"/>
      <c r="FM95"/>
      <c r="FN95"/>
      <c r="FO95"/>
      <c r="FP95"/>
      <c r="FQ95"/>
      <c r="FR95"/>
      <c r="FS95"/>
      <c r="FT95"/>
      <c r="FU95"/>
      <c r="FV95"/>
      <c r="FW95"/>
      <c r="FX95"/>
      <c r="FY95"/>
      <c r="FZ95"/>
      <c r="GA95"/>
      <c r="GB95"/>
      <c r="GC95"/>
      <c r="GD95"/>
      <c r="GE95"/>
      <c r="GF95"/>
      <c r="GG95"/>
      <c r="GH95"/>
      <c r="GI95"/>
      <c r="GJ95"/>
      <c r="GK95"/>
      <c r="GL95"/>
      <c r="GM95"/>
      <c r="GN95"/>
      <c r="GO95"/>
      <c r="GP95"/>
      <c r="GQ95"/>
      <c r="GR95"/>
      <c r="GS95"/>
      <c r="GT95"/>
      <c r="GU95"/>
      <c r="GV95"/>
      <c r="GW95"/>
      <c r="GX95"/>
      <c r="GY95"/>
      <c r="GZ95"/>
      <c r="HA95"/>
      <c r="HB95"/>
      <c r="HC95"/>
      <c r="HD95"/>
      <c r="HE95"/>
      <c r="HF95"/>
      <c r="HG95"/>
      <c r="HH95"/>
      <c r="HI95"/>
      <c r="HJ95"/>
      <c r="HK95"/>
      <c r="HL95"/>
      <c r="HM95"/>
      <c r="HN95"/>
      <c r="HO95"/>
      <c r="HP95"/>
      <c r="HQ95"/>
      <c r="HR95"/>
      <c r="HS95"/>
      <c r="HT95"/>
      <c r="HU95"/>
      <c r="HV95"/>
      <c r="HW95"/>
      <c r="HX95"/>
      <c r="HY95"/>
      <c r="HZ95"/>
      <c r="IA95"/>
      <c r="IB95"/>
      <c r="IC95"/>
      <c r="ID95"/>
      <c r="IE95"/>
      <c r="IF95"/>
      <c r="IG95"/>
      <c r="IH95"/>
      <c r="II95"/>
      <c r="IJ95"/>
      <c r="IK95"/>
      <c r="IL95"/>
      <c r="IM95"/>
      <c r="IN95"/>
      <c r="IO95"/>
      <c r="IP95"/>
      <c r="IQ95"/>
      <c r="IR95"/>
      <c r="IS95"/>
      <c r="IT95"/>
      <c r="IU95"/>
      <c r="IV95"/>
    </row>
    <row r="96" spans="1:256" s="201" customFormat="1" ht="14.25" x14ac:dyDescent="0.2">
      <c r="A96" s="10">
        <v>3177</v>
      </c>
      <c r="B96" s="11" t="s">
        <v>280</v>
      </c>
      <c r="C96" s="105" t="s">
        <v>281</v>
      </c>
      <c r="D96" s="11" t="s">
        <v>282</v>
      </c>
      <c r="E96" s="12">
        <v>11939</v>
      </c>
      <c r="F96" s="202">
        <v>34</v>
      </c>
      <c r="G96" s="11">
        <v>30000</v>
      </c>
      <c r="H96" s="116">
        <v>15000</v>
      </c>
      <c r="I96" s="192"/>
      <c r="J96" s="204"/>
      <c r="K96" s="193"/>
      <c r="L96" s="193"/>
      <c r="M96" s="193"/>
      <c r="N96" s="203">
        <f t="shared" si="56"/>
        <v>45000</v>
      </c>
      <c r="O96" s="203">
        <f t="shared" si="57"/>
        <v>45000</v>
      </c>
      <c r="P96" s="203">
        <f t="shared" si="58"/>
        <v>45000</v>
      </c>
      <c r="Q96" s="214"/>
      <c r="R96" s="219"/>
      <c r="S96" s="217">
        <v>46203</v>
      </c>
      <c r="T96" s="205"/>
      <c r="U96" s="205"/>
      <c r="V96" s="215"/>
      <c r="W96" s="212"/>
      <c r="X96" s="10">
        <v>7</v>
      </c>
      <c r="Y96" s="10">
        <v>7</v>
      </c>
      <c r="Z96" s="213">
        <f t="shared" si="59"/>
        <v>45000</v>
      </c>
      <c r="AA96" s="62"/>
      <c r="AB96" s="62"/>
      <c r="AC96" s="62"/>
      <c r="AD96" s="62"/>
      <c r="AE96" s="62"/>
      <c r="AF96" s="63"/>
      <c r="AG96" s="64"/>
      <c r="AH96" s="6">
        <v>1</v>
      </c>
      <c r="AI96">
        <f t="shared" si="60"/>
        <v>25</v>
      </c>
      <c r="AJ96">
        <f t="shared" si="61"/>
        <v>25</v>
      </c>
      <c r="AK96">
        <f t="shared" si="62"/>
        <v>0</v>
      </c>
      <c r="AL96">
        <f t="shared" si="63"/>
        <v>0</v>
      </c>
      <c r="AM96">
        <f t="shared" si="64"/>
        <v>0</v>
      </c>
      <c r="AN96">
        <f t="shared" si="65"/>
        <v>0</v>
      </c>
      <c r="AO96">
        <f t="shared" si="66"/>
        <v>0</v>
      </c>
      <c r="AP96">
        <f t="shared" si="67"/>
        <v>0</v>
      </c>
      <c r="AQ96">
        <f t="shared" si="68"/>
        <v>0</v>
      </c>
      <c r="AR96">
        <f t="shared" si="69"/>
        <v>0</v>
      </c>
      <c r="AS96">
        <f t="shared" si="70"/>
        <v>0</v>
      </c>
      <c r="AT96">
        <f t="shared" si="71"/>
        <v>0</v>
      </c>
      <c r="AU96">
        <f t="shared" si="72"/>
        <v>1</v>
      </c>
      <c r="AV96">
        <f t="shared" si="73"/>
        <v>1</v>
      </c>
      <c r="AW96">
        <f t="shared" si="74"/>
        <v>1</v>
      </c>
      <c r="AX96">
        <f t="shared" si="75"/>
        <v>1</v>
      </c>
      <c r="AY96">
        <f t="shared" si="76"/>
        <v>45000</v>
      </c>
      <c r="AZ96">
        <f t="shared" si="77"/>
        <v>45000</v>
      </c>
      <c r="BA96">
        <f t="shared" si="78"/>
        <v>0</v>
      </c>
      <c r="BB96">
        <f t="shared" si="79"/>
        <v>0</v>
      </c>
      <c r="BC96">
        <f t="shared" si="80"/>
        <v>0</v>
      </c>
      <c r="BD96">
        <f t="shared" si="81"/>
        <v>0</v>
      </c>
      <c r="BE96">
        <f t="shared" si="82"/>
        <v>0</v>
      </c>
      <c r="BF96">
        <f t="shared" si="83"/>
        <v>0</v>
      </c>
      <c r="BG96"/>
      <c r="BH96"/>
      <c r="BI96"/>
      <c r="BJ96"/>
      <c r="BK96"/>
      <c r="BL96"/>
      <c r="BM96"/>
      <c r="BN96"/>
      <c r="BO96"/>
      <c r="BP96"/>
      <c r="BQ96"/>
      <c r="BR96"/>
      <c r="BS96"/>
      <c r="BT96"/>
      <c r="BU96"/>
      <c r="BV96"/>
      <c r="BW96"/>
      <c r="BX96"/>
      <c r="BY96"/>
      <c r="BZ96"/>
      <c r="CA96"/>
      <c r="CB96"/>
      <c r="CC96"/>
      <c r="CD96"/>
      <c r="CE96"/>
      <c r="CF96"/>
      <c r="CG96"/>
      <c r="CH96"/>
      <c r="CI96"/>
      <c r="CJ96"/>
      <c r="CK96"/>
      <c r="CL96"/>
      <c r="CM96"/>
      <c r="CN96"/>
      <c r="CO96"/>
      <c r="CP96"/>
      <c r="CQ96"/>
      <c r="CR96"/>
      <c r="CS96"/>
      <c r="CT96"/>
      <c r="CU96"/>
      <c r="CV96"/>
      <c r="CW96"/>
      <c r="CX96"/>
      <c r="CY96"/>
      <c r="CZ96"/>
      <c r="DA96"/>
      <c r="DB96"/>
      <c r="DC96"/>
      <c r="DD96"/>
      <c r="DE96"/>
      <c r="DF96"/>
      <c r="DG96"/>
      <c r="DH96"/>
      <c r="DI96"/>
      <c r="DJ96"/>
      <c r="DK96"/>
      <c r="DL96"/>
      <c r="DM96"/>
      <c r="DN96"/>
      <c r="DO96"/>
      <c r="DP96"/>
      <c r="DQ96"/>
      <c r="DR96"/>
      <c r="DS96"/>
      <c r="DT96"/>
      <c r="DU96"/>
      <c r="DV96"/>
      <c r="DW96"/>
      <c r="DX96"/>
      <c r="DY96"/>
      <c r="DZ96"/>
      <c r="EA96"/>
      <c r="EB96"/>
      <c r="EC96"/>
      <c r="ED96"/>
      <c r="EE96"/>
      <c r="EF96"/>
      <c r="EG96"/>
      <c r="EH96"/>
      <c r="EI96"/>
      <c r="EJ96"/>
      <c r="EK96"/>
      <c r="EL96"/>
      <c r="EM96"/>
      <c r="EN96"/>
      <c r="EO96"/>
      <c r="EP96"/>
      <c r="EQ96"/>
      <c r="ER96"/>
      <c r="ES96"/>
      <c r="ET96"/>
      <c r="EU96"/>
      <c r="EV96"/>
      <c r="EW96"/>
      <c r="EX96"/>
      <c r="EY96"/>
      <c r="EZ96"/>
      <c r="FA96"/>
      <c r="FB96"/>
      <c r="FC96"/>
      <c r="FD96"/>
      <c r="FE96"/>
      <c r="FF96"/>
      <c r="FG96"/>
      <c r="FH96"/>
      <c r="FI96"/>
      <c r="FJ96"/>
      <c r="FK96"/>
      <c r="FL96"/>
      <c r="FM96"/>
      <c r="FN96"/>
      <c r="FO96"/>
      <c r="FP96"/>
      <c r="FQ96"/>
      <c r="FR96"/>
      <c r="FS96"/>
      <c r="FT96"/>
      <c r="FU96"/>
      <c r="FV96"/>
      <c r="FW96"/>
      <c r="FX96"/>
      <c r="FY96"/>
      <c r="FZ96"/>
      <c r="GA96"/>
      <c r="GB96"/>
      <c r="GC96"/>
      <c r="GD96"/>
      <c r="GE96"/>
      <c r="GF96"/>
      <c r="GG96"/>
      <c r="GH96"/>
      <c r="GI96"/>
      <c r="GJ96"/>
      <c r="GK96"/>
      <c r="GL96"/>
      <c r="GM96"/>
      <c r="GN96"/>
      <c r="GO96"/>
      <c r="GP96"/>
      <c r="GQ96"/>
      <c r="GR96"/>
      <c r="GS96"/>
      <c r="GT96"/>
      <c r="GU96"/>
      <c r="GV96"/>
      <c r="GW96"/>
      <c r="GX96"/>
      <c r="GY96"/>
      <c r="GZ96"/>
      <c r="HA96"/>
      <c r="HB96"/>
      <c r="HC96"/>
      <c r="HD96"/>
      <c r="HE96"/>
      <c r="HF96"/>
      <c r="HG96"/>
      <c r="HH96"/>
      <c r="HI96"/>
      <c r="HJ96"/>
      <c r="HK96"/>
      <c r="HL96"/>
      <c r="HM96"/>
      <c r="HN96"/>
      <c r="HO96"/>
      <c r="HP96"/>
      <c r="HQ96"/>
      <c r="HR96"/>
      <c r="HS96"/>
      <c r="HT96"/>
      <c r="HU96"/>
      <c r="HV96"/>
      <c r="HW96"/>
      <c r="HX96"/>
      <c r="HY96"/>
      <c r="HZ96"/>
      <c r="IA96"/>
      <c r="IB96"/>
      <c r="IC96"/>
      <c r="ID96"/>
      <c r="IE96"/>
      <c r="IF96"/>
      <c r="IG96"/>
      <c r="IH96"/>
      <c r="II96"/>
      <c r="IJ96"/>
      <c r="IK96"/>
      <c r="IL96"/>
      <c r="IM96"/>
      <c r="IN96"/>
      <c r="IO96"/>
      <c r="IP96"/>
      <c r="IQ96"/>
      <c r="IR96"/>
      <c r="IS96"/>
      <c r="IT96"/>
      <c r="IU96"/>
      <c r="IV96"/>
    </row>
    <row r="97" spans="1:256" s="201" customFormat="1" ht="14.25" x14ac:dyDescent="0.2">
      <c r="A97" s="10">
        <v>3182</v>
      </c>
      <c r="B97" s="11" t="s">
        <v>441</v>
      </c>
      <c r="C97" s="105" t="s">
        <v>442</v>
      </c>
      <c r="D97" s="11" t="s">
        <v>217</v>
      </c>
      <c r="E97" s="12">
        <v>11970</v>
      </c>
      <c r="F97" s="202">
        <v>34</v>
      </c>
      <c r="G97" s="11">
        <v>80000</v>
      </c>
      <c r="H97" s="116">
        <v>0</v>
      </c>
      <c r="I97" s="192"/>
      <c r="J97" s="204"/>
      <c r="K97" s="193"/>
      <c r="L97" s="193"/>
      <c r="M97" s="193"/>
      <c r="N97" s="203">
        <f t="shared" si="56"/>
        <v>80000</v>
      </c>
      <c r="O97" s="203">
        <f t="shared" si="57"/>
        <v>80000</v>
      </c>
      <c r="P97" s="203">
        <f t="shared" si="58"/>
        <v>80000</v>
      </c>
      <c r="Q97" s="214"/>
      <c r="R97" s="219"/>
      <c r="S97" s="217">
        <v>46213</v>
      </c>
      <c r="T97" s="205"/>
      <c r="U97" s="205"/>
      <c r="V97" s="215"/>
      <c r="W97" s="212"/>
      <c r="X97" s="10">
        <v>7</v>
      </c>
      <c r="Y97" s="10">
        <v>7</v>
      </c>
      <c r="Z97" s="213">
        <f t="shared" si="59"/>
        <v>80000</v>
      </c>
      <c r="AA97" s="62"/>
      <c r="AB97" s="62"/>
      <c r="AC97" s="62"/>
      <c r="AD97" s="62"/>
      <c r="AE97" s="62"/>
      <c r="AF97" s="63"/>
      <c r="AG97" s="64"/>
      <c r="AH97" s="6">
        <v>1</v>
      </c>
      <c r="AI97">
        <f t="shared" si="60"/>
        <v>25</v>
      </c>
      <c r="AJ97">
        <f t="shared" si="61"/>
        <v>25</v>
      </c>
      <c r="AK97">
        <f t="shared" si="62"/>
        <v>0</v>
      </c>
      <c r="AL97">
        <f t="shared" si="63"/>
        <v>0</v>
      </c>
      <c r="AM97">
        <f t="shared" si="64"/>
        <v>0</v>
      </c>
      <c r="AN97">
        <f t="shared" si="65"/>
        <v>0</v>
      </c>
      <c r="AO97">
        <f t="shared" si="66"/>
        <v>0</v>
      </c>
      <c r="AP97">
        <f t="shared" si="67"/>
        <v>0</v>
      </c>
      <c r="AQ97">
        <f t="shared" si="68"/>
        <v>0</v>
      </c>
      <c r="AR97">
        <f t="shared" si="69"/>
        <v>0</v>
      </c>
      <c r="AS97">
        <f t="shared" si="70"/>
        <v>0</v>
      </c>
      <c r="AT97">
        <f t="shared" si="71"/>
        <v>0</v>
      </c>
      <c r="AU97">
        <f t="shared" si="72"/>
        <v>1</v>
      </c>
      <c r="AV97">
        <f t="shared" si="73"/>
        <v>1</v>
      </c>
      <c r="AW97">
        <f t="shared" si="74"/>
        <v>1</v>
      </c>
      <c r="AX97">
        <f t="shared" si="75"/>
        <v>1</v>
      </c>
      <c r="AY97">
        <f t="shared" si="76"/>
        <v>80000</v>
      </c>
      <c r="AZ97">
        <f t="shared" si="77"/>
        <v>80000</v>
      </c>
      <c r="BA97">
        <f t="shared" si="78"/>
        <v>0</v>
      </c>
      <c r="BB97">
        <f t="shared" si="79"/>
        <v>0</v>
      </c>
      <c r="BC97">
        <f t="shared" si="80"/>
        <v>0</v>
      </c>
      <c r="BD97">
        <f t="shared" si="81"/>
        <v>0</v>
      </c>
      <c r="BE97">
        <f t="shared" si="82"/>
        <v>0</v>
      </c>
      <c r="BF97">
        <f t="shared" si="83"/>
        <v>0</v>
      </c>
      <c r="BG97"/>
      <c r="BH97"/>
      <c r="BI97"/>
      <c r="BJ97"/>
      <c r="BK97"/>
      <c r="BL97"/>
      <c r="BM97"/>
      <c r="BN97"/>
      <c r="BO97"/>
      <c r="BP97"/>
      <c r="BQ97"/>
      <c r="BR97"/>
      <c r="BS97"/>
      <c r="BT97"/>
      <c r="BU97"/>
      <c r="BV97"/>
      <c r="BW97"/>
      <c r="BX97"/>
      <c r="BY97"/>
      <c r="BZ97"/>
      <c r="CA97"/>
      <c r="CB97"/>
      <c r="CC97"/>
      <c r="CD97"/>
      <c r="CE97"/>
      <c r="CF97"/>
      <c r="CG97"/>
      <c r="CH97"/>
      <c r="CI97"/>
      <c r="CJ97"/>
      <c r="CK97"/>
      <c r="CL97"/>
      <c r="CM97"/>
      <c r="CN97"/>
      <c r="CO97"/>
      <c r="CP97"/>
      <c r="CQ97"/>
      <c r="CR97"/>
      <c r="CS97"/>
      <c r="CT97"/>
      <c r="CU97"/>
      <c r="CV97"/>
      <c r="CW97"/>
      <c r="CX97"/>
      <c r="CY97"/>
      <c r="CZ97"/>
      <c r="DA97"/>
      <c r="DB97"/>
      <c r="DC97"/>
      <c r="DD97"/>
      <c r="DE97"/>
      <c r="DF97"/>
      <c r="DG97"/>
      <c r="DH97"/>
      <c r="DI97"/>
      <c r="DJ97"/>
      <c r="DK97"/>
      <c r="DL97"/>
      <c r="DM97"/>
      <c r="DN97"/>
      <c r="DO97"/>
      <c r="DP97"/>
      <c r="DQ97"/>
      <c r="DR97"/>
      <c r="DS97"/>
      <c r="DT97"/>
      <c r="DU97"/>
      <c r="DV97"/>
      <c r="DW97"/>
      <c r="DX97"/>
      <c r="DY97"/>
      <c r="DZ97"/>
      <c r="EA97"/>
      <c r="EB97"/>
      <c r="EC97"/>
      <c r="ED97"/>
      <c r="EE97"/>
      <c r="EF97"/>
      <c r="EG97"/>
      <c r="EH97"/>
      <c r="EI97"/>
      <c r="EJ97"/>
      <c r="EK97"/>
      <c r="EL97"/>
      <c r="EM97"/>
      <c r="EN97"/>
      <c r="EO97"/>
      <c r="EP97"/>
      <c r="EQ97"/>
      <c r="ER97"/>
      <c r="ES97"/>
      <c r="ET97"/>
      <c r="EU97"/>
      <c r="EV97"/>
      <c r="EW97"/>
      <c r="EX97"/>
      <c r="EY97"/>
      <c r="EZ97"/>
      <c r="FA97"/>
      <c r="FB97"/>
      <c r="FC97"/>
      <c r="FD97"/>
      <c r="FE97"/>
      <c r="FF97"/>
      <c r="FG97"/>
      <c r="FH97"/>
      <c r="FI97"/>
      <c r="FJ97"/>
      <c r="FK97"/>
      <c r="FL97"/>
      <c r="FM97"/>
      <c r="FN97"/>
      <c r="FO97"/>
      <c r="FP97"/>
      <c r="FQ97"/>
      <c r="FR97"/>
      <c r="FS97"/>
      <c r="FT97"/>
      <c r="FU97"/>
      <c r="FV97"/>
      <c r="FW97"/>
      <c r="FX97"/>
      <c r="FY97"/>
      <c r="FZ97"/>
      <c r="GA97"/>
      <c r="GB97"/>
      <c r="GC97"/>
      <c r="GD97"/>
      <c r="GE97"/>
      <c r="GF97"/>
      <c r="GG97"/>
      <c r="GH97"/>
      <c r="GI97"/>
      <c r="GJ97"/>
      <c r="GK97"/>
      <c r="GL97"/>
      <c r="GM97"/>
      <c r="GN97"/>
      <c r="GO97"/>
      <c r="GP97"/>
      <c r="GQ97"/>
      <c r="GR97"/>
      <c r="GS97"/>
      <c r="GT97"/>
      <c r="GU97"/>
      <c r="GV97"/>
      <c r="GW97"/>
      <c r="GX97"/>
      <c r="GY97"/>
      <c r="GZ97"/>
      <c r="HA97"/>
      <c r="HB97"/>
      <c r="HC97"/>
      <c r="HD97"/>
      <c r="HE97"/>
      <c r="HF97"/>
      <c r="HG97"/>
      <c r="HH97"/>
      <c r="HI97"/>
      <c r="HJ97"/>
      <c r="HK97"/>
      <c r="HL97"/>
      <c r="HM97"/>
      <c r="HN97"/>
      <c r="HO97"/>
      <c r="HP97"/>
      <c r="HQ97"/>
      <c r="HR97"/>
      <c r="HS97"/>
      <c r="HT97"/>
      <c r="HU97"/>
      <c r="HV97"/>
      <c r="HW97"/>
      <c r="HX97"/>
      <c r="HY97"/>
      <c r="HZ97"/>
      <c r="IA97"/>
      <c r="IB97"/>
      <c r="IC97"/>
      <c r="ID97"/>
      <c r="IE97"/>
      <c r="IF97"/>
      <c r="IG97"/>
      <c r="IH97"/>
      <c r="II97"/>
      <c r="IJ97"/>
      <c r="IK97"/>
      <c r="IL97"/>
      <c r="IM97"/>
      <c r="IN97"/>
      <c r="IO97"/>
      <c r="IP97"/>
      <c r="IQ97"/>
      <c r="IR97"/>
      <c r="IS97"/>
      <c r="IT97"/>
      <c r="IU97"/>
      <c r="IV97"/>
    </row>
    <row r="98" spans="1:256" s="201" customFormat="1" ht="14.25" x14ac:dyDescent="0.2">
      <c r="A98" s="10">
        <v>3184</v>
      </c>
      <c r="B98" s="11" t="s">
        <v>257</v>
      </c>
      <c r="C98" s="105">
        <v>2645439804</v>
      </c>
      <c r="D98" s="11" t="s">
        <v>144</v>
      </c>
      <c r="E98" s="12">
        <v>11981</v>
      </c>
      <c r="F98" s="202">
        <v>34</v>
      </c>
      <c r="G98" s="11">
        <v>30000</v>
      </c>
      <c r="H98" s="116">
        <v>0</v>
      </c>
      <c r="I98" s="192"/>
      <c r="J98" s="204"/>
      <c r="K98" s="193"/>
      <c r="L98" s="193"/>
      <c r="M98" s="193"/>
      <c r="N98" s="203">
        <f t="shared" si="56"/>
        <v>30000</v>
      </c>
      <c r="O98" s="203">
        <f t="shared" si="57"/>
        <v>30000</v>
      </c>
      <c r="P98" s="203">
        <f t="shared" si="58"/>
        <v>30000</v>
      </c>
      <c r="Q98" s="214">
        <v>46204</v>
      </c>
      <c r="R98" s="219"/>
      <c r="S98" s="217">
        <v>46204</v>
      </c>
      <c r="T98" s="205"/>
      <c r="U98" s="205"/>
      <c r="V98" s="215" t="s">
        <v>521</v>
      </c>
      <c r="W98" s="212"/>
      <c r="X98" s="10">
        <v>7</v>
      </c>
      <c r="Y98" s="10">
        <v>7</v>
      </c>
      <c r="Z98" s="213">
        <f t="shared" si="59"/>
        <v>30000</v>
      </c>
      <c r="AA98" s="62"/>
      <c r="AB98" s="62"/>
      <c r="AC98" s="62"/>
      <c r="AD98" s="62"/>
      <c r="AE98" s="62"/>
      <c r="AF98" s="63"/>
      <c r="AG98" s="64"/>
      <c r="AH98" s="6">
        <v>1</v>
      </c>
      <c r="AI98">
        <f t="shared" si="60"/>
        <v>25</v>
      </c>
      <c r="AJ98">
        <f t="shared" si="61"/>
        <v>25</v>
      </c>
      <c r="AK98">
        <f t="shared" si="62"/>
        <v>0</v>
      </c>
      <c r="AL98">
        <f t="shared" si="63"/>
        <v>0</v>
      </c>
      <c r="AM98">
        <f t="shared" si="64"/>
        <v>0</v>
      </c>
      <c r="AN98">
        <f t="shared" si="65"/>
        <v>0</v>
      </c>
      <c r="AO98">
        <f t="shared" si="66"/>
        <v>0</v>
      </c>
      <c r="AP98">
        <f t="shared" si="67"/>
        <v>0</v>
      </c>
      <c r="AQ98">
        <f t="shared" si="68"/>
        <v>0</v>
      </c>
      <c r="AR98">
        <f t="shared" si="69"/>
        <v>0</v>
      </c>
      <c r="AS98">
        <f t="shared" si="70"/>
        <v>0</v>
      </c>
      <c r="AT98">
        <f t="shared" si="71"/>
        <v>0</v>
      </c>
      <c r="AU98">
        <f t="shared" si="72"/>
        <v>1</v>
      </c>
      <c r="AV98">
        <f t="shared" si="73"/>
        <v>1</v>
      </c>
      <c r="AW98">
        <f t="shared" si="74"/>
        <v>1</v>
      </c>
      <c r="AX98">
        <f t="shared" si="75"/>
        <v>1</v>
      </c>
      <c r="AY98">
        <f t="shared" si="76"/>
        <v>30000</v>
      </c>
      <c r="AZ98">
        <f t="shared" si="77"/>
        <v>30000</v>
      </c>
      <c r="BA98">
        <f t="shared" si="78"/>
        <v>0</v>
      </c>
      <c r="BB98">
        <f t="shared" si="79"/>
        <v>0</v>
      </c>
      <c r="BC98">
        <f t="shared" si="80"/>
        <v>0</v>
      </c>
      <c r="BD98">
        <f t="shared" si="81"/>
        <v>0</v>
      </c>
      <c r="BE98">
        <f t="shared" si="82"/>
        <v>0</v>
      </c>
      <c r="BF98">
        <f t="shared" si="83"/>
        <v>0</v>
      </c>
      <c r="BG98"/>
      <c r="BH98"/>
      <c r="BI98"/>
      <c r="BJ98"/>
      <c r="BK98"/>
      <c r="BL98"/>
      <c r="BM98"/>
      <c r="BN98"/>
      <c r="BO98"/>
      <c r="BP98"/>
      <c r="BQ98"/>
      <c r="BR98"/>
      <c r="BS98"/>
      <c r="BT98"/>
      <c r="BU98"/>
      <c r="BV98"/>
      <c r="BW98"/>
      <c r="BX98"/>
      <c r="BY98"/>
      <c r="BZ98"/>
      <c r="CA98"/>
      <c r="CB98"/>
      <c r="CC98"/>
      <c r="CD98"/>
      <c r="CE98"/>
      <c r="CF98"/>
      <c r="CG98"/>
      <c r="CH98"/>
      <c r="CI98"/>
      <c r="CJ98"/>
      <c r="CK98"/>
      <c r="CL98"/>
      <c r="CM98"/>
      <c r="CN98"/>
      <c r="CO98"/>
      <c r="CP98"/>
      <c r="CQ98"/>
      <c r="CR98"/>
      <c r="CS98"/>
      <c r="CT98"/>
      <c r="CU98"/>
      <c r="CV98"/>
      <c r="CW98"/>
      <c r="CX98"/>
      <c r="CY98"/>
      <c r="CZ98"/>
      <c r="DA98"/>
      <c r="DB98"/>
      <c r="DC98"/>
      <c r="DD98"/>
      <c r="DE98"/>
      <c r="DF98"/>
      <c r="DG98"/>
      <c r="DH98"/>
      <c r="DI98"/>
      <c r="DJ98"/>
      <c r="DK98"/>
      <c r="DL98"/>
      <c r="DM98"/>
      <c r="DN98"/>
      <c r="DO98"/>
      <c r="DP98"/>
      <c r="DQ98"/>
      <c r="DR98"/>
      <c r="DS98"/>
      <c r="DT98"/>
      <c r="DU98"/>
      <c r="DV98"/>
      <c r="DW98"/>
      <c r="DX98"/>
      <c r="DY98"/>
      <c r="DZ98"/>
      <c r="EA98"/>
      <c r="EB98"/>
      <c r="EC98"/>
      <c r="ED98"/>
      <c r="EE98"/>
      <c r="EF98"/>
      <c r="EG98"/>
      <c r="EH98"/>
      <c r="EI98"/>
      <c r="EJ98"/>
      <c r="EK98"/>
      <c r="EL98"/>
      <c r="EM98"/>
      <c r="EN98"/>
      <c r="EO98"/>
      <c r="EP98"/>
      <c r="EQ98"/>
      <c r="ER98"/>
      <c r="ES98"/>
      <c r="ET98"/>
      <c r="EU98"/>
      <c r="EV98"/>
      <c r="EW98"/>
      <c r="EX98"/>
      <c r="EY98"/>
      <c r="EZ98"/>
      <c r="FA98"/>
      <c r="FB98"/>
      <c r="FC98"/>
      <c r="FD98"/>
      <c r="FE98"/>
      <c r="FF98"/>
      <c r="FG98"/>
      <c r="FH98"/>
      <c r="FI98"/>
      <c r="FJ98"/>
      <c r="FK98"/>
      <c r="FL98"/>
      <c r="FM98"/>
      <c r="FN98"/>
      <c r="FO98"/>
      <c r="FP98"/>
      <c r="FQ98"/>
      <c r="FR98"/>
      <c r="FS98"/>
      <c r="FT98"/>
      <c r="FU98"/>
      <c r="FV98"/>
      <c r="FW98"/>
      <c r="FX98"/>
      <c r="FY98"/>
      <c r="FZ98"/>
      <c r="GA98"/>
      <c r="GB98"/>
      <c r="GC98"/>
      <c r="GD98"/>
      <c r="GE98"/>
      <c r="GF98"/>
      <c r="GG98"/>
      <c r="GH98"/>
      <c r="GI98"/>
      <c r="GJ98"/>
      <c r="GK98"/>
      <c r="GL98"/>
      <c r="GM98"/>
      <c r="GN98"/>
      <c r="GO98"/>
      <c r="GP98"/>
      <c r="GQ98"/>
      <c r="GR98"/>
      <c r="GS98"/>
      <c r="GT98"/>
      <c r="GU98"/>
      <c r="GV98"/>
      <c r="GW98"/>
      <c r="GX98"/>
      <c r="GY98"/>
      <c r="GZ98"/>
      <c r="HA98"/>
      <c r="HB98"/>
      <c r="HC98"/>
      <c r="HD98"/>
      <c r="HE98"/>
      <c r="HF98"/>
      <c r="HG98"/>
      <c r="HH98"/>
      <c r="HI98"/>
      <c r="HJ98"/>
      <c r="HK98"/>
      <c r="HL98"/>
      <c r="HM98"/>
      <c r="HN98"/>
      <c r="HO98"/>
      <c r="HP98"/>
      <c r="HQ98"/>
      <c r="HR98"/>
      <c r="HS98"/>
      <c r="HT98"/>
      <c r="HU98"/>
      <c r="HV98"/>
      <c r="HW98"/>
      <c r="HX98"/>
      <c r="HY98"/>
      <c r="HZ98"/>
      <c r="IA98"/>
      <c r="IB98"/>
      <c r="IC98"/>
      <c r="ID98"/>
      <c r="IE98"/>
      <c r="IF98"/>
      <c r="IG98"/>
      <c r="IH98"/>
      <c r="II98"/>
      <c r="IJ98"/>
      <c r="IK98"/>
      <c r="IL98"/>
      <c r="IM98"/>
      <c r="IN98"/>
      <c r="IO98"/>
      <c r="IP98"/>
      <c r="IQ98"/>
      <c r="IR98"/>
      <c r="IS98"/>
      <c r="IT98"/>
      <c r="IU98"/>
      <c r="IV98"/>
    </row>
    <row r="99" spans="1:256" s="201" customFormat="1" ht="14.25" x14ac:dyDescent="0.2">
      <c r="A99" s="10">
        <v>3186</v>
      </c>
      <c r="B99" s="11" t="s">
        <v>283</v>
      </c>
      <c r="C99" s="105" t="s">
        <v>284</v>
      </c>
      <c r="D99" s="11" t="s">
        <v>157</v>
      </c>
      <c r="E99" s="12">
        <v>11983</v>
      </c>
      <c r="F99" s="202">
        <v>34</v>
      </c>
      <c r="G99" s="11">
        <v>70000</v>
      </c>
      <c r="H99" s="116">
        <v>0</v>
      </c>
      <c r="I99" s="192"/>
      <c r="J99" s="204"/>
      <c r="K99" s="193"/>
      <c r="L99" s="193"/>
      <c r="M99" s="193"/>
      <c r="N99" s="203">
        <f t="shared" si="56"/>
        <v>70000</v>
      </c>
      <c r="O99" s="203">
        <f t="shared" si="57"/>
        <v>70000</v>
      </c>
      <c r="P99" s="203">
        <f t="shared" si="58"/>
        <v>70000</v>
      </c>
      <c r="Q99" s="214"/>
      <c r="R99" s="219"/>
      <c r="S99" s="217">
        <v>46234</v>
      </c>
      <c r="T99" s="205"/>
      <c r="U99" s="205"/>
      <c r="V99" s="215"/>
      <c r="W99" s="212"/>
      <c r="X99" s="10">
        <v>7</v>
      </c>
      <c r="Y99" s="10">
        <v>7</v>
      </c>
      <c r="Z99" s="213">
        <f t="shared" si="59"/>
        <v>70000</v>
      </c>
      <c r="AA99" s="62"/>
      <c r="AB99" s="62"/>
      <c r="AC99" s="62"/>
      <c r="AD99" s="62"/>
      <c r="AE99" s="62"/>
      <c r="AF99" s="63"/>
      <c r="AG99" s="64"/>
      <c r="AH99" s="6">
        <v>1</v>
      </c>
      <c r="AI99">
        <f t="shared" si="60"/>
        <v>25</v>
      </c>
      <c r="AJ99">
        <f t="shared" si="61"/>
        <v>25</v>
      </c>
      <c r="AK99">
        <f t="shared" si="62"/>
        <v>0</v>
      </c>
      <c r="AL99">
        <f t="shared" si="63"/>
        <v>0</v>
      </c>
      <c r="AM99">
        <f t="shared" si="64"/>
        <v>0</v>
      </c>
      <c r="AN99">
        <f t="shared" si="65"/>
        <v>0</v>
      </c>
      <c r="AO99">
        <f t="shared" si="66"/>
        <v>0</v>
      </c>
      <c r="AP99">
        <f t="shared" si="67"/>
        <v>0</v>
      </c>
      <c r="AQ99">
        <f t="shared" si="68"/>
        <v>0</v>
      </c>
      <c r="AR99">
        <f t="shared" si="69"/>
        <v>0</v>
      </c>
      <c r="AS99">
        <f t="shared" si="70"/>
        <v>0</v>
      </c>
      <c r="AT99">
        <f t="shared" si="71"/>
        <v>0</v>
      </c>
      <c r="AU99">
        <f t="shared" si="72"/>
        <v>1</v>
      </c>
      <c r="AV99">
        <f t="shared" si="73"/>
        <v>1</v>
      </c>
      <c r="AW99">
        <f t="shared" si="74"/>
        <v>1</v>
      </c>
      <c r="AX99">
        <f t="shared" si="75"/>
        <v>1</v>
      </c>
      <c r="AY99">
        <f t="shared" si="76"/>
        <v>70000</v>
      </c>
      <c r="AZ99">
        <f t="shared" si="77"/>
        <v>70000</v>
      </c>
      <c r="BA99">
        <f t="shared" si="78"/>
        <v>0</v>
      </c>
      <c r="BB99">
        <f t="shared" si="79"/>
        <v>0</v>
      </c>
      <c r="BC99">
        <f t="shared" si="80"/>
        <v>0</v>
      </c>
      <c r="BD99">
        <f t="shared" si="81"/>
        <v>0</v>
      </c>
      <c r="BE99">
        <f t="shared" si="82"/>
        <v>0</v>
      </c>
      <c r="BF99">
        <f t="shared" si="83"/>
        <v>0</v>
      </c>
      <c r="BG99"/>
      <c r="BH99"/>
      <c r="BI99"/>
      <c r="BJ99"/>
      <c r="BK99"/>
      <c r="BL99"/>
      <c r="BM99"/>
      <c r="BN99"/>
      <c r="BO99"/>
      <c r="BP99"/>
      <c r="BQ99"/>
      <c r="BR99"/>
      <c r="BS99"/>
      <c r="BT99"/>
      <c r="BU99"/>
      <c r="BV99"/>
      <c r="BW99"/>
      <c r="BX99"/>
      <c r="BY99"/>
      <c r="BZ99"/>
      <c r="CA99"/>
      <c r="CB99"/>
      <c r="CC99"/>
      <c r="CD99"/>
      <c r="CE99"/>
      <c r="CF99"/>
      <c r="CG99"/>
      <c r="CH99"/>
      <c r="CI99"/>
      <c r="CJ99"/>
      <c r="CK99"/>
      <c r="CL99"/>
      <c r="CM99"/>
      <c r="CN99"/>
      <c r="CO99"/>
      <c r="CP99"/>
      <c r="CQ99"/>
      <c r="CR99"/>
      <c r="CS99"/>
      <c r="CT99"/>
      <c r="CU99"/>
      <c r="CV99"/>
      <c r="CW99"/>
      <c r="CX99"/>
      <c r="CY99"/>
      <c r="CZ99"/>
      <c r="DA99"/>
      <c r="DB99"/>
      <c r="DC99"/>
      <c r="DD99"/>
      <c r="DE99"/>
      <c r="DF99"/>
      <c r="DG99"/>
      <c r="DH99"/>
      <c r="DI99"/>
      <c r="DJ99"/>
      <c r="DK99"/>
      <c r="DL99"/>
      <c r="DM99"/>
      <c r="DN99"/>
      <c r="DO99"/>
      <c r="DP99"/>
      <c r="DQ99"/>
      <c r="DR99"/>
      <c r="DS99"/>
      <c r="DT99"/>
      <c r="DU99"/>
      <c r="DV99"/>
      <c r="DW99"/>
      <c r="DX99"/>
      <c r="DY99"/>
      <c r="DZ99"/>
      <c r="EA99"/>
      <c r="EB99"/>
      <c r="EC99"/>
      <c r="ED99"/>
      <c r="EE99"/>
      <c r="EF99"/>
      <c r="EG99"/>
      <c r="EH99"/>
      <c r="EI99"/>
      <c r="EJ99"/>
      <c r="EK99"/>
      <c r="EL99"/>
      <c r="EM99"/>
      <c r="EN99"/>
      <c r="EO99"/>
      <c r="EP99"/>
      <c r="EQ99"/>
      <c r="ER99"/>
      <c r="ES99"/>
      <c r="ET99"/>
      <c r="EU99"/>
      <c r="EV99"/>
      <c r="EW99"/>
      <c r="EX99"/>
      <c r="EY99"/>
      <c r="EZ99"/>
      <c r="FA99"/>
      <c r="FB99"/>
      <c r="FC99"/>
      <c r="FD99"/>
      <c r="FE99"/>
      <c r="FF99"/>
      <c r="FG99"/>
      <c r="FH99"/>
      <c r="FI99"/>
      <c r="FJ99"/>
      <c r="FK99"/>
      <c r="FL99"/>
      <c r="FM99"/>
      <c r="FN99"/>
      <c r="FO99"/>
      <c r="FP99"/>
      <c r="FQ99"/>
      <c r="FR99"/>
      <c r="FS99"/>
      <c r="FT99"/>
      <c r="FU99"/>
      <c r="FV99"/>
      <c r="FW99"/>
      <c r="FX99"/>
      <c r="FY99"/>
      <c r="FZ99"/>
      <c r="GA99"/>
      <c r="GB99"/>
      <c r="GC99"/>
      <c r="GD99"/>
      <c r="GE99"/>
      <c r="GF99"/>
      <c r="GG99"/>
      <c r="GH99"/>
      <c r="GI99"/>
      <c r="GJ99"/>
      <c r="GK99"/>
      <c r="GL99"/>
      <c r="GM99"/>
      <c r="GN99"/>
      <c r="GO99"/>
      <c r="GP99"/>
      <c r="GQ99"/>
      <c r="GR99"/>
      <c r="GS99"/>
      <c r="GT99"/>
      <c r="GU99"/>
      <c r="GV99"/>
      <c r="GW99"/>
      <c r="GX99"/>
      <c r="GY99"/>
      <c r="GZ99"/>
      <c r="HA99"/>
      <c r="HB99"/>
      <c r="HC99"/>
      <c r="HD99"/>
      <c r="HE99"/>
      <c r="HF99"/>
      <c r="HG99"/>
      <c r="HH99"/>
      <c r="HI99"/>
      <c r="HJ99"/>
      <c r="HK99"/>
      <c r="HL99"/>
      <c r="HM99"/>
      <c r="HN99"/>
      <c r="HO99"/>
      <c r="HP99"/>
      <c r="HQ99"/>
      <c r="HR99"/>
      <c r="HS99"/>
      <c r="HT99"/>
      <c r="HU99"/>
      <c r="HV99"/>
      <c r="HW99"/>
      <c r="HX99"/>
      <c r="HY99"/>
      <c r="HZ99"/>
      <c r="IA99"/>
      <c r="IB99"/>
      <c r="IC99"/>
      <c r="ID99"/>
      <c r="IE99"/>
      <c r="IF99"/>
      <c r="IG99"/>
      <c r="IH99"/>
      <c r="II99"/>
      <c r="IJ99"/>
      <c r="IK99"/>
      <c r="IL99"/>
      <c r="IM99"/>
      <c r="IN99"/>
      <c r="IO99"/>
      <c r="IP99"/>
      <c r="IQ99"/>
      <c r="IR99"/>
      <c r="IS99"/>
      <c r="IT99"/>
      <c r="IU99"/>
      <c r="IV99"/>
    </row>
    <row r="100" spans="1:256" s="201" customFormat="1" ht="14.25" x14ac:dyDescent="0.2">
      <c r="A100" s="10">
        <v>3200</v>
      </c>
      <c r="B100" s="11" t="s">
        <v>443</v>
      </c>
      <c r="C100" s="105" t="s">
        <v>444</v>
      </c>
      <c r="D100" s="11" t="s">
        <v>105</v>
      </c>
      <c r="E100" s="12">
        <v>11990</v>
      </c>
      <c r="F100" s="202">
        <v>33</v>
      </c>
      <c r="G100" s="11">
        <v>60000</v>
      </c>
      <c r="H100" s="116">
        <v>0</v>
      </c>
      <c r="I100" s="192"/>
      <c r="J100" s="204"/>
      <c r="K100" s="193"/>
      <c r="L100" s="193"/>
      <c r="M100" s="193"/>
      <c r="N100" s="203">
        <f t="shared" ref="N100:N131" si="84">IF(H100&gt;0,G100+H100-I100-J100-K100-L100-M100,G100-I100-J100-K100-L100-M100)</f>
        <v>60000</v>
      </c>
      <c r="O100" s="203">
        <f t="shared" ref="O100:O131" si="85">G100+H100-J100-I100-K100-L100-M100</f>
        <v>60000</v>
      </c>
      <c r="P100" s="203">
        <f t="shared" ref="P100:P131" si="86">IF(G100+H100&lt;0,0,G100+H100)</f>
        <v>60000</v>
      </c>
      <c r="Q100" s="214"/>
      <c r="R100" s="219"/>
      <c r="S100" s="217">
        <v>46205</v>
      </c>
      <c r="T100" s="205"/>
      <c r="U100" s="205"/>
      <c r="V100" s="215"/>
      <c r="W100" s="212"/>
      <c r="X100" s="10">
        <v>7</v>
      </c>
      <c r="Y100" s="10">
        <v>7</v>
      </c>
      <c r="Z100" s="213">
        <f t="shared" ref="Z100:Z131" si="87">IF(N100&lt;0,0,N100)</f>
        <v>60000</v>
      </c>
      <c r="AA100" s="62"/>
      <c r="AB100" s="62"/>
      <c r="AC100" s="62"/>
      <c r="AD100" s="62"/>
      <c r="AE100" s="62"/>
      <c r="AF100" s="63"/>
      <c r="AG100" s="64"/>
      <c r="AH100" s="6">
        <v>1</v>
      </c>
      <c r="AI100">
        <f t="shared" ref="AI100:AI131" si="88">IF(F100&lt;=6,15,25)</f>
        <v>25</v>
      </c>
      <c r="AJ100">
        <f t="shared" ref="AJ100:AJ131" si="89">IF(O100&lt;&gt;0,25,15)</f>
        <v>25</v>
      </c>
      <c r="AK100">
        <f t="shared" ref="AK100:AK131" si="90">IF(AI100-T100=24,1,0)</f>
        <v>0</v>
      </c>
      <c r="AL100">
        <f t="shared" ref="AL100:AL131" si="91">IF(AH100-AK100=AH100,0,AH100)</f>
        <v>0</v>
      </c>
      <c r="AM100">
        <f t="shared" ref="AM100:AM131" si="92">IF(AK100&lt;&gt;0,U100,0)</f>
        <v>0</v>
      </c>
      <c r="AN100">
        <f t="shared" ref="AN100:AN131" si="93">IF(AK100=1,O100,0)</f>
        <v>0</v>
      </c>
      <c r="AO100">
        <f t="shared" ref="AO100:AO131" si="94">IF(AI100-T100=14,1,0)</f>
        <v>0</v>
      </c>
      <c r="AP100">
        <f t="shared" ref="AP100:AP131" si="95">IF(AH100-AO100=AH100,0,AH100)</f>
        <v>0</v>
      </c>
      <c r="AQ100">
        <f t="shared" ref="AQ100:AQ131" si="96">IF(AO100&lt;&gt;0,U100,0)</f>
        <v>0</v>
      </c>
      <c r="AR100">
        <f t="shared" ref="AR100:AR131" si="97">IF(AO100=1,O100,0)</f>
        <v>0</v>
      </c>
      <c r="AS100">
        <f t="shared" ref="AS100:AS131" si="98">IF(SUM(I100:M100)&lt;&gt;0,1,0)</f>
        <v>0</v>
      </c>
      <c r="AT100">
        <f t="shared" ref="AT100:AT131" si="99">AS100</f>
        <v>0</v>
      </c>
      <c r="AU100">
        <f t="shared" ref="AU100:AU131" si="100">IF(O100&gt;0,1,0)</f>
        <v>1</v>
      </c>
      <c r="AV100">
        <f t="shared" ref="AV100:AV131" si="101">IF(AK100+AO100+AU100=1,AU100,0)</f>
        <v>1</v>
      </c>
      <c r="AW100">
        <f t="shared" ref="AW100:AW131" si="102">IF(AI100-AV100=24,1,0)</f>
        <v>1</v>
      </c>
      <c r="AX100">
        <f t="shared" ref="AX100:AX131" si="103">IF(AH100-AW100=AH100,0,AH100)</f>
        <v>1</v>
      </c>
      <c r="AY100">
        <f t="shared" ref="AY100:AY131" si="104">IF(AW100=1,O100,0)</f>
        <v>60000</v>
      </c>
      <c r="AZ100">
        <f t="shared" ref="AZ100:AZ131" si="105">IF(AY100-BA100&lt;&gt;0,AY100,0)</f>
        <v>60000</v>
      </c>
      <c r="BA100">
        <f t="shared" ref="BA100:BA131" si="106">IF(AY100&lt;0,AY100,0)</f>
        <v>0</v>
      </c>
      <c r="BB100">
        <f t="shared" ref="BB100:BB131" si="107">IF(AI100-AV100=14,1,0)</f>
        <v>0</v>
      </c>
      <c r="BC100">
        <f t="shared" ref="BC100:BC131" si="108">IF(AH100-BB100=AH100,0,AH100)</f>
        <v>0</v>
      </c>
      <c r="BD100">
        <f t="shared" ref="BD100:BD131" si="109">IF(BB100=1,O100,0)</f>
        <v>0</v>
      </c>
      <c r="BE100">
        <f t="shared" ref="BE100:BE131" si="110">IF(BD100&lt;0,BD100,0)</f>
        <v>0</v>
      </c>
      <c r="BF100">
        <f t="shared" ref="BF100:BF131" si="111">IF(BD100-BE100&lt;&gt;0,BD100,0)</f>
        <v>0</v>
      </c>
      <c r="BG100"/>
      <c r="BH100"/>
      <c r="BI100"/>
      <c r="BJ100"/>
      <c r="BK100"/>
      <c r="BL100"/>
      <c r="BM100"/>
      <c r="BN100"/>
      <c r="BO100"/>
      <c r="BP100"/>
      <c r="BQ100"/>
      <c r="BR100"/>
      <c r="BS100"/>
      <c r="BT100"/>
      <c r="BU100"/>
      <c r="BV100"/>
      <c r="BW100"/>
      <c r="BX100"/>
      <c r="BY100"/>
      <c r="BZ100"/>
      <c r="CA100"/>
      <c r="CB100"/>
      <c r="CC100"/>
      <c r="CD100"/>
      <c r="CE100"/>
      <c r="CF100"/>
      <c r="CG100"/>
      <c r="CH100"/>
      <c r="CI100"/>
      <c r="CJ100"/>
      <c r="CK100"/>
      <c r="CL100"/>
      <c r="CM100"/>
      <c r="CN100"/>
      <c r="CO100"/>
      <c r="CP100"/>
      <c r="CQ100"/>
      <c r="CR100"/>
      <c r="CS100"/>
      <c r="CT100"/>
      <c r="CU100"/>
      <c r="CV100"/>
      <c r="CW100"/>
      <c r="CX100"/>
      <c r="CY100"/>
      <c r="CZ100"/>
      <c r="DA100"/>
      <c r="DB100"/>
      <c r="DC100"/>
      <c r="DD100"/>
      <c r="DE100"/>
      <c r="DF100"/>
      <c r="DG100"/>
      <c r="DH100"/>
      <c r="DI100"/>
      <c r="DJ100"/>
      <c r="DK100"/>
      <c r="DL100"/>
      <c r="DM100"/>
      <c r="DN100"/>
      <c r="DO100"/>
      <c r="DP100"/>
      <c r="DQ100"/>
      <c r="DR100"/>
      <c r="DS100"/>
      <c r="DT100"/>
      <c r="DU100"/>
      <c r="DV100"/>
      <c r="DW100"/>
      <c r="DX100"/>
      <c r="DY100"/>
      <c r="DZ100"/>
      <c r="EA100"/>
      <c r="EB100"/>
      <c r="EC100"/>
      <c r="ED100"/>
      <c r="EE100"/>
      <c r="EF100"/>
      <c r="EG100"/>
      <c r="EH100"/>
      <c r="EI100"/>
      <c r="EJ100"/>
      <c r="EK100"/>
      <c r="EL100"/>
      <c r="EM100"/>
      <c r="EN100"/>
      <c r="EO100"/>
      <c r="EP100"/>
      <c r="EQ100"/>
      <c r="ER100"/>
      <c r="ES100"/>
      <c r="ET100"/>
      <c r="EU100"/>
      <c r="EV100"/>
      <c r="EW100"/>
      <c r="EX100"/>
      <c r="EY100"/>
      <c r="EZ100"/>
      <c r="FA100"/>
      <c r="FB100"/>
      <c r="FC100"/>
      <c r="FD100"/>
      <c r="FE100"/>
      <c r="FF100"/>
      <c r="FG100"/>
      <c r="FH100"/>
      <c r="FI100"/>
      <c r="FJ100"/>
      <c r="FK100"/>
      <c r="FL100"/>
      <c r="FM100"/>
      <c r="FN100"/>
      <c r="FO100"/>
      <c r="FP100"/>
      <c r="FQ100"/>
      <c r="FR100"/>
      <c r="FS100"/>
      <c r="FT100"/>
      <c r="FU100"/>
      <c r="FV100"/>
      <c r="FW100"/>
      <c r="FX100"/>
      <c r="FY100"/>
      <c r="FZ100"/>
      <c r="GA100"/>
      <c r="GB100"/>
      <c r="GC100"/>
      <c r="GD100"/>
      <c r="GE100"/>
      <c r="GF100"/>
      <c r="GG100"/>
      <c r="GH100"/>
      <c r="GI100"/>
      <c r="GJ100"/>
      <c r="GK100"/>
      <c r="GL100"/>
      <c r="GM100"/>
      <c r="GN100"/>
      <c r="GO100"/>
      <c r="GP100"/>
      <c r="GQ100"/>
      <c r="GR100"/>
      <c r="GS100"/>
      <c r="GT100"/>
      <c r="GU100"/>
      <c r="GV100"/>
      <c r="GW100"/>
      <c r="GX100"/>
      <c r="GY100"/>
      <c r="GZ100"/>
      <c r="HA100"/>
      <c r="HB100"/>
      <c r="HC100"/>
      <c r="HD100"/>
      <c r="HE100"/>
      <c r="HF100"/>
      <c r="HG100"/>
      <c r="HH100"/>
      <c r="HI100"/>
      <c r="HJ100"/>
      <c r="HK100"/>
      <c r="HL100"/>
      <c r="HM100"/>
      <c r="HN100"/>
      <c r="HO100"/>
      <c r="HP100"/>
      <c r="HQ100"/>
      <c r="HR100"/>
      <c r="HS100"/>
      <c r="HT100"/>
      <c r="HU100"/>
      <c r="HV100"/>
      <c r="HW100"/>
      <c r="HX100"/>
      <c r="HY100"/>
      <c r="HZ100"/>
      <c r="IA100"/>
      <c r="IB100"/>
      <c r="IC100"/>
      <c r="ID100"/>
      <c r="IE100"/>
      <c r="IF100"/>
      <c r="IG100"/>
      <c r="IH100"/>
      <c r="II100"/>
      <c r="IJ100"/>
      <c r="IK100"/>
      <c r="IL100"/>
      <c r="IM100"/>
      <c r="IN100"/>
      <c r="IO100"/>
      <c r="IP100"/>
      <c r="IQ100"/>
      <c r="IR100"/>
      <c r="IS100"/>
      <c r="IT100"/>
      <c r="IU100"/>
      <c r="IV100"/>
    </row>
    <row r="101" spans="1:256" s="201" customFormat="1" ht="14.25" x14ac:dyDescent="0.2">
      <c r="A101" s="10">
        <v>3203</v>
      </c>
      <c r="B101" s="11" t="s">
        <v>445</v>
      </c>
      <c r="C101" s="105" t="s">
        <v>446</v>
      </c>
      <c r="D101" s="11" t="s">
        <v>144</v>
      </c>
      <c r="E101" s="12">
        <v>20032</v>
      </c>
      <c r="F101" s="202">
        <v>33</v>
      </c>
      <c r="G101" s="11">
        <v>80000</v>
      </c>
      <c r="H101" s="116">
        <v>0</v>
      </c>
      <c r="I101" s="192"/>
      <c r="J101" s="204"/>
      <c r="K101" s="193"/>
      <c r="L101" s="193"/>
      <c r="M101" s="193"/>
      <c r="N101" s="203">
        <f t="shared" si="84"/>
        <v>80000</v>
      </c>
      <c r="O101" s="203">
        <f t="shared" si="85"/>
        <v>80000</v>
      </c>
      <c r="P101" s="203">
        <f t="shared" si="86"/>
        <v>80000</v>
      </c>
      <c r="Q101" s="214"/>
      <c r="R101" s="219"/>
      <c r="S101" s="217">
        <v>46230</v>
      </c>
      <c r="T101" s="205"/>
      <c r="U101" s="205"/>
      <c r="V101" s="215"/>
      <c r="W101" s="212"/>
      <c r="X101" s="10">
        <v>7</v>
      </c>
      <c r="Y101" s="10">
        <v>7</v>
      </c>
      <c r="Z101" s="213">
        <f t="shared" si="87"/>
        <v>80000</v>
      </c>
      <c r="AA101" s="62"/>
      <c r="AB101" s="62"/>
      <c r="AC101" s="62"/>
      <c r="AD101" s="62"/>
      <c r="AE101" s="62"/>
      <c r="AF101" s="63"/>
      <c r="AG101" s="64"/>
      <c r="AH101" s="6">
        <v>1</v>
      </c>
      <c r="AI101">
        <f t="shared" si="88"/>
        <v>25</v>
      </c>
      <c r="AJ101">
        <f t="shared" si="89"/>
        <v>25</v>
      </c>
      <c r="AK101">
        <f t="shared" si="90"/>
        <v>0</v>
      </c>
      <c r="AL101">
        <f t="shared" si="91"/>
        <v>0</v>
      </c>
      <c r="AM101">
        <f t="shared" si="92"/>
        <v>0</v>
      </c>
      <c r="AN101">
        <f t="shared" si="93"/>
        <v>0</v>
      </c>
      <c r="AO101">
        <f t="shared" si="94"/>
        <v>0</v>
      </c>
      <c r="AP101">
        <f t="shared" si="95"/>
        <v>0</v>
      </c>
      <c r="AQ101">
        <f t="shared" si="96"/>
        <v>0</v>
      </c>
      <c r="AR101">
        <f t="shared" si="97"/>
        <v>0</v>
      </c>
      <c r="AS101">
        <f t="shared" si="98"/>
        <v>0</v>
      </c>
      <c r="AT101">
        <f t="shared" si="99"/>
        <v>0</v>
      </c>
      <c r="AU101">
        <f t="shared" si="100"/>
        <v>1</v>
      </c>
      <c r="AV101">
        <f t="shared" si="101"/>
        <v>1</v>
      </c>
      <c r="AW101">
        <f t="shared" si="102"/>
        <v>1</v>
      </c>
      <c r="AX101">
        <f t="shared" si="103"/>
        <v>1</v>
      </c>
      <c r="AY101">
        <f t="shared" si="104"/>
        <v>80000</v>
      </c>
      <c r="AZ101">
        <f t="shared" si="105"/>
        <v>80000</v>
      </c>
      <c r="BA101">
        <f t="shared" si="106"/>
        <v>0</v>
      </c>
      <c r="BB101">
        <f t="shared" si="107"/>
        <v>0</v>
      </c>
      <c r="BC101">
        <f t="shared" si="108"/>
        <v>0</v>
      </c>
      <c r="BD101">
        <f t="shared" si="109"/>
        <v>0</v>
      </c>
      <c r="BE101">
        <f t="shared" si="110"/>
        <v>0</v>
      </c>
      <c r="BF101">
        <f t="shared" si="111"/>
        <v>0</v>
      </c>
      <c r="BG101"/>
      <c r="BH101"/>
      <c r="BI101"/>
      <c r="BJ101"/>
      <c r="BK101"/>
      <c r="BL101"/>
      <c r="BM101"/>
      <c r="BN101"/>
      <c r="BO101"/>
      <c r="BP101"/>
      <c r="BQ101"/>
      <c r="BR101"/>
      <c r="BS101"/>
      <c r="BT101"/>
      <c r="BU101"/>
      <c r="BV101"/>
      <c r="BW101"/>
      <c r="BX101"/>
      <c r="BY101"/>
      <c r="BZ101"/>
      <c r="CA101"/>
      <c r="CB101"/>
      <c r="CC101"/>
      <c r="CD101"/>
      <c r="CE101"/>
      <c r="CF101"/>
      <c r="CG101"/>
      <c r="CH101"/>
      <c r="CI101"/>
      <c r="CJ101"/>
      <c r="CK101"/>
      <c r="CL101"/>
      <c r="CM101"/>
      <c r="CN101"/>
      <c r="CO101"/>
      <c r="CP101"/>
      <c r="CQ101"/>
      <c r="CR101"/>
      <c r="CS101"/>
      <c r="CT101"/>
      <c r="CU101"/>
      <c r="CV101"/>
      <c r="CW101"/>
      <c r="CX101"/>
      <c r="CY101"/>
      <c r="CZ101"/>
      <c r="DA101"/>
      <c r="DB101"/>
      <c r="DC101"/>
      <c r="DD101"/>
      <c r="DE101"/>
      <c r="DF101"/>
      <c r="DG101"/>
      <c r="DH101"/>
      <c r="DI101"/>
      <c r="DJ101"/>
      <c r="DK101"/>
      <c r="DL101"/>
      <c r="DM101"/>
      <c r="DN101"/>
      <c r="DO101"/>
      <c r="DP101"/>
      <c r="DQ101"/>
      <c r="DR101"/>
      <c r="DS101"/>
      <c r="DT101"/>
      <c r="DU101"/>
      <c r="DV101"/>
      <c r="DW101"/>
      <c r="DX101"/>
      <c r="DY101"/>
      <c r="DZ101"/>
      <c r="EA101"/>
      <c r="EB101"/>
      <c r="EC101"/>
      <c r="ED101"/>
      <c r="EE101"/>
      <c r="EF101"/>
      <c r="EG101"/>
      <c r="EH101"/>
      <c r="EI101"/>
      <c r="EJ101"/>
      <c r="EK101"/>
      <c r="EL101"/>
      <c r="EM101"/>
      <c r="EN101"/>
      <c r="EO101"/>
      <c r="EP101"/>
      <c r="EQ101"/>
      <c r="ER101"/>
      <c r="ES101"/>
      <c r="ET101"/>
      <c r="EU101"/>
      <c r="EV101"/>
      <c r="EW101"/>
      <c r="EX101"/>
      <c r="EY101"/>
      <c r="EZ101"/>
      <c r="FA101"/>
      <c r="FB101"/>
      <c r="FC101"/>
      <c r="FD101"/>
      <c r="FE101"/>
      <c r="FF101"/>
      <c r="FG101"/>
      <c r="FH101"/>
      <c r="FI101"/>
      <c r="FJ101"/>
      <c r="FK101"/>
      <c r="FL101"/>
      <c r="FM101"/>
      <c r="FN101"/>
      <c r="FO101"/>
      <c r="FP101"/>
      <c r="FQ101"/>
      <c r="FR101"/>
      <c r="FS101"/>
      <c r="FT101"/>
      <c r="FU101"/>
      <c r="FV101"/>
      <c r="FW101"/>
      <c r="FX101"/>
      <c r="FY101"/>
      <c r="FZ101"/>
      <c r="GA101"/>
      <c r="GB101"/>
      <c r="GC101"/>
      <c r="GD101"/>
      <c r="GE101"/>
      <c r="GF101"/>
      <c r="GG101"/>
      <c r="GH101"/>
      <c r="GI101"/>
      <c r="GJ101"/>
      <c r="GK101"/>
      <c r="GL101"/>
      <c r="GM101"/>
      <c r="GN101"/>
      <c r="GO101"/>
      <c r="GP101"/>
      <c r="GQ101"/>
      <c r="GR101"/>
      <c r="GS101"/>
      <c r="GT101"/>
      <c r="GU101"/>
      <c r="GV101"/>
      <c r="GW101"/>
      <c r="GX101"/>
      <c r="GY101"/>
      <c r="GZ101"/>
      <c r="HA101"/>
      <c r="HB101"/>
      <c r="HC101"/>
      <c r="HD101"/>
      <c r="HE101"/>
      <c r="HF101"/>
      <c r="HG101"/>
      <c r="HH101"/>
      <c r="HI101"/>
      <c r="HJ101"/>
      <c r="HK101"/>
      <c r="HL101"/>
      <c r="HM101"/>
      <c r="HN101"/>
      <c r="HO101"/>
      <c r="HP101"/>
      <c r="HQ101"/>
      <c r="HR101"/>
      <c r="HS101"/>
      <c r="HT101"/>
      <c r="HU101"/>
      <c r="HV101"/>
      <c r="HW101"/>
      <c r="HX101"/>
      <c r="HY101"/>
      <c r="HZ101"/>
      <c r="IA101"/>
      <c r="IB101"/>
      <c r="IC101"/>
      <c r="ID101"/>
      <c r="IE101"/>
      <c r="IF101"/>
      <c r="IG101"/>
      <c r="IH101"/>
      <c r="II101"/>
      <c r="IJ101"/>
      <c r="IK101"/>
      <c r="IL101"/>
      <c r="IM101"/>
      <c r="IN101"/>
      <c r="IO101"/>
      <c r="IP101"/>
      <c r="IQ101"/>
      <c r="IR101"/>
      <c r="IS101"/>
      <c r="IT101"/>
      <c r="IU101"/>
      <c r="IV101"/>
    </row>
    <row r="102" spans="1:256" s="201" customFormat="1" ht="14.25" x14ac:dyDescent="0.2">
      <c r="A102" s="10">
        <v>3211</v>
      </c>
      <c r="B102" s="11" t="s">
        <v>447</v>
      </c>
      <c r="C102" s="105" t="s">
        <v>448</v>
      </c>
      <c r="D102" s="11" t="s">
        <v>157</v>
      </c>
      <c r="E102" s="12">
        <v>20274</v>
      </c>
      <c r="F102" s="202">
        <v>33</v>
      </c>
      <c r="G102" s="11">
        <v>60000</v>
      </c>
      <c r="H102" s="116">
        <v>0</v>
      </c>
      <c r="I102" s="192"/>
      <c r="J102" s="204"/>
      <c r="K102" s="193"/>
      <c r="L102" s="193"/>
      <c r="M102" s="193"/>
      <c r="N102" s="203">
        <f t="shared" si="84"/>
        <v>60000</v>
      </c>
      <c r="O102" s="203">
        <f t="shared" si="85"/>
        <v>60000</v>
      </c>
      <c r="P102" s="203">
        <f t="shared" si="86"/>
        <v>60000</v>
      </c>
      <c r="Q102" s="214"/>
      <c r="R102" s="219"/>
      <c r="S102" s="217">
        <v>46213</v>
      </c>
      <c r="T102" s="205"/>
      <c r="U102" s="205"/>
      <c r="V102" s="215"/>
      <c r="W102" s="212"/>
      <c r="X102" s="10">
        <v>7</v>
      </c>
      <c r="Y102" s="10">
        <v>7</v>
      </c>
      <c r="Z102" s="213">
        <f t="shared" si="87"/>
        <v>60000</v>
      </c>
      <c r="AA102" s="62"/>
      <c r="AB102" s="62"/>
      <c r="AC102" s="62"/>
      <c r="AD102" s="62"/>
      <c r="AE102" s="62"/>
      <c r="AF102" s="63"/>
      <c r="AG102" s="64"/>
      <c r="AH102" s="6">
        <v>1</v>
      </c>
      <c r="AI102">
        <f t="shared" si="88"/>
        <v>25</v>
      </c>
      <c r="AJ102">
        <f t="shared" si="89"/>
        <v>25</v>
      </c>
      <c r="AK102">
        <f t="shared" si="90"/>
        <v>0</v>
      </c>
      <c r="AL102">
        <f t="shared" si="91"/>
        <v>0</v>
      </c>
      <c r="AM102">
        <f t="shared" si="92"/>
        <v>0</v>
      </c>
      <c r="AN102">
        <f t="shared" si="93"/>
        <v>0</v>
      </c>
      <c r="AO102">
        <f t="shared" si="94"/>
        <v>0</v>
      </c>
      <c r="AP102">
        <f t="shared" si="95"/>
        <v>0</v>
      </c>
      <c r="AQ102">
        <f t="shared" si="96"/>
        <v>0</v>
      </c>
      <c r="AR102">
        <f t="shared" si="97"/>
        <v>0</v>
      </c>
      <c r="AS102">
        <f t="shared" si="98"/>
        <v>0</v>
      </c>
      <c r="AT102">
        <f t="shared" si="99"/>
        <v>0</v>
      </c>
      <c r="AU102">
        <f t="shared" si="100"/>
        <v>1</v>
      </c>
      <c r="AV102">
        <f t="shared" si="101"/>
        <v>1</v>
      </c>
      <c r="AW102">
        <f t="shared" si="102"/>
        <v>1</v>
      </c>
      <c r="AX102">
        <f t="shared" si="103"/>
        <v>1</v>
      </c>
      <c r="AY102">
        <f t="shared" si="104"/>
        <v>60000</v>
      </c>
      <c r="AZ102">
        <f t="shared" si="105"/>
        <v>60000</v>
      </c>
      <c r="BA102">
        <f t="shared" si="106"/>
        <v>0</v>
      </c>
      <c r="BB102">
        <f t="shared" si="107"/>
        <v>0</v>
      </c>
      <c r="BC102">
        <f t="shared" si="108"/>
        <v>0</v>
      </c>
      <c r="BD102">
        <f t="shared" si="109"/>
        <v>0</v>
      </c>
      <c r="BE102">
        <f t="shared" si="110"/>
        <v>0</v>
      </c>
      <c r="BF102">
        <f t="shared" si="111"/>
        <v>0</v>
      </c>
      <c r="BG102"/>
      <c r="BH102"/>
      <c r="BI102"/>
      <c r="BJ102"/>
      <c r="BK102"/>
      <c r="BL102"/>
      <c r="BM102"/>
      <c r="BN102"/>
      <c r="BO102"/>
      <c r="BP102"/>
      <c r="BQ102"/>
      <c r="BR102"/>
      <c r="BS102"/>
      <c r="BT102"/>
      <c r="BU102"/>
      <c r="BV102"/>
      <c r="BW102"/>
      <c r="BX102"/>
      <c r="BY102"/>
      <c r="BZ102"/>
      <c r="CA102"/>
      <c r="CB102"/>
      <c r="CC102"/>
      <c r="CD102"/>
      <c r="CE102"/>
      <c r="CF102"/>
      <c r="CG102"/>
      <c r="CH102"/>
      <c r="CI102"/>
      <c r="CJ102"/>
      <c r="CK102"/>
      <c r="CL102"/>
      <c r="CM102"/>
      <c r="CN102"/>
      <c r="CO102"/>
      <c r="CP102"/>
      <c r="CQ102"/>
      <c r="CR102"/>
      <c r="CS102"/>
      <c r="CT102"/>
      <c r="CU102"/>
      <c r="CV102"/>
      <c r="CW102"/>
      <c r="CX102"/>
      <c r="CY102"/>
      <c r="CZ102"/>
      <c r="DA102"/>
      <c r="DB102"/>
      <c r="DC102"/>
      <c r="DD102"/>
      <c r="DE102"/>
      <c r="DF102"/>
      <c r="DG102"/>
      <c r="DH102"/>
      <c r="DI102"/>
      <c r="DJ102"/>
      <c r="DK102"/>
      <c r="DL102"/>
      <c r="DM102"/>
      <c r="DN102"/>
      <c r="DO102"/>
      <c r="DP102"/>
      <c r="DQ102"/>
      <c r="DR102"/>
      <c r="DS102"/>
      <c r="DT102"/>
      <c r="DU102"/>
      <c r="DV102"/>
      <c r="DW102"/>
      <c r="DX102"/>
      <c r="DY102"/>
      <c r="DZ102"/>
      <c r="EA102"/>
      <c r="EB102"/>
      <c r="EC102"/>
      <c r="ED102"/>
      <c r="EE102"/>
      <c r="EF102"/>
      <c r="EG102"/>
      <c r="EH102"/>
      <c r="EI102"/>
      <c r="EJ102"/>
      <c r="EK102"/>
      <c r="EL102"/>
      <c r="EM102"/>
      <c r="EN102"/>
      <c r="EO102"/>
      <c r="EP102"/>
      <c r="EQ102"/>
      <c r="ER102"/>
      <c r="ES102"/>
      <c r="ET102"/>
      <c r="EU102"/>
      <c r="EV102"/>
      <c r="EW102"/>
      <c r="EX102"/>
      <c r="EY102"/>
      <c r="EZ102"/>
      <c r="FA102"/>
      <c r="FB102"/>
      <c r="FC102"/>
      <c r="FD102"/>
      <c r="FE102"/>
      <c r="FF102"/>
      <c r="FG102"/>
      <c r="FH102"/>
      <c r="FI102"/>
      <c r="FJ102"/>
      <c r="FK102"/>
      <c r="FL102"/>
      <c r="FM102"/>
      <c r="FN102"/>
      <c r="FO102"/>
      <c r="FP102"/>
      <c r="FQ102"/>
      <c r="FR102"/>
      <c r="FS102"/>
      <c r="FT102"/>
      <c r="FU102"/>
      <c r="FV102"/>
      <c r="FW102"/>
      <c r="FX102"/>
      <c r="FY102"/>
      <c r="FZ102"/>
      <c r="GA102"/>
      <c r="GB102"/>
      <c r="GC102"/>
      <c r="GD102"/>
      <c r="GE102"/>
      <c r="GF102"/>
      <c r="GG102"/>
      <c r="GH102"/>
      <c r="GI102"/>
      <c r="GJ102"/>
      <c r="GK102"/>
      <c r="GL102"/>
      <c r="GM102"/>
      <c r="GN102"/>
      <c r="GO102"/>
      <c r="GP102"/>
      <c r="GQ102"/>
      <c r="GR102"/>
      <c r="GS102"/>
      <c r="GT102"/>
      <c r="GU102"/>
      <c r="GV102"/>
      <c r="GW102"/>
      <c r="GX102"/>
      <c r="GY102"/>
      <c r="GZ102"/>
      <c r="HA102"/>
      <c r="HB102"/>
      <c r="HC102"/>
      <c r="HD102"/>
      <c r="HE102"/>
      <c r="HF102"/>
      <c r="HG102"/>
      <c r="HH102"/>
      <c r="HI102"/>
      <c r="HJ102"/>
      <c r="HK102"/>
      <c r="HL102"/>
      <c r="HM102"/>
      <c r="HN102"/>
      <c r="HO102"/>
      <c r="HP102"/>
      <c r="HQ102"/>
      <c r="HR102"/>
      <c r="HS102"/>
      <c r="HT102"/>
      <c r="HU102"/>
      <c r="HV102"/>
      <c r="HW102"/>
      <c r="HX102"/>
      <c r="HY102"/>
      <c r="HZ102"/>
      <c r="IA102"/>
      <c r="IB102"/>
      <c r="IC102"/>
      <c r="ID102"/>
      <c r="IE102"/>
      <c r="IF102"/>
      <c r="IG102"/>
      <c r="IH102"/>
      <c r="II102"/>
      <c r="IJ102"/>
      <c r="IK102"/>
      <c r="IL102"/>
      <c r="IM102"/>
      <c r="IN102"/>
      <c r="IO102"/>
      <c r="IP102"/>
      <c r="IQ102"/>
      <c r="IR102"/>
      <c r="IS102"/>
      <c r="IT102"/>
      <c r="IU102"/>
      <c r="IV102"/>
    </row>
    <row r="103" spans="1:256" s="201" customFormat="1" ht="14.25" x14ac:dyDescent="0.2">
      <c r="A103" s="10">
        <v>3223</v>
      </c>
      <c r="B103" s="11" t="s">
        <v>253</v>
      </c>
      <c r="C103" s="105" t="s">
        <v>254</v>
      </c>
      <c r="D103" s="11" t="s">
        <v>105</v>
      </c>
      <c r="E103" s="12">
        <v>268</v>
      </c>
      <c r="F103" s="202">
        <v>32</v>
      </c>
      <c r="G103" s="11">
        <v>40000</v>
      </c>
      <c r="H103" s="116">
        <v>-20000</v>
      </c>
      <c r="I103" s="192"/>
      <c r="J103" s="204"/>
      <c r="K103" s="193"/>
      <c r="L103" s="193"/>
      <c r="M103" s="193"/>
      <c r="N103" s="203">
        <f t="shared" si="84"/>
        <v>40000</v>
      </c>
      <c r="O103" s="203">
        <f t="shared" si="85"/>
        <v>20000</v>
      </c>
      <c r="P103" s="203">
        <f t="shared" si="86"/>
        <v>20000</v>
      </c>
      <c r="Q103" s="214"/>
      <c r="R103" s="219"/>
      <c r="S103" s="217">
        <v>46223</v>
      </c>
      <c r="T103" s="205"/>
      <c r="U103" s="205"/>
      <c r="V103" s="215"/>
      <c r="W103" s="212"/>
      <c r="X103" s="10">
        <v>7</v>
      </c>
      <c r="Y103" s="10">
        <v>7</v>
      </c>
      <c r="Z103" s="213">
        <f t="shared" si="87"/>
        <v>40000</v>
      </c>
      <c r="AA103" s="62"/>
      <c r="AB103" s="62"/>
      <c r="AC103" s="62"/>
      <c r="AD103" s="62"/>
      <c r="AE103" s="62"/>
      <c r="AF103" s="63"/>
      <c r="AG103" s="64"/>
      <c r="AH103" s="6">
        <v>1</v>
      </c>
      <c r="AI103">
        <f t="shared" si="88"/>
        <v>25</v>
      </c>
      <c r="AJ103">
        <f t="shared" si="89"/>
        <v>25</v>
      </c>
      <c r="AK103">
        <f t="shared" si="90"/>
        <v>0</v>
      </c>
      <c r="AL103">
        <f t="shared" si="91"/>
        <v>0</v>
      </c>
      <c r="AM103">
        <f t="shared" si="92"/>
        <v>0</v>
      </c>
      <c r="AN103">
        <f t="shared" si="93"/>
        <v>0</v>
      </c>
      <c r="AO103">
        <f t="shared" si="94"/>
        <v>0</v>
      </c>
      <c r="AP103">
        <f t="shared" si="95"/>
        <v>0</v>
      </c>
      <c r="AQ103">
        <f t="shared" si="96"/>
        <v>0</v>
      </c>
      <c r="AR103">
        <f t="shared" si="97"/>
        <v>0</v>
      </c>
      <c r="AS103">
        <f t="shared" si="98"/>
        <v>0</v>
      </c>
      <c r="AT103">
        <f t="shared" si="99"/>
        <v>0</v>
      </c>
      <c r="AU103">
        <f t="shared" si="100"/>
        <v>1</v>
      </c>
      <c r="AV103">
        <f t="shared" si="101"/>
        <v>1</v>
      </c>
      <c r="AW103">
        <f t="shared" si="102"/>
        <v>1</v>
      </c>
      <c r="AX103">
        <f t="shared" si="103"/>
        <v>1</v>
      </c>
      <c r="AY103">
        <f t="shared" si="104"/>
        <v>20000</v>
      </c>
      <c r="AZ103">
        <f t="shared" si="105"/>
        <v>20000</v>
      </c>
      <c r="BA103">
        <f t="shared" si="106"/>
        <v>0</v>
      </c>
      <c r="BB103">
        <f t="shared" si="107"/>
        <v>0</v>
      </c>
      <c r="BC103">
        <f t="shared" si="108"/>
        <v>0</v>
      </c>
      <c r="BD103">
        <f t="shared" si="109"/>
        <v>0</v>
      </c>
      <c r="BE103">
        <f t="shared" si="110"/>
        <v>0</v>
      </c>
      <c r="BF103">
        <f t="shared" si="111"/>
        <v>0</v>
      </c>
      <c r="BG103"/>
      <c r="BH103"/>
      <c r="BI103"/>
      <c r="BJ103"/>
      <c r="BK103"/>
      <c r="BL103"/>
      <c r="BM103"/>
      <c r="BN103"/>
      <c r="BO103"/>
      <c r="BP103"/>
      <c r="BQ103"/>
      <c r="BR103"/>
      <c r="BS103"/>
      <c r="BT103"/>
      <c r="BU103"/>
      <c r="BV103"/>
      <c r="BW103"/>
      <c r="BX103"/>
      <c r="BY103"/>
      <c r="BZ103"/>
      <c r="CA103"/>
      <c r="CB103"/>
      <c r="CC103"/>
      <c r="CD103"/>
      <c r="CE103"/>
      <c r="CF103"/>
      <c r="CG103"/>
      <c r="CH103"/>
      <c r="CI103"/>
      <c r="CJ103"/>
      <c r="CK103"/>
      <c r="CL103"/>
      <c r="CM103"/>
      <c r="CN103"/>
      <c r="CO103"/>
      <c r="CP103"/>
      <c r="CQ103"/>
      <c r="CR103"/>
      <c r="CS103"/>
      <c r="CT103"/>
      <c r="CU103"/>
      <c r="CV103"/>
      <c r="CW103"/>
      <c r="CX103"/>
      <c r="CY103"/>
      <c r="CZ103"/>
      <c r="DA103"/>
      <c r="DB103"/>
      <c r="DC103"/>
      <c r="DD103"/>
      <c r="DE103"/>
      <c r="DF103"/>
      <c r="DG103"/>
      <c r="DH103"/>
      <c r="DI103"/>
      <c r="DJ103"/>
      <c r="DK103"/>
      <c r="DL103"/>
      <c r="DM103"/>
      <c r="DN103"/>
      <c r="DO103"/>
      <c r="DP103"/>
      <c r="DQ103"/>
      <c r="DR103"/>
      <c r="DS103"/>
      <c r="DT103"/>
      <c r="DU103"/>
      <c r="DV103"/>
      <c r="DW103"/>
      <c r="DX103"/>
      <c r="DY103"/>
      <c r="DZ103"/>
      <c r="EA103"/>
      <c r="EB103"/>
      <c r="EC103"/>
      <c r="ED103"/>
      <c r="EE103"/>
      <c r="EF103"/>
      <c r="EG103"/>
      <c r="EH103"/>
      <c r="EI103"/>
      <c r="EJ103"/>
      <c r="EK103"/>
      <c r="EL103"/>
      <c r="EM103"/>
      <c r="EN103"/>
      <c r="EO103"/>
      <c r="EP103"/>
      <c r="EQ103"/>
      <c r="ER103"/>
      <c r="ES103"/>
      <c r="ET103"/>
      <c r="EU103"/>
      <c r="EV103"/>
      <c r="EW103"/>
      <c r="EX103"/>
      <c r="EY103"/>
      <c r="EZ103"/>
      <c r="FA103"/>
      <c r="FB103"/>
      <c r="FC103"/>
      <c r="FD103"/>
      <c r="FE103"/>
      <c r="FF103"/>
      <c r="FG103"/>
      <c r="FH103"/>
      <c r="FI103"/>
      <c r="FJ103"/>
      <c r="FK103"/>
      <c r="FL103"/>
      <c r="FM103"/>
      <c r="FN103"/>
      <c r="FO103"/>
      <c r="FP103"/>
      <c r="FQ103"/>
      <c r="FR103"/>
      <c r="FS103"/>
      <c r="FT103"/>
      <c r="FU103"/>
      <c r="FV103"/>
      <c r="FW103"/>
      <c r="FX103"/>
      <c r="FY103"/>
      <c r="FZ103"/>
      <c r="GA103"/>
      <c r="GB103"/>
      <c r="GC103"/>
      <c r="GD103"/>
      <c r="GE103"/>
      <c r="GF103"/>
      <c r="GG103"/>
      <c r="GH103"/>
      <c r="GI103"/>
      <c r="GJ103"/>
      <c r="GK103"/>
      <c r="GL103"/>
      <c r="GM103"/>
      <c r="GN103"/>
      <c r="GO103"/>
      <c r="GP103"/>
      <c r="GQ103"/>
      <c r="GR103"/>
      <c r="GS103"/>
      <c r="GT103"/>
      <c r="GU103"/>
      <c r="GV103"/>
      <c r="GW103"/>
      <c r="GX103"/>
      <c r="GY103"/>
      <c r="GZ103"/>
      <c r="HA103"/>
      <c r="HB103"/>
      <c r="HC103"/>
      <c r="HD103"/>
      <c r="HE103"/>
      <c r="HF103"/>
      <c r="HG103"/>
      <c r="HH103"/>
      <c r="HI103"/>
      <c r="HJ103"/>
      <c r="HK103"/>
      <c r="HL103"/>
      <c r="HM103"/>
      <c r="HN103"/>
      <c r="HO103"/>
      <c r="HP103"/>
      <c r="HQ103"/>
      <c r="HR103"/>
      <c r="HS103"/>
      <c r="HT103"/>
      <c r="HU103"/>
      <c r="HV103"/>
      <c r="HW103"/>
      <c r="HX103"/>
      <c r="HY103"/>
      <c r="HZ103"/>
      <c r="IA103"/>
      <c r="IB103"/>
      <c r="IC103"/>
      <c r="ID103"/>
      <c r="IE103"/>
      <c r="IF103"/>
      <c r="IG103"/>
      <c r="IH103"/>
      <c r="II103"/>
      <c r="IJ103"/>
      <c r="IK103"/>
      <c r="IL103"/>
      <c r="IM103"/>
      <c r="IN103"/>
      <c r="IO103"/>
      <c r="IP103"/>
      <c r="IQ103"/>
      <c r="IR103"/>
      <c r="IS103"/>
      <c r="IT103"/>
      <c r="IU103"/>
      <c r="IV103"/>
    </row>
    <row r="104" spans="1:256" s="201" customFormat="1" ht="14.25" x14ac:dyDescent="0.2">
      <c r="A104" s="10">
        <v>3226</v>
      </c>
      <c r="B104" s="11" t="s">
        <v>449</v>
      </c>
      <c r="C104" s="105" t="s">
        <v>450</v>
      </c>
      <c r="D104" s="11" t="s">
        <v>105</v>
      </c>
      <c r="E104" s="12">
        <v>20062</v>
      </c>
      <c r="F104" s="202">
        <v>32</v>
      </c>
      <c r="G104" s="11">
        <v>200000</v>
      </c>
      <c r="H104" s="116">
        <v>-380005</v>
      </c>
      <c r="I104" s="192"/>
      <c r="J104" s="204"/>
      <c r="K104" s="193"/>
      <c r="L104" s="193"/>
      <c r="M104" s="193"/>
      <c r="N104" s="203">
        <f t="shared" si="84"/>
        <v>200000</v>
      </c>
      <c r="O104" s="203">
        <f t="shared" si="85"/>
        <v>-180005</v>
      </c>
      <c r="P104" s="203">
        <f t="shared" si="86"/>
        <v>0</v>
      </c>
      <c r="Q104" s="214"/>
      <c r="R104" s="219"/>
      <c r="S104" s="217">
        <v>46234</v>
      </c>
      <c r="T104" s="205"/>
      <c r="U104" s="205"/>
      <c r="V104" s="215"/>
      <c r="W104" s="212"/>
      <c r="X104" s="10">
        <v>7</v>
      </c>
      <c r="Y104" s="10">
        <v>7</v>
      </c>
      <c r="Z104" s="213">
        <f t="shared" si="87"/>
        <v>200000</v>
      </c>
      <c r="AA104" s="62"/>
      <c r="AB104" s="62"/>
      <c r="AC104" s="62"/>
      <c r="AD104" s="62"/>
      <c r="AE104" s="62"/>
      <c r="AF104" s="63"/>
      <c r="AG104" s="64"/>
      <c r="AH104" s="6">
        <v>1</v>
      </c>
      <c r="AI104">
        <f t="shared" si="88"/>
        <v>25</v>
      </c>
      <c r="AJ104">
        <f t="shared" si="89"/>
        <v>25</v>
      </c>
      <c r="AK104">
        <f t="shared" si="90"/>
        <v>0</v>
      </c>
      <c r="AL104">
        <f t="shared" si="91"/>
        <v>0</v>
      </c>
      <c r="AM104">
        <f t="shared" si="92"/>
        <v>0</v>
      </c>
      <c r="AN104">
        <f t="shared" si="93"/>
        <v>0</v>
      </c>
      <c r="AO104">
        <f t="shared" si="94"/>
        <v>0</v>
      </c>
      <c r="AP104">
        <f t="shared" si="95"/>
        <v>0</v>
      </c>
      <c r="AQ104">
        <f t="shared" si="96"/>
        <v>0</v>
      </c>
      <c r="AR104">
        <f t="shared" si="97"/>
        <v>0</v>
      </c>
      <c r="AS104">
        <f t="shared" si="98"/>
        <v>0</v>
      </c>
      <c r="AT104">
        <f t="shared" si="99"/>
        <v>0</v>
      </c>
      <c r="AU104">
        <f t="shared" si="100"/>
        <v>0</v>
      </c>
      <c r="AV104">
        <f t="shared" si="101"/>
        <v>0</v>
      </c>
      <c r="AW104">
        <f t="shared" si="102"/>
        <v>0</v>
      </c>
      <c r="AX104">
        <f t="shared" si="103"/>
        <v>0</v>
      </c>
      <c r="AY104">
        <f t="shared" si="104"/>
        <v>0</v>
      </c>
      <c r="AZ104">
        <f t="shared" si="105"/>
        <v>0</v>
      </c>
      <c r="BA104">
        <f t="shared" si="106"/>
        <v>0</v>
      </c>
      <c r="BB104">
        <f t="shared" si="107"/>
        <v>0</v>
      </c>
      <c r="BC104">
        <f t="shared" si="108"/>
        <v>0</v>
      </c>
      <c r="BD104">
        <f t="shared" si="109"/>
        <v>0</v>
      </c>
      <c r="BE104">
        <f t="shared" si="110"/>
        <v>0</v>
      </c>
      <c r="BF104">
        <f t="shared" si="111"/>
        <v>0</v>
      </c>
      <c r="BG104"/>
      <c r="BH104"/>
      <c r="BI104"/>
      <c r="BJ104"/>
      <c r="BK104"/>
      <c r="BL104"/>
      <c r="BM104"/>
      <c r="BN104"/>
      <c r="BO104"/>
      <c r="BP104"/>
      <c r="BQ104"/>
      <c r="BR104"/>
      <c r="BS104"/>
      <c r="BT104"/>
      <c r="BU104"/>
      <c r="BV104"/>
      <c r="BW104"/>
      <c r="BX104"/>
      <c r="BY104"/>
      <c r="BZ104"/>
      <c r="CA104"/>
      <c r="CB104"/>
      <c r="CC104"/>
      <c r="CD104"/>
      <c r="CE104"/>
      <c r="CF104"/>
      <c r="CG104"/>
      <c r="CH104"/>
      <c r="CI104"/>
      <c r="CJ104"/>
      <c r="CK104"/>
      <c r="CL104"/>
      <c r="CM104"/>
      <c r="CN104"/>
      <c r="CO104"/>
      <c r="CP104"/>
      <c r="CQ104"/>
      <c r="CR104"/>
      <c r="CS104"/>
      <c r="CT104"/>
      <c r="CU104"/>
      <c r="CV104"/>
      <c r="CW104"/>
      <c r="CX104"/>
      <c r="CY104"/>
      <c r="CZ104"/>
      <c r="DA104"/>
      <c r="DB104"/>
      <c r="DC104"/>
      <c r="DD104"/>
      <c r="DE104"/>
      <c r="DF104"/>
      <c r="DG104"/>
      <c r="DH104"/>
      <c r="DI104"/>
      <c r="DJ104"/>
      <c r="DK104"/>
      <c r="DL104"/>
      <c r="DM104"/>
      <c r="DN104"/>
      <c r="DO104"/>
      <c r="DP104"/>
      <c r="DQ104"/>
      <c r="DR104"/>
      <c r="DS104"/>
      <c r="DT104"/>
      <c r="DU104"/>
      <c r="DV104"/>
      <c r="DW104"/>
      <c r="DX104"/>
      <c r="DY104"/>
      <c r="DZ104"/>
      <c r="EA104"/>
      <c r="EB104"/>
      <c r="EC104"/>
      <c r="ED104"/>
      <c r="EE104"/>
      <c r="EF104"/>
      <c r="EG104"/>
      <c r="EH104"/>
      <c r="EI104"/>
      <c r="EJ104"/>
      <c r="EK104"/>
      <c r="EL104"/>
      <c r="EM104"/>
      <c r="EN104"/>
      <c r="EO104"/>
      <c r="EP104"/>
      <c r="EQ104"/>
      <c r="ER104"/>
      <c r="ES104"/>
      <c r="ET104"/>
      <c r="EU104"/>
      <c r="EV104"/>
      <c r="EW104"/>
      <c r="EX104"/>
      <c r="EY104"/>
      <c r="EZ104"/>
      <c r="FA104"/>
      <c r="FB104"/>
      <c r="FC104"/>
      <c r="FD104"/>
      <c r="FE104"/>
      <c r="FF104"/>
      <c r="FG104"/>
      <c r="FH104"/>
      <c r="FI104"/>
      <c r="FJ104"/>
      <c r="FK104"/>
      <c r="FL104"/>
      <c r="FM104"/>
      <c r="FN104"/>
      <c r="FO104"/>
      <c r="FP104"/>
      <c r="FQ104"/>
      <c r="FR104"/>
      <c r="FS104"/>
      <c r="FT104"/>
      <c r="FU104"/>
      <c r="FV104"/>
      <c r="FW104"/>
      <c r="FX104"/>
      <c r="FY104"/>
      <c r="FZ104"/>
      <c r="GA104"/>
      <c r="GB104"/>
      <c r="GC104"/>
      <c r="GD104"/>
      <c r="GE104"/>
      <c r="GF104"/>
      <c r="GG104"/>
      <c r="GH104"/>
      <c r="GI104"/>
      <c r="GJ104"/>
      <c r="GK104"/>
      <c r="GL104"/>
      <c r="GM104"/>
      <c r="GN104"/>
      <c r="GO104"/>
      <c r="GP104"/>
      <c r="GQ104"/>
      <c r="GR104"/>
      <c r="GS104"/>
      <c r="GT104"/>
      <c r="GU104"/>
      <c r="GV104"/>
      <c r="GW104"/>
      <c r="GX104"/>
      <c r="GY104"/>
      <c r="GZ104"/>
      <c r="HA104"/>
      <c r="HB104"/>
      <c r="HC104"/>
      <c r="HD104"/>
      <c r="HE104"/>
      <c r="HF104"/>
      <c r="HG104"/>
      <c r="HH104"/>
      <c r="HI104"/>
      <c r="HJ104"/>
      <c r="HK104"/>
      <c r="HL104"/>
      <c r="HM104"/>
      <c r="HN104"/>
      <c r="HO104"/>
      <c r="HP104"/>
      <c r="HQ104"/>
      <c r="HR104"/>
      <c r="HS104"/>
      <c r="HT104"/>
      <c r="HU104"/>
      <c r="HV104"/>
      <c r="HW104"/>
      <c r="HX104"/>
      <c r="HY104"/>
      <c r="HZ104"/>
      <c r="IA104"/>
      <c r="IB104"/>
      <c r="IC104"/>
      <c r="ID104"/>
      <c r="IE104"/>
      <c r="IF104"/>
      <c r="IG104"/>
      <c r="IH104"/>
      <c r="II104"/>
      <c r="IJ104"/>
      <c r="IK104"/>
      <c r="IL104"/>
      <c r="IM104"/>
      <c r="IN104"/>
      <c r="IO104"/>
      <c r="IP104"/>
      <c r="IQ104"/>
      <c r="IR104"/>
      <c r="IS104"/>
      <c r="IT104"/>
      <c r="IU104"/>
      <c r="IV104"/>
    </row>
    <row r="105" spans="1:256" s="201" customFormat="1" ht="14.25" x14ac:dyDescent="0.2">
      <c r="A105" s="10">
        <v>3249</v>
      </c>
      <c r="B105" s="11" t="s">
        <v>451</v>
      </c>
      <c r="C105" s="105" t="s">
        <v>452</v>
      </c>
      <c r="D105" s="11" t="s">
        <v>154</v>
      </c>
      <c r="E105" s="12">
        <v>20300</v>
      </c>
      <c r="F105" s="202">
        <v>32</v>
      </c>
      <c r="G105" s="11">
        <v>60000</v>
      </c>
      <c r="H105" s="116">
        <v>60000</v>
      </c>
      <c r="I105" s="192"/>
      <c r="J105" s="204"/>
      <c r="K105" s="193"/>
      <c r="L105" s="193"/>
      <c r="M105" s="193"/>
      <c r="N105" s="203">
        <f t="shared" si="84"/>
        <v>120000</v>
      </c>
      <c r="O105" s="203">
        <f t="shared" si="85"/>
        <v>120000</v>
      </c>
      <c r="P105" s="203">
        <f t="shared" si="86"/>
        <v>120000</v>
      </c>
      <c r="Q105" s="214"/>
      <c r="R105" s="219"/>
      <c r="S105" s="217">
        <v>46211</v>
      </c>
      <c r="T105" s="205"/>
      <c r="U105" s="205"/>
      <c r="V105" s="215"/>
      <c r="W105" s="212"/>
      <c r="X105" s="10">
        <v>7</v>
      </c>
      <c r="Y105" s="10">
        <v>7</v>
      </c>
      <c r="Z105" s="213">
        <f t="shared" si="87"/>
        <v>120000</v>
      </c>
      <c r="AA105" s="62"/>
      <c r="AB105" s="62"/>
      <c r="AC105" s="62"/>
      <c r="AD105" s="62"/>
      <c r="AE105" s="62"/>
      <c r="AF105" s="63"/>
      <c r="AG105" s="64"/>
      <c r="AH105" s="6">
        <v>1</v>
      </c>
      <c r="AI105">
        <f t="shared" si="88"/>
        <v>25</v>
      </c>
      <c r="AJ105">
        <f t="shared" si="89"/>
        <v>25</v>
      </c>
      <c r="AK105">
        <f t="shared" si="90"/>
        <v>0</v>
      </c>
      <c r="AL105">
        <f t="shared" si="91"/>
        <v>0</v>
      </c>
      <c r="AM105">
        <f t="shared" si="92"/>
        <v>0</v>
      </c>
      <c r="AN105">
        <f t="shared" si="93"/>
        <v>0</v>
      </c>
      <c r="AO105">
        <f t="shared" si="94"/>
        <v>0</v>
      </c>
      <c r="AP105">
        <f t="shared" si="95"/>
        <v>0</v>
      </c>
      <c r="AQ105">
        <f t="shared" si="96"/>
        <v>0</v>
      </c>
      <c r="AR105">
        <f t="shared" si="97"/>
        <v>0</v>
      </c>
      <c r="AS105">
        <f t="shared" si="98"/>
        <v>0</v>
      </c>
      <c r="AT105">
        <f t="shared" si="99"/>
        <v>0</v>
      </c>
      <c r="AU105">
        <f t="shared" si="100"/>
        <v>1</v>
      </c>
      <c r="AV105">
        <f t="shared" si="101"/>
        <v>1</v>
      </c>
      <c r="AW105">
        <f t="shared" si="102"/>
        <v>1</v>
      </c>
      <c r="AX105">
        <f t="shared" si="103"/>
        <v>1</v>
      </c>
      <c r="AY105">
        <f t="shared" si="104"/>
        <v>120000</v>
      </c>
      <c r="AZ105">
        <f t="shared" si="105"/>
        <v>120000</v>
      </c>
      <c r="BA105">
        <f t="shared" si="106"/>
        <v>0</v>
      </c>
      <c r="BB105">
        <f t="shared" si="107"/>
        <v>0</v>
      </c>
      <c r="BC105">
        <f t="shared" si="108"/>
        <v>0</v>
      </c>
      <c r="BD105">
        <f t="shared" si="109"/>
        <v>0</v>
      </c>
      <c r="BE105">
        <f t="shared" si="110"/>
        <v>0</v>
      </c>
      <c r="BF105">
        <f t="shared" si="111"/>
        <v>0</v>
      </c>
      <c r="BG105"/>
      <c r="BH105"/>
      <c r="BI105"/>
      <c r="BJ105"/>
      <c r="BK105"/>
      <c r="BL105"/>
      <c r="BM105"/>
      <c r="BN105"/>
      <c r="BO105"/>
      <c r="BP105"/>
      <c r="BQ105"/>
      <c r="BR105"/>
      <c r="BS105"/>
      <c r="BT105"/>
      <c r="BU105"/>
      <c r="BV105"/>
      <c r="BW105"/>
      <c r="BX105"/>
      <c r="BY105"/>
      <c r="BZ105"/>
      <c r="CA105"/>
      <c r="CB105"/>
      <c r="CC105"/>
      <c r="CD105"/>
      <c r="CE105"/>
      <c r="CF105"/>
      <c r="CG105"/>
      <c r="CH105"/>
      <c r="CI105"/>
      <c r="CJ105"/>
      <c r="CK105"/>
      <c r="CL105"/>
      <c r="CM105"/>
      <c r="CN105"/>
      <c r="CO105"/>
      <c r="CP105"/>
      <c r="CQ105"/>
      <c r="CR105"/>
      <c r="CS105"/>
      <c r="CT105"/>
      <c r="CU105"/>
      <c r="CV105"/>
      <c r="CW105"/>
      <c r="CX105"/>
      <c r="CY105"/>
      <c r="CZ105"/>
      <c r="DA105"/>
      <c r="DB105"/>
      <c r="DC105"/>
      <c r="DD105"/>
      <c r="DE105"/>
      <c r="DF105"/>
      <c r="DG105"/>
      <c r="DH105"/>
      <c r="DI105"/>
      <c r="DJ105"/>
      <c r="DK105"/>
      <c r="DL105"/>
      <c r="DM105"/>
      <c r="DN105"/>
      <c r="DO105"/>
      <c r="DP105"/>
      <c r="DQ105"/>
      <c r="DR105"/>
      <c r="DS105"/>
      <c r="DT105"/>
      <c r="DU105"/>
      <c r="DV105"/>
      <c r="DW105"/>
      <c r="DX105"/>
      <c r="DY105"/>
      <c r="DZ105"/>
      <c r="EA105"/>
      <c r="EB105"/>
      <c r="EC105"/>
      <c r="ED105"/>
      <c r="EE105"/>
      <c r="EF105"/>
      <c r="EG105"/>
      <c r="EH105"/>
      <c r="EI105"/>
      <c r="EJ105"/>
      <c r="EK105"/>
      <c r="EL105"/>
      <c r="EM105"/>
      <c r="EN105"/>
      <c r="EO105"/>
      <c r="EP105"/>
      <c r="EQ105"/>
      <c r="ER105"/>
      <c r="ES105"/>
      <c r="ET105"/>
      <c r="EU105"/>
      <c r="EV105"/>
      <c r="EW105"/>
      <c r="EX105"/>
      <c r="EY105"/>
      <c r="EZ105"/>
      <c r="FA105"/>
      <c r="FB105"/>
      <c r="FC105"/>
      <c r="FD105"/>
      <c r="FE105"/>
      <c r="FF105"/>
      <c r="FG105"/>
      <c r="FH105"/>
      <c r="FI105"/>
      <c r="FJ105"/>
      <c r="FK105"/>
      <c r="FL105"/>
      <c r="FM105"/>
      <c r="FN105"/>
      <c r="FO105"/>
      <c r="FP105"/>
      <c r="FQ105"/>
      <c r="FR105"/>
      <c r="FS105"/>
      <c r="FT105"/>
      <c r="FU105"/>
      <c r="FV105"/>
      <c r="FW105"/>
      <c r="FX105"/>
      <c r="FY105"/>
      <c r="FZ105"/>
      <c r="GA105"/>
      <c r="GB105"/>
      <c r="GC105"/>
      <c r="GD105"/>
      <c r="GE105"/>
      <c r="GF105"/>
      <c r="GG105"/>
      <c r="GH105"/>
      <c r="GI105"/>
      <c r="GJ105"/>
      <c r="GK105"/>
      <c r="GL105"/>
      <c r="GM105"/>
      <c r="GN105"/>
      <c r="GO105"/>
      <c r="GP105"/>
      <c r="GQ105"/>
      <c r="GR105"/>
      <c r="GS105"/>
      <c r="GT105"/>
      <c r="GU105"/>
      <c r="GV105"/>
      <c r="GW105"/>
      <c r="GX105"/>
      <c r="GY105"/>
      <c r="GZ105"/>
      <c r="HA105"/>
      <c r="HB105"/>
      <c r="HC105"/>
      <c r="HD105"/>
      <c r="HE105"/>
      <c r="HF105"/>
      <c r="HG105"/>
      <c r="HH105"/>
      <c r="HI105"/>
      <c r="HJ105"/>
      <c r="HK105"/>
      <c r="HL105"/>
      <c r="HM105"/>
      <c r="HN105"/>
      <c r="HO105"/>
      <c r="HP105"/>
      <c r="HQ105"/>
      <c r="HR105"/>
      <c r="HS105"/>
      <c r="HT105"/>
      <c r="HU105"/>
      <c r="HV105"/>
      <c r="HW105"/>
      <c r="HX105"/>
      <c r="HY105"/>
      <c r="HZ105"/>
      <c r="IA105"/>
      <c r="IB105"/>
      <c r="IC105"/>
      <c r="ID105"/>
      <c r="IE105"/>
      <c r="IF105"/>
      <c r="IG105"/>
      <c r="IH105"/>
      <c r="II105"/>
      <c r="IJ105"/>
      <c r="IK105"/>
      <c r="IL105"/>
      <c r="IM105"/>
      <c r="IN105"/>
      <c r="IO105"/>
      <c r="IP105"/>
      <c r="IQ105"/>
      <c r="IR105"/>
      <c r="IS105"/>
      <c r="IT105"/>
      <c r="IU105"/>
      <c r="IV105"/>
    </row>
    <row r="106" spans="1:256" s="201" customFormat="1" ht="14.25" x14ac:dyDescent="0.2">
      <c r="A106" s="10">
        <v>3250</v>
      </c>
      <c r="B106" s="11" t="s">
        <v>453</v>
      </c>
      <c r="C106" s="105" t="s">
        <v>454</v>
      </c>
      <c r="D106" s="11" t="s">
        <v>154</v>
      </c>
      <c r="E106" s="12">
        <v>20073</v>
      </c>
      <c r="F106" s="202">
        <v>31</v>
      </c>
      <c r="G106" s="11">
        <v>99999.99</v>
      </c>
      <c r="H106" s="116">
        <v>-0.22000000000000003</v>
      </c>
      <c r="I106" s="192"/>
      <c r="J106" s="204"/>
      <c r="K106" s="193"/>
      <c r="L106" s="193"/>
      <c r="M106" s="193"/>
      <c r="N106" s="203">
        <f t="shared" si="84"/>
        <v>99999.99</v>
      </c>
      <c r="O106" s="203">
        <f t="shared" si="85"/>
        <v>99999.77</v>
      </c>
      <c r="P106" s="203">
        <f t="shared" si="86"/>
        <v>99999.77</v>
      </c>
      <c r="Q106" s="214"/>
      <c r="R106" s="219"/>
      <c r="S106" s="217">
        <v>46205</v>
      </c>
      <c r="T106" s="205"/>
      <c r="U106" s="205"/>
      <c r="V106" s="215"/>
      <c r="W106" s="212"/>
      <c r="X106" s="10">
        <v>7</v>
      </c>
      <c r="Y106" s="10">
        <v>7</v>
      </c>
      <c r="Z106" s="213">
        <f t="shared" si="87"/>
        <v>99999.99</v>
      </c>
      <c r="AA106" s="62"/>
      <c r="AB106" s="62"/>
      <c r="AC106" s="62"/>
      <c r="AD106" s="62"/>
      <c r="AE106" s="62"/>
      <c r="AF106" s="63"/>
      <c r="AG106" s="64"/>
      <c r="AH106" s="6">
        <v>1</v>
      </c>
      <c r="AI106">
        <f t="shared" si="88"/>
        <v>25</v>
      </c>
      <c r="AJ106">
        <f t="shared" si="89"/>
        <v>25</v>
      </c>
      <c r="AK106">
        <f t="shared" si="90"/>
        <v>0</v>
      </c>
      <c r="AL106">
        <f t="shared" si="91"/>
        <v>0</v>
      </c>
      <c r="AM106">
        <f t="shared" si="92"/>
        <v>0</v>
      </c>
      <c r="AN106">
        <f t="shared" si="93"/>
        <v>0</v>
      </c>
      <c r="AO106">
        <f t="shared" si="94"/>
        <v>0</v>
      </c>
      <c r="AP106">
        <f t="shared" si="95"/>
        <v>0</v>
      </c>
      <c r="AQ106">
        <f t="shared" si="96"/>
        <v>0</v>
      </c>
      <c r="AR106">
        <f t="shared" si="97"/>
        <v>0</v>
      </c>
      <c r="AS106">
        <f t="shared" si="98"/>
        <v>0</v>
      </c>
      <c r="AT106">
        <f t="shared" si="99"/>
        <v>0</v>
      </c>
      <c r="AU106">
        <f t="shared" si="100"/>
        <v>1</v>
      </c>
      <c r="AV106">
        <f t="shared" si="101"/>
        <v>1</v>
      </c>
      <c r="AW106">
        <f t="shared" si="102"/>
        <v>1</v>
      </c>
      <c r="AX106">
        <f t="shared" si="103"/>
        <v>1</v>
      </c>
      <c r="AY106">
        <f t="shared" si="104"/>
        <v>99999.77</v>
      </c>
      <c r="AZ106">
        <f t="shared" si="105"/>
        <v>99999.77</v>
      </c>
      <c r="BA106">
        <f t="shared" si="106"/>
        <v>0</v>
      </c>
      <c r="BB106">
        <f t="shared" si="107"/>
        <v>0</v>
      </c>
      <c r="BC106">
        <f t="shared" si="108"/>
        <v>0</v>
      </c>
      <c r="BD106">
        <f t="shared" si="109"/>
        <v>0</v>
      </c>
      <c r="BE106">
        <f t="shared" si="110"/>
        <v>0</v>
      </c>
      <c r="BF106">
        <f t="shared" si="111"/>
        <v>0</v>
      </c>
      <c r="BG106"/>
      <c r="BH106"/>
      <c r="BI106"/>
      <c r="BJ106"/>
      <c r="BK106"/>
      <c r="BL106"/>
      <c r="BM106"/>
      <c r="BN106"/>
      <c r="BO106"/>
      <c r="BP106"/>
      <c r="BQ106"/>
      <c r="BR106"/>
      <c r="BS106"/>
      <c r="BT106"/>
      <c r="BU106"/>
      <c r="BV106"/>
      <c r="BW106"/>
      <c r="BX106"/>
      <c r="BY106"/>
      <c r="BZ106"/>
      <c r="CA106"/>
      <c r="CB106"/>
      <c r="CC106"/>
      <c r="CD106"/>
      <c r="CE106"/>
      <c r="CF106"/>
      <c r="CG106"/>
      <c r="CH106"/>
      <c r="CI106"/>
      <c r="CJ106"/>
      <c r="CK106"/>
      <c r="CL106"/>
      <c r="CM106"/>
      <c r="CN106"/>
      <c r="CO106"/>
      <c r="CP106"/>
      <c r="CQ106"/>
      <c r="CR106"/>
      <c r="CS106"/>
      <c r="CT106"/>
      <c r="CU106"/>
      <c r="CV106"/>
      <c r="CW106"/>
      <c r="CX106"/>
      <c r="CY106"/>
      <c r="CZ106"/>
      <c r="DA106"/>
      <c r="DB106"/>
      <c r="DC106"/>
      <c r="DD106"/>
      <c r="DE106"/>
      <c r="DF106"/>
      <c r="DG106"/>
      <c r="DH106"/>
      <c r="DI106"/>
      <c r="DJ106"/>
      <c r="DK106"/>
      <c r="DL106"/>
      <c r="DM106"/>
      <c r="DN106"/>
      <c r="DO106"/>
      <c r="DP106"/>
      <c r="DQ106"/>
      <c r="DR106"/>
      <c r="DS106"/>
      <c r="DT106"/>
      <c r="DU106"/>
      <c r="DV106"/>
      <c r="DW106"/>
      <c r="DX106"/>
      <c r="DY106"/>
      <c r="DZ106"/>
      <c r="EA106"/>
      <c r="EB106"/>
      <c r="EC106"/>
      <c r="ED106"/>
      <c r="EE106"/>
      <c r="EF106"/>
      <c r="EG106"/>
      <c r="EH106"/>
      <c r="EI106"/>
      <c r="EJ106"/>
      <c r="EK106"/>
      <c r="EL106"/>
      <c r="EM106"/>
      <c r="EN106"/>
      <c r="EO106"/>
      <c r="EP106"/>
      <c r="EQ106"/>
      <c r="ER106"/>
      <c r="ES106"/>
      <c r="ET106"/>
      <c r="EU106"/>
      <c r="EV106"/>
      <c r="EW106"/>
      <c r="EX106"/>
      <c r="EY106"/>
      <c r="EZ106"/>
      <c r="FA106"/>
      <c r="FB106"/>
      <c r="FC106"/>
      <c r="FD106"/>
      <c r="FE106"/>
      <c r="FF106"/>
      <c r="FG106"/>
      <c r="FH106"/>
      <c r="FI106"/>
      <c r="FJ106"/>
      <c r="FK106"/>
      <c r="FL106"/>
      <c r="FM106"/>
      <c r="FN106"/>
      <c r="FO106"/>
      <c r="FP106"/>
      <c r="FQ106"/>
      <c r="FR106"/>
      <c r="FS106"/>
      <c r="FT106"/>
      <c r="FU106"/>
      <c r="FV106"/>
      <c r="FW106"/>
      <c r="FX106"/>
      <c r="FY106"/>
      <c r="FZ106"/>
      <c r="GA106"/>
      <c r="GB106"/>
      <c r="GC106"/>
      <c r="GD106"/>
      <c r="GE106"/>
      <c r="GF106"/>
      <c r="GG106"/>
      <c r="GH106"/>
      <c r="GI106"/>
      <c r="GJ106"/>
      <c r="GK106"/>
      <c r="GL106"/>
      <c r="GM106"/>
      <c r="GN106"/>
      <c r="GO106"/>
      <c r="GP106"/>
      <c r="GQ106"/>
      <c r="GR106"/>
      <c r="GS106"/>
      <c r="GT106"/>
      <c r="GU106"/>
      <c r="GV106"/>
      <c r="GW106"/>
      <c r="GX106"/>
      <c r="GY106"/>
      <c r="GZ106"/>
      <c r="HA106"/>
      <c r="HB106"/>
      <c r="HC106"/>
      <c r="HD106"/>
      <c r="HE106"/>
      <c r="HF106"/>
      <c r="HG106"/>
      <c r="HH106"/>
      <c r="HI106"/>
      <c r="HJ106"/>
      <c r="HK106"/>
      <c r="HL106"/>
      <c r="HM106"/>
      <c r="HN106"/>
      <c r="HO106"/>
      <c r="HP106"/>
      <c r="HQ106"/>
      <c r="HR106"/>
      <c r="HS106"/>
      <c r="HT106"/>
      <c r="HU106"/>
      <c r="HV106"/>
      <c r="HW106"/>
      <c r="HX106"/>
      <c r="HY106"/>
      <c r="HZ106"/>
      <c r="IA106"/>
      <c r="IB106"/>
      <c r="IC106"/>
      <c r="ID106"/>
      <c r="IE106"/>
      <c r="IF106"/>
      <c r="IG106"/>
      <c r="IH106"/>
      <c r="II106"/>
      <c r="IJ106"/>
      <c r="IK106"/>
      <c r="IL106"/>
      <c r="IM106"/>
      <c r="IN106"/>
      <c r="IO106"/>
      <c r="IP106"/>
      <c r="IQ106"/>
      <c r="IR106"/>
      <c r="IS106"/>
      <c r="IT106"/>
      <c r="IU106"/>
      <c r="IV106"/>
    </row>
    <row r="107" spans="1:256" s="201" customFormat="1" ht="14.25" x14ac:dyDescent="0.2">
      <c r="A107" s="10">
        <v>3251</v>
      </c>
      <c r="B107" s="11" t="s">
        <v>455</v>
      </c>
      <c r="C107" s="105" t="s">
        <v>456</v>
      </c>
      <c r="D107" s="11" t="s">
        <v>106</v>
      </c>
      <c r="E107" s="12">
        <v>20298</v>
      </c>
      <c r="F107" s="202">
        <v>31</v>
      </c>
      <c r="G107" s="11">
        <v>70000</v>
      </c>
      <c r="H107" s="116">
        <v>-4000</v>
      </c>
      <c r="I107" s="192"/>
      <c r="J107" s="204"/>
      <c r="K107" s="193"/>
      <c r="L107" s="193"/>
      <c r="M107" s="193"/>
      <c r="N107" s="203">
        <f t="shared" si="84"/>
        <v>70000</v>
      </c>
      <c r="O107" s="203">
        <f t="shared" si="85"/>
        <v>66000</v>
      </c>
      <c r="P107" s="203">
        <f t="shared" si="86"/>
        <v>66000</v>
      </c>
      <c r="Q107" s="214"/>
      <c r="R107" s="219"/>
      <c r="S107" s="217">
        <v>46178</v>
      </c>
      <c r="T107" s="205"/>
      <c r="U107" s="205"/>
      <c r="V107" s="215"/>
      <c r="W107" s="212"/>
      <c r="X107" s="10">
        <v>7</v>
      </c>
      <c r="Y107" s="10">
        <v>7</v>
      </c>
      <c r="Z107" s="213">
        <f t="shared" si="87"/>
        <v>70000</v>
      </c>
      <c r="AA107" s="62"/>
      <c r="AB107" s="62"/>
      <c r="AC107" s="62"/>
      <c r="AD107" s="62"/>
      <c r="AE107" s="62"/>
      <c r="AF107" s="63"/>
      <c r="AG107" s="64"/>
      <c r="AH107" s="6">
        <v>1</v>
      </c>
      <c r="AI107">
        <f t="shared" si="88"/>
        <v>25</v>
      </c>
      <c r="AJ107">
        <f t="shared" si="89"/>
        <v>25</v>
      </c>
      <c r="AK107">
        <f t="shared" si="90"/>
        <v>0</v>
      </c>
      <c r="AL107">
        <f t="shared" si="91"/>
        <v>0</v>
      </c>
      <c r="AM107">
        <f t="shared" si="92"/>
        <v>0</v>
      </c>
      <c r="AN107">
        <f t="shared" si="93"/>
        <v>0</v>
      </c>
      <c r="AO107">
        <f t="shared" si="94"/>
        <v>0</v>
      </c>
      <c r="AP107">
        <f t="shared" si="95"/>
        <v>0</v>
      </c>
      <c r="AQ107">
        <f t="shared" si="96"/>
        <v>0</v>
      </c>
      <c r="AR107">
        <f t="shared" si="97"/>
        <v>0</v>
      </c>
      <c r="AS107">
        <f t="shared" si="98"/>
        <v>0</v>
      </c>
      <c r="AT107">
        <f t="shared" si="99"/>
        <v>0</v>
      </c>
      <c r="AU107">
        <f t="shared" si="100"/>
        <v>1</v>
      </c>
      <c r="AV107">
        <f t="shared" si="101"/>
        <v>1</v>
      </c>
      <c r="AW107">
        <f t="shared" si="102"/>
        <v>1</v>
      </c>
      <c r="AX107">
        <f t="shared" si="103"/>
        <v>1</v>
      </c>
      <c r="AY107">
        <f t="shared" si="104"/>
        <v>66000</v>
      </c>
      <c r="AZ107">
        <f t="shared" si="105"/>
        <v>66000</v>
      </c>
      <c r="BA107">
        <f t="shared" si="106"/>
        <v>0</v>
      </c>
      <c r="BB107">
        <f t="shared" si="107"/>
        <v>0</v>
      </c>
      <c r="BC107">
        <f t="shared" si="108"/>
        <v>0</v>
      </c>
      <c r="BD107">
        <f t="shared" si="109"/>
        <v>0</v>
      </c>
      <c r="BE107">
        <f t="shared" si="110"/>
        <v>0</v>
      </c>
      <c r="BF107">
        <f t="shared" si="111"/>
        <v>0</v>
      </c>
      <c r="BG107"/>
      <c r="BH107"/>
      <c r="BI107"/>
      <c r="BJ107"/>
      <c r="BK107"/>
      <c r="BL107"/>
      <c r="BM107"/>
      <c r="BN107"/>
      <c r="BO107"/>
      <c r="BP107"/>
      <c r="BQ107"/>
      <c r="BR107"/>
      <c r="BS107"/>
      <c r="BT107"/>
      <c r="BU107"/>
      <c r="BV107"/>
      <c r="BW107"/>
      <c r="BX107"/>
      <c r="BY107"/>
      <c r="BZ107"/>
      <c r="CA107"/>
      <c r="CB107"/>
      <c r="CC107"/>
      <c r="CD107"/>
      <c r="CE107"/>
      <c r="CF107"/>
      <c r="CG107"/>
      <c r="CH107"/>
      <c r="CI107"/>
      <c r="CJ107"/>
      <c r="CK107"/>
      <c r="CL107"/>
      <c r="CM107"/>
      <c r="CN107"/>
      <c r="CO107"/>
      <c r="CP107"/>
      <c r="CQ107"/>
      <c r="CR107"/>
      <c r="CS107"/>
      <c r="CT107"/>
      <c r="CU107"/>
      <c r="CV107"/>
      <c r="CW107"/>
      <c r="CX107"/>
      <c r="CY107"/>
      <c r="CZ107"/>
      <c r="DA107"/>
      <c r="DB107"/>
      <c r="DC107"/>
      <c r="DD107"/>
      <c r="DE107"/>
      <c r="DF107"/>
      <c r="DG107"/>
      <c r="DH107"/>
      <c r="DI107"/>
      <c r="DJ107"/>
      <c r="DK107"/>
      <c r="DL107"/>
      <c r="DM107"/>
      <c r="DN107"/>
      <c r="DO107"/>
      <c r="DP107"/>
      <c r="DQ107"/>
      <c r="DR107"/>
      <c r="DS107"/>
      <c r="DT107"/>
      <c r="DU107"/>
      <c r="DV107"/>
      <c r="DW107"/>
      <c r="DX107"/>
      <c r="DY107"/>
      <c r="DZ107"/>
      <c r="EA107"/>
      <c r="EB107"/>
      <c r="EC107"/>
      <c r="ED107"/>
      <c r="EE107"/>
      <c r="EF107"/>
      <c r="EG107"/>
      <c r="EH107"/>
      <c r="EI107"/>
      <c r="EJ107"/>
      <c r="EK107"/>
      <c r="EL107"/>
      <c r="EM107"/>
      <c r="EN107"/>
      <c r="EO107"/>
      <c r="EP107"/>
      <c r="EQ107"/>
      <c r="ER107"/>
      <c r="ES107"/>
      <c r="ET107"/>
      <c r="EU107"/>
      <c r="EV107"/>
      <c r="EW107"/>
      <c r="EX107"/>
      <c r="EY107"/>
      <c r="EZ107"/>
      <c r="FA107"/>
      <c r="FB107"/>
      <c r="FC107"/>
      <c r="FD107"/>
      <c r="FE107"/>
      <c r="FF107"/>
      <c r="FG107"/>
      <c r="FH107"/>
      <c r="FI107"/>
      <c r="FJ107"/>
      <c r="FK107"/>
      <c r="FL107"/>
      <c r="FM107"/>
      <c r="FN107"/>
      <c r="FO107"/>
      <c r="FP107"/>
      <c r="FQ107"/>
      <c r="FR107"/>
      <c r="FS107"/>
      <c r="FT107"/>
      <c r="FU107"/>
      <c r="FV107"/>
      <c r="FW107"/>
      <c r="FX107"/>
      <c r="FY107"/>
      <c r="FZ107"/>
      <c r="GA107"/>
      <c r="GB107"/>
      <c r="GC107"/>
      <c r="GD107"/>
      <c r="GE107"/>
      <c r="GF107"/>
      <c r="GG107"/>
      <c r="GH107"/>
      <c r="GI107"/>
      <c r="GJ107"/>
      <c r="GK107"/>
      <c r="GL107"/>
      <c r="GM107"/>
      <c r="GN107"/>
      <c r="GO107"/>
      <c r="GP107"/>
      <c r="GQ107"/>
      <c r="GR107"/>
      <c r="GS107"/>
      <c r="GT107"/>
      <c r="GU107"/>
      <c r="GV107"/>
      <c r="GW107"/>
      <c r="GX107"/>
      <c r="GY107"/>
      <c r="GZ107"/>
      <c r="HA107"/>
      <c r="HB107"/>
      <c r="HC107"/>
      <c r="HD107"/>
      <c r="HE107"/>
      <c r="HF107"/>
      <c r="HG107"/>
      <c r="HH107"/>
      <c r="HI107"/>
      <c r="HJ107"/>
      <c r="HK107"/>
      <c r="HL107"/>
      <c r="HM107"/>
      <c r="HN107"/>
      <c r="HO107"/>
      <c r="HP107"/>
      <c r="HQ107"/>
      <c r="HR107"/>
      <c r="HS107"/>
      <c r="HT107"/>
      <c r="HU107"/>
      <c r="HV107"/>
      <c r="HW107"/>
      <c r="HX107"/>
      <c r="HY107"/>
      <c r="HZ107"/>
      <c r="IA107"/>
      <c r="IB107"/>
      <c r="IC107"/>
      <c r="ID107"/>
      <c r="IE107"/>
      <c r="IF107"/>
      <c r="IG107"/>
      <c r="IH107"/>
      <c r="II107"/>
      <c r="IJ107"/>
      <c r="IK107"/>
      <c r="IL107"/>
      <c r="IM107"/>
      <c r="IN107"/>
      <c r="IO107"/>
      <c r="IP107"/>
      <c r="IQ107"/>
      <c r="IR107"/>
      <c r="IS107"/>
      <c r="IT107"/>
      <c r="IU107"/>
      <c r="IV107"/>
    </row>
    <row r="108" spans="1:256" s="201" customFormat="1" ht="14.25" x14ac:dyDescent="0.2">
      <c r="A108" s="10">
        <v>3267</v>
      </c>
      <c r="B108" s="11" t="s">
        <v>384</v>
      </c>
      <c r="C108" s="105" t="s">
        <v>457</v>
      </c>
      <c r="D108" s="11" t="s">
        <v>369</v>
      </c>
      <c r="E108" s="12">
        <v>3974</v>
      </c>
      <c r="F108" s="202">
        <v>31</v>
      </c>
      <c r="G108" s="11">
        <v>55000</v>
      </c>
      <c r="H108" s="116">
        <v>0</v>
      </c>
      <c r="I108" s="192"/>
      <c r="J108" s="204"/>
      <c r="K108" s="193"/>
      <c r="L108" s="193"/>
      <c r="M108" s="193"/>
      <c r="N108" s="203">
        <f t="shared" si="84"/>
        <v>55000</v>
      </c>
      <c r="O108" s="203">
        <f t="shared" si="85"/>
        <v>55000</v>
      </c>
      <c r="P108" s="203">
        <f t="shared" si="86"/>
        <v>55000</v>
      </c>
      <c r="Q108" s="214"/>
      <c r="R108" s="219"/>
      <c r="S108" s="217">
        <v>46220</v>
      </c>
      <c r="T108" s="205"/>
      <c r="U108" s="205"/>
      <c r="V108" s="215"/>
      <c r="W108" s="212"/>
      <c r="X108" s="10">
        <v>7</v>
      </c>
      <c r="Y108" s="10">
        <v>7</v>
      </c>
      <c r="Z108" s="213">
        <f t="shared" si="87"/>
        <v>55000</v>
      </c>
      <c r="AA108" s="62"/>
      <c r="AB108" s="62"/>
      <c r="AC108" s="62"/>
      <c r="AD108" s="62"/>
      <c r="AE108" s="62"/>
      <c r="AF108" s="63"/>
      <c r="AG108" s="64"/>
      <c r="AH108" s="6">
        <v>1</v>
      </c>
      <c r="AI108">
        <f t="shared" si="88"/>
        <v>25</v>
      </c>
      <c r="AJ108">
        <f t="shared" si="89"/>
        <v>25</v>
      </c>
      <c r="AK108">
        <f t="shared" si="90"/>
        <v>0</v>
      </c>
      <c r="AL108">
        <f t="shared" si="91"/>
        <v>0</v>
      </c>
      <c r="AM108">
        <f t="shared" si="92"/>
        <v>0</v>
      </c>
      <c r="AN108">
        <f t="shared" si="93"/>
        <v>0</v>
      </c>
      <c r="AO108">
        <f t="shared" si="94"/>
        <v>0</v>
      </c>
      <c r="AP108">
        <f t="shared" si="95"/>
        <v>0</v>
      </c>
      <c r="AQ108">
        <f t="shared" si="96"/>
        <v>0</v>
      </c>
      <c r="AR108">
        <f t="shared" si="97"/>
        <v>0</v>
      </c>
      <c r="AS108">
        <f t="shared" si="98"/>
        <v>0</v>
      </c>
      <c r="AT108">
        <f t="shared" si="99"/>
        <v>0</v>
      </c>
      <c r="AU108">
        <f t="shared" si="100"/>
        <v>1</v>
      </c>
      <c r="AV108">
        <f t="shared" si="101"/>
        <v>1</v>
      </c>
      <c r="AW108">
        <f t="shared" si="102"/>
        <v>1</v>
      </c>
      <c r="AX108">
        <f t="shared" si="103"/>
        <v>1</v>
      </c>
      <c r="AY108">
        <f t="shared" si="104"/>
        <v>55000</v>
      </c>
      <c r="AZ108">
        <f t="shared" si="105"/>
        <v>55000</v>
      </c>
      <c r="BA108">
        <f t="shared" si="106"/>
        <v>0</v>
      </c>
      <c r="BB108">
        <f t="shared" si="107"/>
        <v>0</v>
      </c>
      <c r="BC108">
        <f t="shared" si="108"/>
        <v>0</v>
      </c>
      <c r="BD108">
        <f t="shared" si="109"/>
        <v>0</v>
      </c>
      <c r="BE108">
        <f t="shared" si="110"/>
        <v>0</v>
      </c>
      <c r="BF108">
        <f t="shared" si="111"/>
        <v>0</v>
      </c>
      <c r="BG108"/>
      <c r="BH108"/>
      <c r="BI108"/>
      <c r="BJ108"/>
      <c r="BK108"/>
      <c r="BL108"/>
      <c r="BM108"/>
      <c r="BN108"/>
      <c r="BO108"/>
      <c r="BP108"/>
      <c r="BQ108"/>
      <c r="BR108"/>
      <c r="BS108"/>
      <c r="BT108"/>
      <c r="BU108"/>
      <c r="BV108"/>
      <c r="BW108"/>
      <c r="BX108"/>
      <c r="BY108"/>
      <c r="BZ108"/>
      <c r="CA108"/>
      <c r="CB108"/>
      <c r="CC108"/>
      <c r="CD108"/>
      <c r="CE108"/>
      <c r="CF108"/>
      <c r="CG108"/>
      <c r="CH108"/>
      <c r="CI108"/>
      <c r="CJ108"/>
      <c r="CK108"/>
      <c r="CL108"/>
      <c r="CM108"/>
      <c r="CN108"/>
      <c r="CO108"/>
      <c r="CP108"/>
      <c r="CQ108"/>
      <c r="CR108"/>
      <c r="CS108"/>
      <c r="CT108"/>
      <c r="CU108"/>
      <c r="CV108"/>
      <c r="CW108"/>
      <c r="CX108"/>
      <c r="CY108"/>
      <c r="CZ108"/>
      <c r="DA108"/>
      <c r="DB108"/>
      <c r="DC108"/>
      <c r="DD108"/>
      <c r="DE108"/>
      <c r="DF108"/>
      <c r="DG108"/>
      <c r="DH108"/>
      <c r="DI108"/>
      <c r="DJ108"/>
      <c r="DK108"/>
      <c r="DL108"/>
      <c r="DM108"/>
      <c r="DN108"/>
      <c r="DO108"/>
      <c r="DP108"/>
      <c r="DQ108"/>
      <c r="DR108"/>
      <c r="DS108"/>
      <c r="DT108"/>
      <c r="DU108"/>
      <c r="DV108"/>
      <c r="DW108"/>
      <c r="DX108"/>
      <c r="DY108"/>
      <c r="DZ108"/>
      <c r="EA108"/>
      <c r="EB108"/>
      <c r="EC108"/>
      <c r="ED108"/>
      <c r="EE108"/>
      <c r="EF108"/>
      <c r="EG108"/>
      <c r="EH108"/>
      <c r="EI108"/>
      <c r="EJ108"/>
      <c r="EK108"/>
      <c r="EL108"/>
      <c r="EM108"/>
      <c r="EN108"/>
      <c r="EO108"/>
      <c r="EP108"/>
      <c r="EQ108"/>
      <c r="ER108"/>
      <c r="ES108"/>
      <c r="ET108"/>
      <c r="EU108"/>
      <c r="EV108"/>
      <c r="EW108"/>
      <c r="EX108"/>
      <c r="EY108"/>
      <c r="EZ108"/>
      <c r="FA108"/>
      <c r="FB108"/>
      <c r="FC108"/>
      <c r="FD108"/>
      <c r="FE108"/>
      <c r="FF108"/>
      <c r="FG108"/>
      <c r="FH108"/>
      <c r="FI108"/>
      <c r="FJ108"/>
      <c r="FK108"/>
      <c r="FL108"/>
      <c r="FM108"/>
      <c r="FN108"/>
      <c r="FO108"/>
      <c r="FP108"/>
      <c r="FQ108"/>
      <c r="FR108"/>
      <c r="FS108"/>
      <c r="FT108"/>
      <c r="FU108"/>
      <c r="FV108"/>
      <c r="FW108"/>
      <c r="FX108"/>
      <c r="FY108"/>
      <c r="FZ108"/>
      <c r="GA108"/>
      <c r="GB108"/>
      <c r="GC108"/>
      <c r="GD108"/>
      <c r="GE108"/>
      <c r="GF108"/>
      <c r="GG108"/>
      <c r="GH108"/>
      <c r="GI108"/>
      <c r="GJ108"/>
      <c r="GK108"/>
      <c r="GL108"/>
      <c r="GM108"/>
      <c r="GN108"/>
      <c r="GO108"/>
      <c r="GP108"/>
      <c r="GQ108"/>
      <c r="GR108"/>
      <c r="GS108"/>
      <c r="GT108"/>
      <c r="GU108"/>
      <c r="GV108"/>
      <c r="GW108"/>
      <c r="GX108"/>
      <c r="GY108"/>
      <c r="GZ108"/>
      <c r="HA108"/>
      <c r="HB108"/>
      <c r="HC108"/>
      <c r="HD108"/>
      <c r="HE108"/>
      <c r="HF108"/>
      <c r="HG108"/>
      <c r="HH108"/>
      <c r="HI108"/>
      <c r="HJ108"/>
      <c r="HK108"/>
      <c r="HL108"/>
      <c r="HM108"/>
      <c r="HN108"/>
      <c r="HO108"/>
      <c r="HP108"/>
      <c r="HQ108"/>
      <c r="HR108"/>
      <c r="HS108"/>
      <c r="HT108"/>
      <c r="HU108"/>
      <c r="HV108"/>
      <c r="HW108"/>
      <c r="HX108"/>
      <c r="HY108"/>
      <c r="HZ108"/>
      <c r="IA108"/>
      <c r="IB108"/>
      <c r="IC108"/>
      <c r="ID108"/>
      <c r="IE108"/>
      <c r="IF108"/>
      <c r="IG108"/>
      <c r="IH108"/>
      <c r="II108"/>
      <c r="IJ108"/>
      <c r="IK108"/>
      <c r="IL108"/>
      <c r="IM108"/>
      <c r="IN108"/>
      <c r="IO108"/>
      <c r="IP108"/>
      <c r="IQ108"/>
      <c r="IR108"/>
      <c r="IS108"/>
      <c r="IT108"/>
      <c r="IU108"/>
      <c r="IV108"/>
    </row>
    <row r="109" spans="1:256" s="201" customFormat="1" ht="14.25" x14ac:dyDescent="0.2">
      <c r="A109" s="10">
        <v>3300</v>
      </c>
      <c r="B109" s="11" t="s">
        <v>285</v>
      </c>
      <c r="C109" s="105" t="s">
        <v>286</v>
      </c>
      <c r="D109" s="11" t="s">
        <v>144</v>
      </c>
      <c r="E109" s="12">
        <v>20118</v>
      </c>
      <c r="F109" s="202">
        <v>29</v>
      </c>
      <c r="G109" s="11">
        <v>50000</v>
      </c>
      <c r="H109" s="116">
        <v>0</v>
      </c>
      <c r="I109" s="192"/>
      <c r="J109" s="204"/>
      <c r="K109" s="193"/>
      <c r="L109" s="193"/>
      <c r="M109" s="193"/>
      <c r="N109" s="203">
        <f t="shared" si="84"/>
        <v>50000</v>
      </c>
      <c r="O109" s="203">
        <f t="shared" si="85"/>
        <v>50000</v>
      </c>
      <c r="P109" s="203">
        <f t="shared" si="86"/>
        <v>50000</v>
      </c>
      <c r="Q109" s="214"/>
      <c r="R109" s="219"/>
      <c r="S109" s="217">
        <v>46203</v>
      </c>
      <c r="T109" s="205"/>
      <c r="U109" s="205"/>
      <c r="V109" s="215"/>
      <c r="W109" s="212"/>
      <c r="X109" s="10">
        <v>7</v>
      </c>
      <c r="Y109" s="10">
        <v>7</v>
      </c>
      <c r="Z109" s="213">
        <f t="shared" si="87"/>
        <v>50000</v>
      </c>
      <c r="AA109" s="62"/>
      <c r="AB109" s="62"/>
      <c r="AC109" s="62"/>
      <c r="AD109" s="62"/>
      <c r="AE109" s="62"/>
      <c r="AF109" s="63"/>
      <c r="AG109" s="64"/>
      <c r="AH109" s="6">
        <v>1</v>
      </c>
      <c r="AI109">
        <f t="shared" si="88"/>
        <v>25</v>
      </c>
      <c r="AJ109">
        <f t="shared" si="89"/>
        <v>25</v>
      </c>
      <c r="AK109">
        <f t="shared" si="90"/>
        <v>0</v>
      </c>
      <c r="AL109">
        <f t="shared" si="91"/>
        <v>0</v>
      </c>
      <c r="AM109">
        <f t="shared" si="92"/>
        <v>0</v>
      </c>
      <c r="AN109">
        <f t="shared" si="93"/>
        <v>0</v>
      </c>
      <c r="AO109">
        <f t="shared" si="94"/>
        <v>0</v>
      </c>
      <c r="AP109">
        <f t="shared" si="95"/>
        <v>0</v>
      </c>
      <c r="AQ109">
        <f t="shared" si="96"/>
        <v>0</v>
      </c>
      <c r="AR109">
        <f t="shared" si="97"/>
        <v>0</v>
      </c>
      <c r="AS109">
        <f t="shared" si="98"/>
        <v>0</v>
      </c>
      <c r="AT109">
        <f t="shared" si="99"/>
        <v>0</v>
      </c>
      <c r="AU109">
        <f t="shared" si="100"/>
        <v>1</v>
      </c>
      <c r="AV109">
        <f t="shared" si="101"/>
        <v>1</v>
      </c>
      <c r="AW109">
        <f t="shared" si="102"/>
        <v>1</v>
      </c>
      <c r="AX109">
        <f t="shared" si="103"/>
        <v>1</v>
      </c>
      <c r="AY109">
        <f t="shared" si="104"/>
        <v>50000</v>
      </c>
      <c r="AZ109">
        <f t="shared" si="105"/>
        <v>50000</v>
      </c>
      <c r="BA109">
        <f t="shared" si="106"/>
        <v>0</v>
      </c>
      <c r="BB109">
        <f t="shared" si="107"/>
        <v>0</v>
      </c>
      <c r="BC109">
        <f t="shared" si="108"/>
        <v>0</v>
      </c>
      <c r="BD109">
        <f t="shared" si="109"/>
        <v>0</v>
      </c>
      <c r="BE109">
        <f t="shared" si="110"/>
        <v>0</v>
      </c>
      <c r="BF109">
        <f t="shared" si="111"/>
        <v>0</v>
      </c>
      <c r="BG109"/>
      <c r="BH109"/>
      <c r="BI109"/>
      <c r="BJ109"/>
      <c r="BK109"/>
      <c r="BL109"/>
      <c r="BM109"/>
      <c r="BN109"/>
      <c r="BO109"/>
      <c r="BP109"/>
      <c r="BQ109"/>
      <c r="BR109"/>
      <c r="BS109"/>
      <c r="BT109"/>
      <c r="BU109"/>
      <c r="BV109"/>
      <c r="BW109"/>
      <c r="BX109"/>
      <c r="BY109"/>
      <c r="BZ109"/>
      <c r="CA109"/>
      <c r="CB109"/>
      <c r="CC109"/>
      <c r="CD109"/>
      <c r="CE109"/>
      <c r="CF109"/>
      <c r="CG109"/>
      <c r="CH109"/>
      <c r="CI109"/>
      <c r="CJ109"/>
      <c r="CK109"/>
      <c r="CL109"/>
      <c r="CM109"/>
      <c r="CN109"/>
      <c r="CO109"/>
      <c r="CP109"/>
      <c r="CQ109"/>
      <c r="CR109"/>
      <c r="CS109"/>
      <c r="CT109"/>
      <c r="CU109"/>
      <c r="CV109"/>
      <c r="CW109"/>
      <c r="CX109"/>
      <c r="CY109"/>
      <c r="CZ109"/>
      <c r="DA109"/>
      <c r="DB109"/>
      <c r="DC109"/>
      <c r="DD109"/>
      <c r="DE109"/>
      <c r="DF109"/>
      <c r="DG109"/>
      <c r="DH109"/>
      <c r="DI109"/>
      <c r="DJ109"/>
      <c r="DK109"/>
      <c r="DL109"/>
      <c r="DM109"/>
      <c r="DN109"/>
      <c r="DO109"/>
      <c r="DP109"/>
      <c r="DQ109"/>
      <c r="DR109"/>
      <c r="DS109"/>
      <c r="DT109"/>
      <c r="DU109"/>
      <c r="DV109"/>
      <c r="DW109"/>
      <c r="DX109"/>
      <c r="DY109"/>
      <c r="DZ109"/>
      <c r="EA109"/>
      <c r="EB109"/>
      <c r="EC109"/>
      <c r="ED109"/>
      <c r="EE109"/>
      <c r="EF109"/>
      <c r="EG109"/>
      <c r="EH109"/>
      <c r="EI109"/>
      <c r="EJ109"/>
      <c r="EK109"/>
      <c r="EL109"/>
      <c r="EM109"/>
      <c r="EN109"/>
      <c r="EO109"/>
      <c r="EP109"/>
      <c r="EQ109"/>
      <c r="ER109"/>
      <c r="ES109"/>
      <c r="ET109"/>
      <c r="EU109"/>
      <c r="EV109"/>
      <c r="EW109"/>
      <c r="EX109"/>
      <c r="EY109"/>
      <c r="EZ109"/>
      <c r="FA109"/>
      <c r="FB109"/>
      <c r="FC109"/>
      <c r="FD109"/>
      <c r="FE109"/>
      <c r="FF109"/>
      <c r="FG109"/>
      <c r="FH109"/>
      <c r="FI109"/>
      <c r="FJ109"/>
      <c r="FK109"/>
      <c r="FL109"/>
      <c r="FM109"/>
      <c r="FN109"/>
      <c r="FO109"/>
      <c r="FP109"/>
      <c r="FQ109"/>
      <c r="FR109"/>
      <c r="FS109"/>
      <c r="FT109"/>
      <c r="FU109"/>
      <c r="FV109"/>
      <c r="FW109"/>
      <c r="FX109"/>
      <c r="FY109"/>
      <c r="FZ109"/>
      <c r="GA109"/>
      <c r="GB109"/>
      <c r="GC109"/>
      <c r="GD109"/>
      <c r="GE109"/>
      <c r="GF109"/>
      <c r="GG109"/>
      <c r="GH109"/>
      <c r="GI109"/>
      <c r="GJ109"/>
      <c r="GK109"/>
      <c r="GL109"/>
      <c r="GM109"/>
      <c r="GN109"/>
      <c r="GO109"/>
      <c r="GP109"/>
      <c r="GQ109"/>
      <c r="GR109"/>
      <c r="GS109"/>
      <c r="GT109"/>
      <c r="GU109"/>
      <c r="GV109"/>
      <c r="GW109"/>
      <c r="GX109"/>
      <c r="GY109"/>
      <c r="GZ109"/>
      <c r="HA109"/>
      <c r="HB109"/>
      <c r="HC109"/>
      <c r="HD109"/>
      <c r="HE109"/>
      <c r="HF109"/>
      <c r="HG109"/>
      <c r="HH109"/>
      <c r="HI109"/>
      <c r="HJ109"/>
      <c r="HK109"/>
      <c r="HL109"/>
      <c r="HM109"/>
      <c r="HN109"/>
      <c r="HO109"/>
      <c r="HP109"/>
      <c r="HQ109"/>
      <c r="HR109"/>
      <c r="HS109"/>
      <c r="HT109"/>
      <c r="HU109"/>
      <c r="HV109"/>
      <c r="HW109"/>
      <c r="HX109"/>
      <c r="HY109"/>
      <c r="HZ109"/>
      <c r="IA109"/>
      <c r="IB109"/>
      <c r="IC109"/>
      <c r="ID109"/>
      <c r="IE109"/>
      <c r="IF109"/>
      <c r="IG109"/>
      <c r="IH109"/>
      <c r="II109"/>
      <c r="IJ109"/>
      <c r="IK109"/>
      <c r="IL109"/>
      <c r="IM109"/>
      <c r="IN109"/>
      <c r="IO109"/>
      <c r="IP109"/>
      <c r="IQ109"/>
      <c r="IR109"/>
      <c r="IS109"/>
      <c r="IT109"/>
      <c r="IU109"/>
      <c r="IV109"/>
    </row>
    <row r="110" spans="1:256" s="201" customFormat="1" ht="14.25" x14ac:dyDescent="0.2">
      <c r="A110" s="10">
        <v>3303</v>
      </c>
      <c r="B110" s="11" t="s">
        <v>458</v>
      </c>
      <c r="C110" s="105" t="s">
        <v>459</v>
      </c>
      <c r="D110" s="11" t="s">
        <v>106</v>
      </c>
      <c r="E110" s="12">
        <v>20123</v>
      </c>
      <c r="F110" s="202">
        <v>29</v>
      </c>
      <c r="G110" s="11">
        <v>60000</v>
      </c>
      <c r="H110" s="116">
        <v>-60000</v>
      </c>
      <c r="I110" s="192"/>
      <c r="J110" s="204"/>
      <c r="K110" s="193"/>
      <c r="L110" s="193"/>
      <c r="M110" s="193"/>
      <c r="N110" s="203">
        <f t="shared" si="84"/>
        <v>60000</v>
      </c>
      <c r="O110" s="203">
        <f t="shared" si="85"/>
        <v>0</v>
      </c>
      <c r="P110" s="203">
        <f t="shared" si="86"/>
        <v>0</v>
      </c>
      <c r="Q110" s="214"/>
      <c r="R110" s="219"/>
      <c r="S110" s="217">
        <v>46204</v>
      </c>
      <c r="T110" s="205"/>
      <c r="U110" s="205"/>
      <c r="V110" s="215"/>
      <c r="W110" s="212"/>
      <c r="X110" s="10">
        <v>7</v>
      </c>
      <c r="Y110" s="10">
        <v>7</v>
      </c>
      <c r="Z110" s="213">
        <f t="shared" si="87"/>
        <v>60000</v>
      </c>
      <c r="AA110" s="62"/>
      <c r="AB110" s="62"/>
      <c r="AC110" s="62"/>
      <c r="AD110" s="62"/>
      <c r="AE110" s="62"/>
      <c r="AF110" s="63"/>
      <c r="AG110" s="64"/>
      <c r="AH110" s="6">
        <v>1</v>
      </c>
      <c r="AI110">
        <f t="shared" si="88"/>
        <v>25</v>
      </c>
      <c r="AJ110">
        <f t="shared" si="89"/>
        <v>15</v>
      </c>
      <c r="AK110">
        <f t="shared" si="90"/>
        <v>0</v>
      </c>
      <c r="AL110">
        <f t="shared" si="91"/>
        <v>0</v>
      </c>
      <c r="AM110">
        <f t="shared" si="92"/>
        <v>0</v>
      </c>
      <c r="AN110">
        <f t="shared" si="93"/>
        <v>0</v>
      </c>
      <c r="AO110">
        <f t="shared" si="94"/>
        <v>0</v>
      </c>
      <c r="AP110">
        <f t="shared" si="95"/>
        <v>0</v>
      </c>
      <c r="AQ110">
        <f t="shared" si="96"/>
        <v>0</v>
      </c>
      <c r="AR110">
        <f t="shared" si="97"/>
        <v>0</v>
      </c>
      <c r="AS110">
        <f t="shared" si="98"/>
        <v>0</v>
      </c>
      <c r="AT110">
        <f t="shared" si="99"/>
        <v>0</v>
      </c>
      <c r="AU110">
        <f t="shared" si="100"/>
        <v>0</v>
      </c>
      <c r="AV110">
        <f t="shared" si="101"/>
        <v>0</v>
      </c>
      <c r="AW110">
        <f t="shared" si="102"/>
        <v>0</v>
      </c>
      <c r="AX110">
        <f t="shared" si="103"/>
        <v>0</v>
      </c>
      <c r="AY110">
        <f t="shared" si="104"/>
        <v>0</v>
      </c>
      <c r="AZ110">
        <f t="shared" si="105"/>
        <v>0</v>
      </c>
      <c r="BA110">
        <f t="shared" si="106"/>
        <v>0</v>
      </c>
      <c r="BB110">
        <f t="shared" si="107"/>
        <v>0</v>
      </c>
      <c r="BC110">
        <f t="shared" si="108"/>
        <v>0</v>
      </c>
      <c r="BD110">
        <f t="shared" si="109"/>
        <v>0</v>
      </c>
      <c r="BE110">
        <f t="shared" si="110"/>
        <v>0</v>
      </c>
      <c r="BF110">
        <f t="shared" si="111"/>
        <v>0</v>
      </c>
      <c r="BG110"/>
      <c r="BH110"/>
      <c r="BI110"/>
      <c r="BJ110"/>
      <c r="BK110"/>
      <c r="BL110"/>
      <c r="BM110"/>
      <c r="BN110"/>
      <c r="BO110"/>
      <c r="BP110"/>
      <c r="BQ110"/>
      <c r="BR110"/>
      <c r="BS110"/>
      <c r="BT110"/>
      <c r="BU110"/>
      <c r="BV110"/>
      <c r="BW110"/>
      <c r="BX110"/>
      <c r="BY110"/>
      <c r="BZ110"/>
      <c r="CA110"/>
      <c r="CB110"/>
      <c r="CC110"/>
      <c r="CD110"/>
      <c r="CE110"/>
      <c r="CF110"/>
      <c r="CG110"/>
      <c r="CH110"/>
      <c r="CI110"/>
      <c r="CJ110"/>
      <c r="CK110"/>
      <c r="CL110"/>
      <c r="CM110"/>
      <c r="CN110"/>
      <c r="CO110"/>
      <c r="CP110"/>
      <c r="CQ110"/>
      <c r="CR110"/>
      <c r="CS110"/>
      <c r="CT110"/>
      <c r="CU110"/>
      <c r="CV110"/>
      <c r="CW110"/>
      <c r="CX110"/>
      <c r="CY110"/>
      <c r="CZ110"/>
      <c r="DA110"/>
      <c r="DB110"/>
      <c r="DC110"/>
      <c r="DD110"/>
      <c r="DE110"/>
      <c r="DF110"/>
      <c r="DG110"/>
      <c r="DH110"/>
      <c r="DI110"/>
      <c r="DJ110"/>
      <c r="DK110"/>
      <c r="DL110"/>
      <c r="DM110"/>
      <c r="DN110"/>
      <c r="DO110"/>
      <c r="DP110"/>
      <c r="DQ110"/>
      <c r="DR110"/>
      <c r="DS110"/>
      <c r="DT110"/>
      <c r="DU110"/>
      <c r="DV110"/>
      <c r="DW110"/>
      <c r="DX110"/>
      <c r="DY110"/>
      <c r="DZ110"/>
      <c r="EA110"/>
      <c r="EB110"/>
      <c r="EC110"/>
      <c r="ED110"/>
      <c r="EE110"/>
      <c r="EF110"/>
      <c r="EG110"/>
      <c r="EH110"/>
      <c r="EI110"/>
      <c r="EJ110"/>
      <c r="EK110"/>
      <c r="EL110"/>
      <c r="EM110"/>
      <c r="EN110"/>
      <c r="EO110"/>
      <c r="EP110"/>
      <c r="EQ110"/>
      <c r="ER110"/>
      <c r="ES110"/>
      <c r="ET110"/>
      <c r="EU110"/>
      <c r="EV110"/>
      <c r="EW110"/>
      <c r="EX110"/>
      <c r="EY110"/>
      <c r="EZ110"/>
      <c r="FA110"/>
      <c r="FB110"/>
      <c r="FC110"/>
      <c r="FD110"/>
      <c r="FE110"/>
      <c r="FF110"/>
      <c r="FG110"/>
      <c r="FH110"/>
      <c r="FI110"/>
      <c r="FJ110"/>
      <c r="FK110"/>
      <c r="FL110"/>
      <c r="FM110"/>
      <c r="FN110"/>
      <c r="FO110"/>
      <c r="FP110"/>
      <c r="FQ110"/>
      <c r="FR110"/>
      <c r="FS110"/>
      <c r="FT110"/>
      <c r="FU110"/>
      <c r="FV110"/>
      <c r="FW110"/>
      <c r="FX110"/>
      <c r="FY110"/>
      <c r="FZ110"/>
      <c r="GA110"/>
      <c r="GB110"/>
      <c r="GC110"/>
      <c r="GD110"/>
      <c r="GE110"/>
      <c r="GF110"/>
      <c r="GG110"/>
      <c r="GH110"/>
      <c r="GI110"/>
      <c r="GJ110"/>
      <c r="GK110"/>
      <c r="GL110"/>
      <c r="GM110"/>
      <c r="GN110"/>
      <c r="GO110"/>
      <c r="GP110"/>
      <c r="GQ110"/>
      <c r="GR110"/>
      <c r="GS110"/>
      <c r="GT110"/>
      <c r="GU110"/>
      <c r="GV110"/>
      <c r="GW110"/>
      <c r="GX110"/>
      <c r="GY110"/>
      <c r="GZ110"/>
      <c r="HA110"/>
      <c r="HB110"/>
      <c r="HC110"/>
      <c r="HD110"/>
      <c r="HE110"/>
      <c r="HF110"/>
      <c r="HG110"/>
      <c r="HH110"/>
      <c r="HI110"/>
      <c r="HJ110"/>
      <c r="HK110"/>
      <c r="HL110"/>
      <c r="HM110"/>
      <c r="HN110"/>
      <c r="HO110"/>
      <c r="HP110"/>
      <c r="HQ110"/>
      <c r="HR110"/>
      <c r="HS110"/>
      <c r="HT110"/>
      <c r="HU110"/>
      <c r="HV110"/>
      <c r="HW110"/>
      <c r="HX110"/>
      <c r="HY110"/>
      <c r="HZ110"/>
      <c r="IA110"/>
      <c r="IB110"/>
      <c r="IC110"/>
      <c r="ID110"/>
      <c r="IE110"/>
      <c r="IF110"/>
      <c r="IG110"/>
      <c r="IH110"/>
      <c r="II110"/>
      <c r="IJ110"/>
      <c r="IK110"/>
      <c r="IL110"/>
      <c r="IM110"/>
      <c r="IN110"/>
      <c r="IO110"/>
      <c r="IP110"/>
      <c r="IQ110"/>
      <c r="IR110"/>
      <c r="IS110"/>
      <c r="IT110"/>
      <c r="IU110"/>
      <c r="IV110"/>
    </row>
    <row r="111" spans="1:256" s="201" customFormat="1" ht="14.25" x14ac:dyDescent="0.2">
      <c r="A111" s="10">
        <v>3307</v>
      </c>
      <c r="B111" s="11" t="s">
        <v>460</v>
      </c>
      <c r="C111" s="105" t="s">
        <v>461</v>
      </c>
      <c r="D111" s="11" t="s">
        <v>275</v>
      </c>
      <c r="E111" s="12">
        <v>20127</v>
      </c>
      <c r="F111" s="202">
        <v>29</v>
      </c>
      <c r="G111" s="11">
        <v>80000</v>
      </c>
      <c r="H111" s="116">
        <v>0</v>
      </c>
      <c r="I111" s="192"/>
      <c r="J111" s="204"/>
      <c r="K111" s="193"/>
      <c r="L111" s="193"/>
      <c r="M111" s="193"/>
      <c r="N111" s="203">
        <f t="shared" si="84"/>
        <v>80000</v>
      </c>
      <c r="O111" s="203">
        <f t="shared" si="85"/>
        <v>80000</v>
      </c>
      <c r="P111" s="203">
        <f t="shared" si="86"/>
        <v>80000</v>
      </c>
      <c r="Q111" s="214"/>
      <c r="R111" s="219"/>
      <c r="S111" s="217">
        <v>46224</v>
      </c>
      <c r="T111" s="205"/>
      <c r="U111" s="205"/>
      <c r="V111" s="215"/>
      <c r="W111" s="212"/>
      <c r="X111" s="10">
        <v>7</v>
      </c>
      <c r="Y111" s="10">
        <v>7</v>
      </c>
      <c r="Z111" s="213">
        <f t="shared" si="87"/>
        <v>80000</v>
      </c>
      <c r="AA111" s="62"/>
      <c r="AB111" s="62"/>
      <c r="AC111" s="62"/>
      <c r="AD111" s="62"/>
      <c r="AE111" s="62"/>
      <c r="AF111" s="63"/>
      <c r="AG111" s="64"/>
      <c r="AH111" s="6">
        <v>1</v>
      </c>
      <c r="AI111">
        <f t="shared" si="88"/>
        <v>25</v>
      </c>
      <c r="AJ111">
        <f t="shared" si="89"/>
        <v>25</v>
      </c>
      <c r="AK111">
        <f t="shared" si="90"/>
        <v>0</v>
      </c>
      <c r="AL111">
        <f t="shared" si="91"/>
        <v>0</v>
      </c>
      <c r="AM111">
        <f t="shared" si="92"/>
        <v>0</v>
      </c>
      <c r="AN111">
        <f t="shared" si="93"/>
        <v>0</v>
      </c>
      <c r="AO111">
        <f t="shared" si="94"/>
        <v>0</v>
      </c>
      <c r="AP111">
        <f t="shared" si="95"/>
        <v>0</v>
      </c>
      <c r="AQ111">
        <f t="shared" si="96"/>
        <v>0</v>
      </c>
      <c r="AR111">
        <f t="shared" si="97"/>
        <v>0</v>
      </c>
      <c r="AS111">
        <f t="shared" si="98"/>
        <v>0</v>
      </c>
      <c r="AT111">
        <f t="shared" si="99"/>
        <v>0</v>
      </c>
      <c r="AU111">
        <f t="shared" si="100"/>
        <v>1</v>
      </c>
      <c r="AV111">
        <f t="shared" si="101"/>
        <v>1</v>
      </c>
      <c r="AW111">
        <f t="shared" si="102"/>
        <v>1</v>
      </c>
      <c r="AX111">
        <f t="shared" si="103"/>
        <v>1</v>
      </c>
      <c r="AY111">
        <f t="shared" si="104"/>
        <v>80000</v>
      </c>
      <c r="AZ111">
        <f t="shared" si="105"/>
        <v>80000</v>
      </c>
      <c r="BA111">
        <f t="shared" si="106"/>
        <v>0</v>
      </c>
      <c r="BB111">
        <f t="shared" si="107"/>
        <v>0</v>
      </c>
      <c r="BC111">
        <f t="shared" si="108"/>
        <v>0</v>
      </c>
      <c r="BD111">
        <f t="shared" si="109"/>
        <v>0</v>
      </c>
      <c r="BE111">
        <f t="shared" si="110"/>
        <v>0</v>
      </c>
      <c r="BF111">
        <f t="shared" si="111"/>
        <v>0</v>
      </c>
      <c r="BG111"/>
      <c r="BH111"/>
      <c r="BI111"/>
      <c r="BJ111"/>
      <c r="BK111"/>
      <c r="BL111"/>
      <c r="BM111"/>
      <c r="BN111"/>
      <c r="BO111"/>
      <c r="BP111"/>
      <c r="BQ111"/>
      <c r="BR111"/>
      <c r="BS111"/>
      <c r="BT111"/>
      <c r="BU111"/>
      <c r="BV111"/>
      <c r="BW111"/>
      <c r="BX111"/>
      <c r="BY111"/>
      <c r="BZ111"/>
      <c r="CA111"/>
      <c r="CB111"/>
      <c r="CC111"/>
      <c r="CD111"/>
      <c r="CE111"/>
      <c r="CF111"/>
      <c r="CG111"/>
      <c r="CH111"/>
      <c r="CI111"/>
      <c r="CJ111"/>
      <c r="CK111"/>
      <c r="CL111"/>
      <c r="CM111"/>
      <c r="CN111"/>
      <c r="CO111"/>
      <c r="CP111"/>
      <c r="CQ111"/>
      <c r="CR111"/>
      <c r="CS111"/>
      <c r="CT111"/>
      <c r="CU111"/>
      <c r="CV111"/>
      <c r="CW111"/>
      <c r="CX111"/>
      <c r="CY111"/>
      <c r="CZ111"/>
      <c r="DA111"/>
      <c r="DB111"/>
      <c r="DC111"/>
      <c r="DD111"/>
      <c r="DE111"/>
      <c r="DF111"/>
      <c r="DG111"/>
      <c r="DH111"/>
      <c r="DI111"/>
      <c r="DJ111"/>
      <c r="DK111"/>
      <c r="DL111"/>
      <c r="DM111"/>
      <c r="DN111"/>
      <c r="DO111"/>
      <c r="DP111"/>
      <c r="DQ111"/>
      <c r="DR111"/>
      <c r="DS111"/>
      <c r="DT111"/>
      <c r="DU111"/>
      <c r="DV111"/>
      <c r="DW111"/>
      <c r="DX111"/>
      <c r="DY111"/>
      <c r="DZ111"/>
      <c r="EA111"/>
      <c r="EB111"/>
      <c r="EC111"/>
      <c r="ED111"/>
      <c r="EE111"/>
      <c r="EF111"/>
      <c r="EG111"/>
      <c r="EH111"/>
      <c r="EI111"/>
      <c r="EJ111"/>
      <c r="EK111"/>
      <c r="EL111"/>
      <c r="EM111"/>
      <c r="EN111"/>
      <c r="EO111"/>
      <c r="EP111"/>
      <c r="EQ111"/>
      <c r="ER111"/>
      <c r="ES111"/>
      <c r="ET111"/>
      <c r="EU111"/>
      <c r="EV111"/>
      <c r="EW111"/>
      <c r="EX111"/>
      <c r="EY111"/>
      <c r="EZ111"/>
      <c r="FA111"/>
      <c r="FB111"/>
      <c r="FC111"/>
      <c r="FD111"/>
      <c r="FE111"/>
      <c r="FF111"/>
      <c r="FG111"/>
      <c r="FH111"/>
      <c r="FI111"/>
      <c r="FJ111"/>
      <c r="FK111"/>
      <c r="FL111"/>
      <c r="FM111"/>
      <c r="FN111"/>
      <c r="FO111"/>
      <c r="FP111"/>
      <c r="FQ111"/>
      <c r="FR111"/>
      <c r="FS111"/>
      <c r="FT111"/>
      <c r="FU111"/>
      <c r="FV111"/>
      <c r="FW111"/>
      <c r="FX111"/>
      <c r="FY111"/>
      <c r="FZ111"/>
      <c r="GA111"/>
      <c r="GB111"/>
      <c r="GC111"/>
      <c r="GD111"/>
      <c r="GE111"/>
      <c r="GF111"/>
      <c r="GG111"/>
      <c r="GH111"/>
      <c r="GI111"/>
      <c r="GJ111"/>
      <c r="GK111"/>
      <c r="GL111"/>
      <c r="GM111"/>
      <c r="GN111"/>
      <c r="GO111"/>
      <c r="GP111"/>
      <c r="GQ111"/>
      <c r="GR111"/>
      <c r="GS111"/>
      <c r="GT111"/>
      <c r="GU111"/>
      <c r="GV111"/>
      <c r="GW111"/>
      <c r="GX111"/>
      <c r="GY111"/>
      <c r="GZ111"/>
      <c r="HA111"/>
      <c r="HB111"/>
      <c r="HC111"/>
      <c r="HD111"/>
      <c r="HE111"/>
      <c r="HF111"/>
      <c r="HG111"/>
      <c r="HH111"/>
      <c r="HI111"/>
      <c r="HJ111"/>
      <c r="HK111"/>
      <c r="HL111"/>
      <c r="HM111"/>
      <c r="HN111"/>
      <c r="HO111"/>
      <c r="HP111"/>
      <c r="HQ111"/>
      <c r="HR111"/>
      <c r="HS111"/>
      <c r="HT111"/>
      <c r="HU111"/>
      <c r="HV111"/>
      <c r="HW111"/>
      <c r="HX111"/>
      <c r="HY111"/>
      <c r="HZ111"/>
      <c r="IA111"/>
      <c r="IB111"/>
      <c r="IC111"/>
      <c r="ID111"/>
      <c r="IE111"/>
      <c r="IF111"/>
      <c r="IG111"/>
      <c r="IH111"/>
      <c r="II111"/>
      <c r="IJ111"/>
      <c r="IK111"/>
      <c r="IL111"/>
      <c r="IM111"/>
      <c r="IN111"/>
      <c r="IO111"/>
      <c r="IP111"/>
      <c r="IQ111"/>
      <c r="IR111"/>
      <c r="IS111"/>
      <c r="IT111"/>
      <c r="IU111"/>
      <c r="IV111"/>
    </row>
    <row r="112" spans="1:256" s="201" customFormat="1" ht="14.25" x14ac:dyDescent="0.2">
      <c r="A112" s="10">
        <v>3315</v>
      </c>
      <c r="B112" s="11" t="s">
        <v>462</v>
      </c>
      <c r="C112" s="105" t="s">
        <v>463</v>
      </c>
      <c r="D112" s="11" t="s">
        <v>105</v>
      </c>
      <c r="E112" s="12">
        <v>20139</v>
      </c>
      <c r="F112" s="202">
        <v>29</v>
      </c>
      <c r="G112" s="11">
        <v>99999</v>
      </c>
      <c r="H112" s="116">
        <v>-70010</v>
      </c>
      <c r="I112" s="192"/>
      <c r="J112" s="204"/>
      <c r="K112" s="193"/>
      <c r="L112" s="193"/>
      <c r="M112" s="193"/>
      <c r="N112" s="203">
        <f t="shared" si="84"/>
        <v>99999</v>
      </c>
      <c r="O112" s="203">
        <f t="shared" si="85"/>
        <v>29989</v>
      </c>
      <c r="P112" s="203">
        <f t="shared" si="86"/>
        <v>29989</v>
      </c>
      <c r="Q112" s="214"/>
      <c r="R112" s="219"/>
      <c r="S112" s="217">
        <v>46230</v>
      </c>
      <c r="T112" s="205"/>
      <c r="U112" s="205"/>
      <c r="V112" s="215"/>
      <c r="W112" s="212"/>
      <c r="X112" s="10">
        <v>7</v>
      </c>
      <c r="Y112" s="10">
        <v>7</v>
      </c>
      <c r="Z112" s="213">
        <f t="shared" si="87"/>
        <v>99999</v>
      </c>
      <c r="AA112" s="62"/>
      <c r="AB112" s="62"/>
      <c r="AC112" s="62"/>
      <c r="AD112" s="62"/>
      <c r="AE112" s="62"/>
      <c r="AF112" s="63"/>
      <c r="AG112" s="64"/>
      <c r="AH112" s="6">
        <v>1</v>
      </c>
      <c r="AI112">
        <f t="shared" si="88"/>
        <v>25</v>
      </c>
      <c r="AJ112">
        <f t="shared" si="89"/>
        <v>25</v>
      </c>
      <c r="AK112">
        <f t="shared" si="90"/>
        <v>0</v>
      </c>
      <c r="AL112">
        <f t="shared" si="91"/>
        <v>0</v>
      </c>
      <c r="AM112">
        <f t="shared" si="92"/>
        <v>0</v>
      </c>
      <c r="AN112">
        <f t="shared" si="93"/>
        <v>0</v>
      </c>
      <c r="AO112">
        <f t="shared" si="94"/>
        <v>0</v>
      </c>
      <c r="AP112">
        <f t="shared" si="95"/>
        <v>0</v>
      </c>
      <c r="AQ112">
        <f t="shared" si="96"/>
        <v>0</v>
      </c>
      <c r="AR112">
        <f t="shared" si="97"/>
        <v>0</v>
      </c>
      <c r="AS112">
        <f t="shared" si="98"/>
        <v>0</v>
      </c>
      <c r="AT112">
        <f t="shared" si="99"/>
        <v>0</v>
      </c>
      <c r="AU112">
        <f t="shared" si="100"/>
        <v>1</v>
      </c>
      <c r="AV112">
        <f t="shared" si="101"/>
        <v>1</v>
      </c>
      <c r="AW112">
        <f t="shared" si="102"/>
        <v>1</v>
      </c>
      <c r="AX112">
        <f t="shared" si="103"/>
        <v>1</v>
      </c>
      <c r="AY112">
        <f t="shared" si="104"/>
        <v>29989</v>
      </c>
      <c r="AZ112">
        <f t="shared" si="105"/>
        <v>29989</v>
      </c>
      <c r="BA112">
        <f t="shared" si="106"/>
        <v>0</v>
      </c>
      <c r="BB112">
        <f t="shared" si="107"/>
        <v>0</v>
      </c>
      <c r="BC112">
        <f t="shared" si="108"/>
        <v>0</v>
      </c>
      <c r="BD112">
        <f t="shared" si="109"/>
        <v>0</v>
      </c>
      <c r="BE112">
        <f t="shared" si="110"/>
        <v>0</v>
      </c>
      <c r="BF112">
        <f t="shared" si="111"/>
        <v>0</v>
      </c>
      <c r="BG112"/>
      <c r="BH112"/>
      <c r="BI112"/>
      <c r="BJ112"/>
      <c r="BK112"/>
      <c r="BL112"/>
      <c r="BM112"/>
      <c r="BN112"/>
      <c r="BO112"/>
      <c r="BP112"/>
      <c r="BQ112"/>
      <c r="BR112"/>
      <c r="BS112"/>
      <c r="BT112"/>
      <c r="BU112"/>
      <c r="BV112"/>
      <c r="BW112"/>
      <c r="BX112"/>
      <c r="BY112"/>
      <c r="BZ112"/>
      <c r="CA112"/>
      <c r="CB112"/>
      <c r="CC112"/>
      <c r="CD112"/>
      <c r="CE112"/>
      <c r="CF112"/>
      <c r="CG112"/>
      <c r="CH112"/>
      <c r="CI112"/>
      <c r="CJ112"/>
      <c r="CK112"/>
      <c r="CL112"/>
      <c r="CM112"/>
      <c r="CN112"/>
      <c r="CO112"/>
      <c r="CP112"/>
      <c r="CQ112"/>
      <c r="CR112"/>
      <c r="CS112"/>
      <c r="CT112"/>
      <c r="CU112"/>
      <c r="CV112"/>
      <c r="CW112"/>
      <c r="CX112"/>
      <c r="CY112"/>
      <c r="CZ112"/>
      <c r="DA112"/>
      <c r="DB112"/>
      <c r="DC112"/>
      <c r="DD112"/>
      <c r="DE112"/>
      <c r="DF112"/>
      <c r="DG112"/>
      <c r="DH112"/>
      <c r="DI112"/>
      <c r="DJ112"/>
      <c r="DK112"/>
      <c r="DL112"/>
      <c r="DM112"/>
      <c r="DN112"/>
      <c r="DO112"/>
      <c r="DP112"/>
      <c r="DQ112"/>
      <c r="DR112"/>
      <c r="DS112"/>
      <c r="DT112"/>
      <c r="DU112"/>
      <c r="DV112"/>
      <c r="DW112"/>
      <c r="DX112"/>
      <c r="DY112"/>
      <c r="DZ112"/>
      <c r="EA112"/>
      <c r="EB112"/>
      <c r="EC112"/>
      <c r="ED112"/>
      <c r="EE112"/>
      <c r="EF112"/>
      <c r="EG112"/>
      <c r="EH112"/>
      <c r="EI112"/>
      <c r="EJ112"/>
      <c r="EK112"/>
      <c r="EL112"/>
      <c r="EM112"/>
      <c r="EN112"/>
      <c r="EO112"/>
      <c r="EP112"/>
      <c r="EQ112"/>
      <c r="ER112"/>
      <c r="ES112"/>
      <c r="ET112"/>
      <c r="EU112"/>
      <c r="EV112"/>
      <c r="EW112"/>
      <c r="EX112"/>
      <c r="EY112"/>
      <c r="EZ112"/>
      <c r="FA112"/>
      <c r="FB112"/>
      <c r="FC112"/>
      <c r="FD112"/>
      <c r="FE112"/>
      <c r="FF112"/>
      <c r="FG112"/>
      <c r="FH112"/>
      <c r="FI112"/>
      <c r="FJ112"/>
      <c r="FK112"/>
      <c r="FL112"/>
      <c r="FM112"/>
      <c r="FN112"/>
      <c r="FO112"/>
      <c r="FP112"/>
      <c r="FQ112"/>
      <c r="FR112"/>
      <c r="FS112"/>
      <c r="FT112"/>
      <c r="FU112"/>
      <c r="FV112"/>
      <c r="FW112"/>
      <c r="FX112"/>
      <c r="FY112"/>
      <c r="FZ112"/>
      <c r="GA112"/>
      <c r="GB112"/>
      <c r="GC112"/>
      <c r="GD112"/>
      <c r="GE112"/>
      <c r="GF112"/>
      <c r="GG112"/>
      <c r="GH112"/>
      <c r="GI112"/>
      <c r="GJ112"/>
      <c r="GK112"/>
      <c r="GL112"/>
      <c r="GM112"/>
      <c r="GN112"/>
      <c r="GO112"/>
      <c r="GP112"/>
      <c r="GQ112"/>
      <c r="GR112"/>
      <c r="GS112"/>
      <c r="GT112"/>
      <c r="GU112"/>
      <c r="GV112"/>
      <c r="GW112"/>
      <c r="GX112"/>
      <c r="GY112"/>
      <c r="GZ112"/>
      <c r="HA112"/>
      <c r="HB112"/>
      <c r="HC112"/>
      <c r="HD112"/>
      <c r="HE112"/>
      <c r="HF112"/>
      <c r="HG112"/>
      <c r="HH112"/>
      <c r="HI112"/>
      <c r="HJ112"/>
      <c r="HK112"/>
      <c r="HL112"/>
      <c r="HM112"/>
      <c r="HN112"/>
      <c r="HO112"/>
      <c r="HP112"/>
      <c r="HQ112"/>
      <c r="HR112"/>
      <c r="HS112"/>
      <c r="HT112"/>
      <c r="HU112"/>
      <c r="HV112"/>
      <c r="HW112"/>
      <c r="HX112"/>
      <c r="HY112"/>
      <c r="HZ112"/>
      <c r="IA112"/>
      <c r="IB112"/>
      <c r="IC112"/>
      <c r="ID112"/>
      <c r="IE112"/>
      <c r="IF112"/>
      <c r="IG112"/>
      <c r="IH112"/>
      <c r="II112"/>
      <c r="IJ112"/>
      <c r="IK112"/>
      <c r="IL112"/>
      <c r="IM112"/>
      <c r="IN112"/>
      <c r="IO112"/>
      <c r="IP112"/>
      <c r="IQ112"/>
      <c r="IR112"/>
      <c r="IS112"/>
      <c r="IT112"/>
      <c r="IU112"/>
      <c r="IV112"/>
    </row>
    <row r="113" spans="1:256" s="201" customFormat="1" ht="14.25" x14ac:dyDescent="0.2">
      <c r="A113" s="10">
        <v>3325</v>
      </c>
      <c r="B113" s="11" t="s">
        <v>464</v>
      </c>
      <c r="C113" s="105" t="s">
        <v>465</v>
      </c>
      <c r="D113" s="11" t="s">
        <v>106</v>
      </c>
      <c r="E113" s="12">
        <v>20132</v>
      </c>
      <c r="F113" s="202">
        <v>28</v>
      </c>
      <c r="G113" s="11">
        <v>200000</v>
      </c>
      <c r="H113" s="116">
        <v>-600000</v>
      </c>
      <c r="I113" s="192"/>
      <c r="J113" s="204"/>
      <c r="K113" s="193"/>
      <c r="L113" s="193"/>
      <c r="M113" s="193"/>
      <c r="N113" s="203">
        <f t="shared" si="84"/>
        <v>200000</v>
      </c>
      <c r="O113" s="203">
        <f t="shared" si="85"/>
        <v>-400000</v>
      </c>
      <c r="P113" s="203">
        <f t="shared" si="86"/>
        <v>0</v>
      </c>
      <c r="Q113" s="214"/>
      <c r="R113" s="219"/>
      <c r="S113" s="217">
        <v>46213</v>
      </c>
      <c r="T113" s="205"/>
      <c r="U113" s="205"/>
      <c r="V113" s="215"/>
      <c r="W113" s="212"/>
      <c r="X113" s="10">
        <v>7</v>
      </c>
      <c r="Y113" s="10">
        <v>7</v>
      </c>
      <c r="Z113" s="213">
        <f t="shared" si="87"/>
        <v>200000</v>
      </c>
      <c r="AA113" s="62"/>
      <c r="AB113" s="62"/>
      <c r="AC113" s="62"/>
      <c r="AD113" s="62"/>
      <c r="AE113" s="62"/>
      <c r="AF113" s="63"/>
      <c r="AG113" s="64"/>
      <c r="AH113" s="6">
        <v>1</v>
      </c>
      <c r="AI113">
        <f t="shared" si="88"/>
        <v>25</v>
      </c>
      <c r="AJ113">
        <f t="shared" si="89"/>
        <v>25</v>
      </c>
      <c r="AK113">
        <f t="shared" si="90"/>
        <v>0</v>
      </c>
      <c r="AL113">
        <f t="shared" si="91"/>
        <v>0</v>
      </c>
      <c r="AM113">
        <f t="shared" si="92"/>
        <v>0</v>
      </c>
      <c r="AN113">
        <f t="shared" si="93"/>
        <v>0</v>
      </c>
      <c r="AO113">
        <f t="shared" si="94"/>
        <v>0</v>
      </c>
      <c r="AP113">
        <f t="shared" si="95"/>
        <v>0</v>
      </c>
      <c r="AQ113">
        <f t="shared" si="96"/>
        <v>0</v>
      </c>
      <c r="AR113">
        <f t="shared" si="97"/>
        <v>0</v>
      </c>
      <c r="AS113">
        <f t="shared" si="98"/>
        <v>0</v>
      </c>
      <c r="AT113">
        <f t="shared" si="99"/>
        <v>0</v>
      </c>
      <c r="AU113">
        <f t="shared" si="100"/>
        <v>0</v>
      </c>
      <c r="AV113">
        <f t="shared" si="101"/>
        <v>0</v>
      </c>
      <c r="AW113">
        <f t="shared" si="102"/>
        <v>0</v>
      </c>
      <c r="AX113">
        <f t="shared" si="103"/>
        <v>0</v>
      </c>
      <c r="AY113">
        <f t="shared" si="104"/>
        <v>0</v>
      </c>
      <c r="AZ113">
        <f t="shared" si="105"/>
        <v>0</v>
      </c>
      <c r="BA113">
        <f t="shared" si="106"/>
        <v>0</v>
      </c>
      <c r="BB113">
        <f t="shared" si="107"/>
        <v>0</v>
      </c>
      <c r="BC113">
        <f t="shared" si="108"/>
        <v>0</v>
      </c>
      <c r="BD113">
        <f t="shared" si="109"/>
        <v>0</v>
      </c>
      <c r="BE113">
        <f t="shared" si="110"/>
        <v>0</v>
      </c>
      <c r="BF113">
        <f t="shared" si="111"/>
        <v>0</v>
      </c>
      <c r="BG113"/>
      <c r="BH113"/>
      <c r="BI113"/>
      <c r="BJ113"/>
      <c r="BK113"/>
      <c r="BL113"/>
      <c r="BM113"/>
      <c r="BN113"/>
      <c r="BO113"/>
      <c r="BP113"/>
      <c r="BQ113"/>
      <c r="BR113"/>
      <c r="BS113"/>
      <c r="BT113"/>
      <c r="BU113"/>
      <c r="BV113"/>
      <c r="BW113"/>
      <c r="BX113"/>
      <c r="BY113"/>
      <c r="BZ113"/>
      <c r="CA113"/>
      <c r="CB113"/>
      <c r="CC113"/>
      <c r="CD113"/>
      <c r="CE113"/>
      <c r="CF113"/>
      <c r="CG113"/>
      <c r="CH113"/>
      <c r="CI113"/>
      <c r="CJ113"/>
      <c r="CK113"/>
      <c r="CL113"/>
      <c r="CM113"/>
      <c r="CN113"/>
      <c r="CO113"/>
      <c r="CP113"/>
      <c r="CQ113"/>
      <c r="CR113"/>
      <c r="CS113"/>
      <c r="CT113"/>
      <c r="CU113"/>
      <c r="CV113"/>
      <c r="CW113"/>
      <c r="CX113"/>
      <c r="CY113"/>
      <c r="CZ113"/>
      <c r="DA113"/>
      <c r="DB113"/>
      <c r="DC113"/>
      <c r="DD113"/>
      <c r="DE113"/>
      <c r="DF113"/>
      <c r="DG113"/>
      <c r="DH113"/>
      <c r="DI113"/>
      <c r="DJ113"/>
      <c r="DK113"/>
      <c r="DL113"/>
      <c r="DM113"/>
      <c r="DN113"/>
      <c r="DO113"/>
      <c r="DP113"/>
      <c r="DQ113"/>
      <c r="DR113"/>
      <c r="DS113"/>
      <c r="DT113"/>
      <c r="DU113"/>
      <c r="DV113"/>
      <c r="DW113"/>
      <c r="DX113"/>
      <c r="DY113"/>
      <c r="DZ113"/>
      <c r="EA113"/>
      <c r="EB113"/>
      <c r="EC113"/>
      <c r="ED113"/>
      <c r="EE113"/>
      <c r="EF113"/>
      <c r="EG113"/>
      <c r="EH113"/>
      <c r="EI113"/>
      <c r="EJ113"/>
      <c r="EK113"/>
      <c r="EL113"/>
      <c r="EM113"/>
      <c r="EN113"/>
      <c r="EO113"/>
      <c r="EP113"/>
      <c r="EQ113"/>
      <c r="ER113"/>
      <c r="ES113"/>
      <c r="ET113"/>
      <c r="EU113"/>
      <c r="EV113"/>
      <c r="EW113"/>
      <c r="EX113"/>
      <c r="EY113"/>
      <c r="EZ113"/>
      <c r="FA113"/>
      <c r="FB113"/>
      <c r="FC113"/>
      <c r="FD113"/>
      <c r="FE113"/>
      <c r="FF113"/>
      <c r="FG113"/>
      <c r="FH113"/>
      <c r="FI113"/>
      <c r="FJ113"/>
      <c r="FK113"/>
      <c r="FL113"/>
      <c r="FM113"/>
      <c r="FN113"/>
      <c r="FO113"/>
      <c r="FP113"/>
      <c r="FQ113"/>
      <c r="FR113"/>
      <c r="FS113"/>
      <c r="FT113"/>
      <c r="FU113"/>
      <c r="FV113"/>
      <c r="FW113"/>
      <c r="FX113"/>
      <c r="FY113"/>
      <c r="FZ113"/>
      <c r="GA113"/>
      <c r="GB113"/>
      <c r="GC113"/>
      <c r="GD113"/>
      <c r="GE113"/>
      <c r="GF113"/>
      <c r="GG113"/>
      <c r="GH113"/>
      <c r="GI113"/>
      <c r="GJ113"/>
      <c r="GK113"/>
      <c r="GL113"/>
      <c r="GM113"/>
      <c r="GN113"/>
      <c r="GO113"/>
      <c r="GP113"/>
      <c r="GQ113"/>
      <c r="GR113"/>
      <c r="GS113"/>
      <c r="GT113"/>
      <c r="GU113"/>
      <c r="GV113"/>
      <c r="GW113"/>
      <c r="GX113"/>
      <c r="GY113"/>
      <c r="GZ113"/>
      <c r="HA113"/>
      <c r="HB113"/>
      <c r="HC113"/>
      <c r="HD113"/>
      <c r="HE113"/>
      <c r="HF113"/>
      <c r="HG113"/>
      <c r="HH113"/>
      <c r="HI113"/>
      <c r="HJ113"/>
      <c r="HK113"/>
      <c r="HL113"/>
      <c r="HM113"/>
      <c r="HN113"/>
      <c r="HO113"/>
      <c r="HP113"/>
      <c r="HQ113"/>
      <c r="HR113"/>
      <c r="HS113"/>
      <c r="HT113"/>
      <c r="HU113"/>
      <c r="HV113"/>
      <c r="HW113"/>
      <c r="HX113"/>
      <c r="HY113"/>
      <c r="HZ113"/>
      <c r="IA113"/>
      <c r="IB113"/>
      <c r="IC113"/>
      <c r="ID113"/>
      <c r="IE113"/>
      <c r="IF113"/>
      <c r="IG113"/>
      <c r="IH113"/>
      <c r="II113"/>
      <c r="IJ113"/>
      <c r="IK113"/>
      <c r="IL113"/>
      <c r="IM113"/>
      <c r="IN113"/>
      <c r="IO113"/>
      <c r="IP113"/>
      <c r="IQ113"/>
      <c r="IR113"/>
      <c r="IS113"/>
      <c r="IT113"/>
      <c r="IU113"/>
      <c r="IV113"/>
    </row>
    <row r="114" spans="1:256" s="201" customFormat="1" ht="14.25" x14ac:dyDescent="0.2">
      <c r="A114" s="10">
        <v>3342</v>
      </c>
      <c r="B114" s="11" t="s">
        <v>466</v>
      </c>
      <c r="C114" s="105" t="s">
        <v>467</v>
      </c>
      <c r="D114" s="11" t="s">
        <v>106</v>
      </c>
      <c r="E114" s="12">
        <v>20158</v>
      </c>
      <c r="F114" s="202">
        <v>28</v>
      </c>
      <c r="G114" s="11">
        <v>100000</v>
      </c>
      <c r="H114" s="116">
        <v>0</v>
      </c>
      <c r="I114" s="192"/>
      <c r="J114" s="204"/>
      <c r="K114" s="193"/>
      <c r="L114" s="193"/>
      <c r="M114" s="193"/>
      <c r="N114" s="203">
        <f t="shared" si="84"/>
        <v>100000</v>
      </c>
      <c r="O114" s="203">
        <f t="shared" si="85"/>
        <v>100000</v>
      </c>
      <c r="P114" s="203">
        <f t="shared" si="86"/>
        <v>100000</v>
      </c>
      <c r="Q114" s="214"/>
      <c r="R114" s="219"/>
      <c r="S114" s="217">
        <v>46227</v>
      </c>
      <c r="T114" s="205"/>
      <c r="U114" s="205"/>
      <c r="V114" s="215"/>
      <c r="W114" s="212"/>
      <c r="X114" s="10">
        <v>7</v>
      </c>
      <c r="Y114" s="10">
        <v>7</v>
      </c>
      <c r="Z114" s="213">
        <f t="shared" si="87"/>
        <v>100000</v>
      </c>
      <c r="AA114" s="62"/>
      <c r="AB114" s="62"/>
      <c r="AC114" s="62"/>
      <c r="AD114" s="62"/>
      <c r="AE114" s="62"/>
      <c r="AF114" s="63"/>
      <c r="AG114" s="64"/>
      <c r="AH114" s="6">
        <v>1</v>
      </c>
      <c r="AI114">
        <f t="shared" si="88"/>
        <v>25</v>
      </c>
      <c r="AJ114">
        <f t="shared" si="89"/>
        <v>25</v>
      </c>
      <c r="AK114">
        <f t="shared" si="90"/>
        <v>0</v>
      </c>
      <c r="AL114">
        <f t="shared" si="91"/>
        <v>0</v>
      </c>
      <c r="AM114">
        <f t="shared" si="92"/>
        <v>0</v>
      </c>
      <c r="AN114">
        <f t="shared" si="93"/>
        <v>0</v>
      </c>
      <c r="AO114">
        <f t="shared" si="94"/>
        <v>0</v>
      </c>
      <c r="AP114">
        <f t="shared" si="95"/>
        <v>0</v>
      </c>
      <c r="AQ114">
        <f t="shared" si="96"/>
        <v>0</v>
      </c>
      <c r="AR114">
        <f t="shared" si="97"/>
        <v>0</v>
      </c>
      <c r="AS114">
        <f t="shared" si="98"/>
        <v>0</v>
      </c>
      <c r="AT114">
        <f t="shared" si="99"/>
        <v>0</v>
      </c>
      <c r="AU114">
        <f t="shared" si="100"/>
        <v>1</v>
      </c>
      <c r="AV114">
        <f t="shared" si="101"/>
        <v>1</v>
      </c>
      <c r="AW114">
        <f t="shared" si="102"/>
        <v>1</v>
      </c>
      <c r="AX114">
        <f t="shared" si="103"/>
        <v>1</v>
      </c>
      <c r="AY114">
        <f t="shared" si="104"/>
        <v>100000</v>
      </c>
      <c r="AZ114">
        <f t="shared" si="105"/>
        <v>100000</v>
      </c>
      <c r="BA114">
        <f t="shared" si="106"/>
        <v>0</v>
      </c>
      <c r="BB114">
        <f t="shared" si="107"/>
        <v>0</v>
      </c>
      <c r="BC114">
        <f t="shared" si="108"/>
        <v>0</v>
      </c>
      <c r="BD114">
        <f t="shared" si="109"/>
        <v>0</v>
      </c>
      <c r="BE114">
        <f t="shared" si="110"/>
        <v>0</v>
      </c>
      <c r="BF114">
        <f t="shared" si="111"/>
        <v>0</v>
      </c>
      <c r="BG114"/>
      <c r="BH114"/>
      <c r="BI114"/>
      <c r="BJ114"/>
      <c r="BK114"/>
      <c r="BL114"/>
      <c r="BM114"/>
      <c r="BN114"/>
      <c r="BO114"/>
      <c r="BP114"/>
      <c r="BQ114"/>
      <c r="BR114"/>
      <c r="BS114"/>
      <c r="BT114"/>
      <c r="BU114"/>
      <c r="BV114"/>
      <c r="BW114"/>
      <c r="BX114"/>
      <c r="BY114"/>
      <c r="BZ114"/>
      <c r="CA114"/>
      <c r="CB114"/>
      <c r="CC114"/>
      <c r="CD114"/>
      <c r="CE114"/>
      <c r="CF114"/>
      <c r="CG114"/>
      <c r="CH114"/>
      <c r="CI114"/>
      <c r="CJ114"/>
      <c r="CK114"/>
      <c r="CL114"/>
      <c r="CM114"/>
      <c r="CN114"/>
      <c r="CO114"/>
      <c r="CP114"/>
      <c r="CQ114"/>
      <c r="CR114"/>
      <c r="CS114"/>
      <c r="CT114"/>
      <c r="CU114"/>
      <c r="CV114"/>
      <c r="CW114"/>
      <c r="CX114"/>
      <c r="CY114"/>
      <c r="CZ114"/>
      <c r="DA114"/>
      <c r="DB114"/>
      <c r="DC114"/>
      <c r="DD114"/>
      <c r="DE114"/>
      <c r="DF114"/>
      <c r="DG114"/>
      <c r="DH114"/>
      <c r="DI114"/>
      <c r="DJ114"/>
      <c r="DK114"/>
      <c r="DL114"/>
      <c r="DM114"/>
      <c r="DN114"/>
      <c r="DO114"/>
      <c r="DP114"/>
      <c r="DQ114"/>
      <c r="DR114"/>
      <c r="DS114"/>
      <c r="DT114"/>
      <c r="DU114"/>
      <c r="DV114"/>
      <c r="DW114"/>
      <c r="DX114"/>
      <c r="DY114"/>
      <c r="DZ114"/>
      <c r="EA114"/>
      <c r="EB114"/>
      <c r="EC114"/>
      <c r="ED114"/>
      <c r="EE114"/>
      <c r="EF114"/>
      <c r="EG114"/>
      <c r="EH114"/>
      <c r="EI114"/>
      <c r="EJ114"/>
      <c r="EK114"/>
      <c r="EL114"/>
      <c r="EM114"/>
      <c r="EN114"/>
      <c r="EO114"/>
      <c r="EP114"/>
      <c r="EQ114"/>
      <c r="ER114"/>
      <c r="ES114"/>
      <c r="ET114"/>
      <c r="EU114"/>
      <c r="EV114"/>
      <c r="EW114"/>
      <c r="EX114"/>
      <c r="EY114"/>
      <c r="EZ114"/>
      <c r="FA114"/>
      <c r="FB114"/>
      <c r="FC114"/>
      <c r="FD114"/>
      <c r="FE114"/>
      <c r="FF114"/>
      <c r="FG114"/>
      <c r="FH114"/>
      <c r="FI114"/>
      <c r="FJ114"/>
      <c r="FK114"/>
      <c r="FL114"/>
      <c r="FM114"/>
      <c r="FN114"/>
      <c r="FO114"/>
      <c r="FP114"/>
      <c r="FQ114"/>
      <c r="FR114"/>
      <c r="FS114"/>
      <c r="FT114"/>
      <c r="FU114"/>
      <c r="FV114"/>
      <c r="FW114"/>
      <c r="FX114"/>
      <c r="FY114"/>
      <c r="FZ114"/>
      <c r="GA114"/>
      <c r="GB114"/>
      <c r="GC114"/>
      <c r="GD114"/>
      <c r="GE114"/>
      <c r="GF114"/>
      <c r="GG114"/>
      <c r="GH114"/>
      <c r="GI114"/>
      <c r="GJ114"/>
      <c r="GK114"/>
      <c r="GL114"/>
      <c r="GM114"/>
      <c r="GN114"/>
      <c r="GO114"/>
      <c r="GP114"/>
      <c r="GQ114"/>
      <c r="GR114"/>
      <c r="GS114"/>
      <c r="GT114"/>
      <c r="GU114"/>
      <c r="GV114"/>
      <c r="GW114"/>
      <c r="GX114"/>
      <c r="GY114"/>
      <c r="GZ114"/>
      <c r="HA114"/>
      <c r="HB114"/>
      <c r="HC114"/>
      <c r="HD114"/>
      <c r="HE114"/>
      <c r="HF114"/>
      <c r="HG114"/>
      <c r="HH114"/>
      <c r="HI114"/>
      <c r="HJ114"/>
      <c r="HK114"/>
      <c r="HL114"/>
      <c r="HM114"/>
      <c r="HN114"/>
      <c r="HO114"/>
      <c r="HP114"/>
      <c r="HQ114"/>
      <c r="HR114"/>
      <c r="HS114"/>
      <c r="HT114"/>
      <c r="HU114"/>
      <c r="HV114"/>
      <c r="HW114"/>
      <c r="HX114"/>
      <c r="HY114"/>
      <c r="HZ114"/>
      <c r="IA114"/>
      <c r="IB114"/>
      <c r="IC114"/>
      <c r="ID114"/>
      <c r="IE114"/>
      <c r="IF114"/>
      <c r="IG114"/>
      <c r="IH114"/>
      <c r="II114"/>
      <c r="IJ114"/>
      <c r="IK114"/>
      <c r="IL114"/>
      <c r="IM114"/>
      <c r="IN114"/>
      <c r="IO114"/>
      <c r="IP114"/>
      <c r="IQ114"/>
      <c r="IR114"/>
      <c r="IS114"/>
      <c r="IT114"/>
      <c r="IU114"/>
      <c r="IV114"/>
    </row>
    <row r="115" spans="1:256" s="201" customFormat="1" ht="14.25" x14ac:dyDescent="0.2">
      <c r="A115" s="10">
        <v>3349</v>
      </c>
      <c r="B115" s="11" t="s">
        <v>468</v>
      </c>
      <c r="C115" s="105" t="s">
        <v>469</v>
      </c>
      <c r="D115" s="11" t="s">
        <v>217</v>
      </c>
      <c r="E115" s="12">
        <v>20116</v>
      </c>
      <c r="F115" s="202">
        <v>27</v>
      </c>
      <c r="G115" s="11">
        <v>260000</v>
      </c>
      <c r="H115" s="116">
        <v>0</v>
      </c>
      <c r="I115" s="192"/>
      <c r="J115" s="204"/>
      <c r="K115" s="193"/>
      <c r="L115" s="193"/>
      <c r="M115" s="193"/>
      <c r="N115" s="203">
        <f t="shared" si="84"/>
        <v>260000</v>
      </c>
      <c r="O115" s="203">
        <f t="shared" si="85"/>
        <v>260000</v>
      </c>
      <c r="P115" s="203">
        <f t="shared" si="86"/>
        <v>260000</v>
      </c>
      <c r="Q115" s="214"/>
      <c r="R115" s="219"/>
      <c r="S115" s="217">
        <v>46212</v>
      </c>
      <c r="T115" s="205"/>
      <c r="U115" s="205"/>
      <c r="V115" s="215"/>
      <c r="W115" s="212"/>
      <c r="X115" s="10">
        <v>7</v>
      </c>
      <c r="Y115" s="10">
        <v>7</v>
      </c>
      <c r="Z115" s="213">
        <f t="shared" si="87"/>
        <v>260000</v>
      </c>
      <c r="AA115" s="62"/>
      <c r="AB115" s="62"/>
      <c r="AC115" s="62"/>
      <c r="AD115" s="62"/>
      <c r="AE115" s="62"/>
      <c r="AF115" s="63"/>
      <c r="AG115" s="64"/>
      <c r="AH115" s="6">
        <v>1</v>
      </c>
      <c r="AI115">
        <f t="shared" si="88"/>
        <v>25</v>
      </c>
      <c r="AJ115">
        <f t="shared" si="89"/>
        <v>25</v>
      </c>
      <c r="AK115">
        <f t="shared" si="90"/>
        <v>0</v>
      </c>
      <c r="AL115">
        <f t="shared" si="91"/>
        <v>0</v>
      </c>
      <c r="AM115">
        <f t="shared" si="92"/>
        <v>0</v>
      </c>
      <c r="AN115">
        <f t="shared" si="93"/>
        <v>0</v>
      </c>
      <c r="AO115">
        <f t="shared" si="94"/>
        <v>0</v>
      </c>
      <c r="AP115">
        <f t="shared" si="95"/>
        <v>0</v>
      </c>
      <c r="AQ115">
        <f t="shared" si="96"/>
        <v>0</v>
      </c>
      <c r="AR115">
        <f t="shared" si="97"/>
        <v>0</v>
      </c>
      <c r="AS115">
        <f t="shared" si="98"/>
        <v>0</v>
      </c>
      <c r="AT115">
        <f t="shared" si="99"/>
        <v>0</v>
      </c>
      <c r="AU115">
        <f t="shared" si="100"/>
        <v>1</v>
      </c>
      <c r="AV115">
        <f t="shared" si="101"/>
        <v>1</v>
      </c>
      <c r="AW115">
        <f t="shared" si="102"/>
        <v>1</v>
      </c>
      <c r="AX115">
        <f t="shared" si="103"/>
        <v>1</v>
      </c>
      <c r="AY115">
        <f t="shared" si="104"/>
        <v>260000</v>
      </c>
      <c r="AZ115">
        <f t="shared" si="105"/>
        <v>260000</v>
      </c>
      <c r="BA115">
        <f t="shared" si="106"/>
        <v>0</v>
      </c>
      <c r="BB115">
        <f t="shared" si="107"/>
        <v>0</v>
      </c>
      <c r="BC115">
        <f t="shared" si="108"/>
        <v>0</v>
      </c>
      <c r="BD115">
        <f t="shared" si="109"/>
        <v>0</v>
      </c>
      <c r="BE115">
        <f t="shared" si="110"/>
        <v>0</v>
      </c>
      <c r="BF115">
        <f t="shared" si="111"/>
        <v>0</v>
      </c>
      <c r="BG115"/>
      <c r="BH115"/>
      <c r="BI115"/>
      <c r="BJ115"/>
      <c r="BK115"/>
      <c r="BL115"/>
      <c r="BM115"/>
      <c r="BN115"/>
      <c r="BO115"/>
      <c r="BP115"/>
      <c r="BQ115"/>
      <c r="BR115"/>
      <c r="BS115"/>
      <c r="BT115"/>
      <c r="BU115"/>
      <c r="BV115"/>
      <c r="BW115"/>
      <c r="BX115"/>
      <c r="BY115"/>
      <c r="BZ115"/>
      <c r="CA115"/>
      <c r="CB115"/>
      <c r="CC115"/>
      <c r="CD115"/>
      <c r="CE115"/>
      <c r="CF115"/>
      <c r="CG115"/>
      <c r="CH115"/>
      <c r="CI115"/>
      <c r="CJ115"/>
      <c r="CK115"/>
      <c r="CL115"/>
      <c r="CM115"/>
      <c r="CN115"/>
      <c r="CO115"/>
      <c r="CP115"/>
      <c r="CQ115"/>
      <c r="CR115"/>
      <c r="CS115"/>
      <c r="CT115"/>
      <c r="CU115"/>
      <c r="CV115"/>
      <c r="CW115"/>
      <c r="CX115"/>
      <c r="CY115"/>
      <c r="CZ115"/>
      <c r="DA115"/>
      <c r="DB115"/>
      <c r="DC115"/>
      <c r="DD115"/>
      <c r="DE115"/>
      <c r="DF115"/>
      <c r="DG115"/>
      <c r="DH115"/>
      <c r="DI115"/>
      <c r="DJ115"/>
      <c r="DK115"/>
      <c r="DL115"/>
      <c r="DM115"/>
      <c r="DN115"/>
      <c r="DO115"/>
      <c r="DP115"/>
      <c r="DQ115"/>
      <c r="DR115"/>
      <c r="DS115"/>
      <c r="DT115"/>
      <c r="DU115"/>
      <c r="DV115"/>
      <c r="DW115"/>
      <c r="DX115"/>
      <c r="DY115"/>
      <c r="DZ115"/>
      <c r="EA115"/>
      <c r="EB115"/>
      <c r="EC115"/>
      <c r="ED115"/>
      <c r="EE115"/>
      <c r="EF115"/>
      <c r="EG115"/>
      <c r="EH115"/>
      <c r="EI115"/>
      <c r="EJ115"/>
      <c r="EK115"/>
      <c r="EL115"/>
      <c r="EM115"/>
      <c r="EN115"/>
      <c r="EO115"/>
      <c r="EP115"/>
      <c r="EQ115"/>
      <c r="ER115"/>
      <c r="ES115"/>
      <c r="ET115"/>
      <c r="EU115"/>
      <c r="EV115"/>
      <c r="EW115"/>
      <c r="EX115"/>
      <c r="EY115"/>
      <c r="EZ115"/>
      <c r="FA115"/>
      <c r="FB115"/>
      <c r="FC115"/>
      <c r="FD115"/>
      <c r="FE115"/>
      <c r="FF115"/>
      <c r="FG115"/>
      <c r="FH115"/>
      <c r="FI115"/>
      <c r="FJ115"/>
      <c r="FK115"/>
      <c r="FL115"/>
      <c r="FM115"/>
      <c r="FN115"/>
      <c r="FO115"/>
      <c r="FP115"/>
      <c r="FQ115"/>
      <c r="FR115"/>
      <c r="FS115"/>
      <c r="FT115"/>
      <c r="FU115"/>
      <c r="FV115"/>
      <c r="FW115"/>
      <c r="FX115"/>
      <c r="FY115"/>
      <c r="FZ115"/>
      <c r="GA115"/>
      <c r="GB115"/>
      <c r="GC115"/>
      <c r="GD115"/>
      <c r="GE115"/>
      <c r="GF115"/>
      <c r="GG115"/>
      <c r="GH115"/>
      <c r="GI115"/>
      <c r="GJ115"/>
      <c r="GK115"/>
      <c r="GL115"/>
      <c r="GM115"/>
      <c r="GN115"/>
      <c r="GO115"/>
      <c r="GP115"/>
      <c r="GQ115"/>
      <c r="GR115"/>
      <c r="GS115"/>
      <c r="GT115"/>
      <c r="GU115"/>
      <c r="GV115"/>
      <c r="GW115"/>
      <c r="GX115"/>
      <c r="GY115"/>
      <c r="GZ115"/>
      <c r="HA115"/>
      <c r="HB115"/>
      <c r="HC115"/>
      <c r="HD115"/>
      <c r="HE115"/>
      <c r="HF115"/>
      <c r="HG115"/>
      <c r="HH115"/>
      <c r="HI115"/>
      <c r="HJ115"/>
      <c r="HK115"/>
      <c r="HL115"/>
      <c r="HM115"/>
      <c r="HN115"/>
      <c r="HO115"/>
      <c r="HP115"/>
      <c r="HQ115"/>
      <c r="HR115"/>
      <c r="HS115"/>
      <c r="HT115"/>
      <c r="HU115"/>
      <c r="HV115"/>
      <c r="HW115"/>
      <c r="HX115"/>
      <c r="HY115"/>
      <c r="HZ115"/>
      <c r="IA115"/>
      <c r="IB115"/>
      <c r="IC115"/>
      <c r="ID115"/>
      <c r="IE115"/>
      <c r="IF115"/>
      <c r="IG115"/>
      <c r="IH115"/>
      <c r="II115"/>
      <c r="IJ115"/>
      <c r="IK115"/>
      <c r="IL115"/>
      <c r="IM115"/>
      <c r="IN115"/>
      <c r="IO115"/>
      <c r="IP115"/>
      <c r="IQ115"/>
      <c r="IR115"/>
      <c r="IS115"/>
      <c r="IT115"/>
      <c r="IU115"/>
      <c r="IV115"/>
    </row>
    <row r="116" spans="1:256" s="201" customFormat="1" ht="14.25" x14ac:dyDescent="0.2">
      <c r="A116" s="10">
        <v>3355</v>
      </c>
      <c r="B116" s="11" t="s">
        <v>470</v>
      </c>
      <c r="C116" s="105" t="s">
        <v>471</v>
      </c>
      <c r="D116" s="11" t="s">
        <v>105</v>
      </c>
      <c r="E116" s="12">
        <v>20168</v>
      </c>
      <c r="F116" s="202">
        <v>27</v>
      </c>
      <c r="G116" s="11">
        <v>100000</v>
      </c>
      <c r="H116" s="116">
        <v>0</v>
      </c>
      <c r="I116" s="192"/>
      <c r="J116" s="204"/>
      <c r="K116" s="193"/>
      <c r="L116" s="193"/>
      <c r="M116" s="193"/>
      <c r="N116" s="203">
        <f t="shared" si="84"/>
        <v>100000</v>
      </c>
      <c r="O116" s="203">
        <f t="shared" si="85"/>
        <v>100000</v>
      </c>
      <c r="P116" s="203">
        <f t="shared" si="86"/>
        <v>100000</v>
      </c>
      <c r="Q116" s="214"/>
      <c r="R116" s="219"/>
      <c r="S116" s="217">
        <v>46218</v>
      </c>
      <c r="T116" s="205"/>
      <c r="U116" s="205"/>
      <c r="V116" s="215"/>
      <c r="W116" s="212"/>
      <c r="X116" s="10">
        <v>7</v>
      </c>
      <c r="Y116" s="10">
        <v>7</v>
      </c>
      <c r="Z116" s="213">
        <f t="shared" si="87"/>
        <v>100000</v>
      </c>
      <c r="AA116" s="62"/>
      <c r="AB116" s="62"/>
      <c r="AC116" s="62"/>
      <c r="AD116" s="62"/>
      <c r="AE116" s="62"/>
      <c r="AF116" s="63"/>
      <c r="AG116" s="64"/>
      <c r="AH116" s="6">
        <v>1</v>
      </c>
      <c r="AI116">
        <f t="shared" si="88"/>
        <v>25</v>
      </c>
      <c r="AJ116">
        <f t="shared" si="89"/>
        <v>25</v>
      </c>
      <c r="AK116">
        <f t="shared" si="90"/>
        <v>0</v>
      </c>
      <c r="AL116">
        <f t="shared" si="91"/>
        <v>0</v>
      </c>
      <c r="AM116">
        <f t="shared" si="92"/>
        <v>0</v>
      </c>
      <c r="AN116">
        <f t="shared" si="93"/>
        <v>0</v>
      </c>
      <c r="AO116">
        <f t="shared" si="94"/>
        <v>0</v>
      </c>
      <c r="AP116">
        <f t="shared" si="95"/>
        <v>0</v>
      </c>
      <c r="AQ116">
        <f t="shared" si="96"/>
        <v>0</v>
      </c>
      <c r="AR116">
        <f t="shared" si="97"/>
        <v>0</v>
      </c>
      <c r="AS116">
        <f t="shared" si="98"/>
        <v>0</v>
      </c>
      <c r="AT116">
        <f t="shared" si="99"/>
        <v>0</v>
      </c>
      <c r="AU116">
        <f t="shared" si="100"/>
        <v>1</v>
      </c>
      <c r="AV116">
        <f t="shared" si="101"/>
        <v>1</v>
      </c>
      <c r="AW116">
        <f t="shared" si="102"/>
        <v>1</v>
      </c>
      <c r="AX116">
        <f t="shared" si="103"/>
        <v>1</v>
      </c>
      <c r="AY116">
        <f t="shared" si="104"/>
        <v>100000</v>
      </c>
      <c r="AZ116">
        <f t="shared" si="105"/>
        <v>100000</v>
      </c>
      <c r="BA116">
        <f t="shared" si="106"/>
        <v>0</v>
      </c>
      <c r="BB116">
        <f t="shared" si="107"/>
        <v>0</v>
      </c>
      <c r="BC116">
        <f t="shared" si="108"/>
        <v>0</v>
      </c>
      <c r="BD116">
        <f t="shared" si="109"/>
        <v>0</v>
      </c>
      <c r="BE116">
        <f t="shared" si="110"/>
        <v>0</v>
      </c>
      <c r="BF116">
        <f t="shared" si="111"/>
        <v>0</v>
      </c>
      <c r="BG116"/>
      <c r="BH116"/>
      <c r="BI116"/>
      <c r="BJ116"/>
      <c r="BK116"/>
      <c r="BL116"/>
      <c r="BM116"/>
      <c r="BN116"/>
      <c r="BO116"/>
      <c r="BP116"/>
      <c r="BQ116"/>
      <c r="BR116"/>
      <c r="BS116"/>
      <c r="BT116"/>
      <c r="BU116"/>
      <c r="BV116"/>
      <c r="BW116"/>
      <c r="BX116"/>
      <c r="BY116"/>
      <c r="BZ116"/>
      <c r="CA116"/>
      <c r="CB116"/>
      <c r="CC116"/>
      <c r="CD116"/>
      <c r="CE116"/>
      <c r="CF116"/>
      <c r="CG116"/>
      <c r="CH116"/>
      <c r="CI116"/>
      <c r="CJ116"/>
      <c r="CK116"/>
      <c r="CL116"/>
      <c r="CM116"/>
      <c r="CN116"/>
      <c r="CO116"/>
      <c r="CP116"/>
      <c r="CQ116"/>
      <c r="CR116"/>
      <c r="CS116"/>
      <c r="CT116"/>
      <c r="CU116"/>
      <c r="CV116"/>
      <c r="CW116"/>
      <c r="CX116"/>
      <c r="CY116"/>
      <c r="CZ116"/>
      <c r="DA116"/>
      <c r="DB116"/>
      <c r="DC116"/>
      <c r="DD116"/>
      <c r="DE116"/>
      <c r="DF116"/>
      <c r="DG116"/>
      <c r="DH116"/>
      <c r="DI116"/>
      <c r="DJ116"/>
      <c r="DK116"/>
      <c r="DL116"/>
      <c r="DM116"/>
      <c r="DN116"/>
      <c r="DO116"/>
      <c r="DP116"/>
      <c r="DQ116"/>
      <c r="DR116"/>
      <c r="DS116"/>
      <c r="DT116"/>
      <c r="DU116"/>
      <c r="DV116"/>
      <c r="DW116"/>
      <c r="DX116"/>
      <c r="DY116"/>
      <c r="DZ116"/>
      <c r="EA116"/>
      <c r="EB116"/>
      <c r="EC116"/>
      <c r="ED116"/>
      <c r="EE116"/>
      <c r="EF116"/>
      <c r="EG116"/>
      <c r="EH116"/>
      <c r="EI116"/>
      <c r="EJ116"/>
      <c r="EK116"/>
      <c r="EL116"/>
      <c r="EM116"/>
      <c r="EN116"/>
      <c r="EO116"/>
      <c r="EP116"/>
      <c r="EQ116"/>
      <c r="ER116"/>
      <c r="ES116"/>
      <c r="ET116"/>
      <c r="EU116"/>
      <c r="EV116"/>
      <c r="EW116"/>
      <c r="EX116"/>
      <c r="EY116"/>
      <c r="EZ116"/>
      <c r="FA116"/>
      <c r="FB116"/>
      <c r="FC116"/>
      <c r="FD116"/>
      <c r="FE116"/>
      <c r="FF116"/>
      <c r="FG116"/>
      <c r="FH116"/>
      <c r="FI116"/>
      <c r="FJ116"/>
      <c r="FK116"/>
      <c r="FL116"/>
      <c r="FM116"/>
      <c r="FN116"/>
      <c r="FO116"/>
      <c r="FP116"/>
      <c r="FQ116"/>
      <c r="FR116"/>
      <c r="FS116"/>
      <c r="FT116"/>
      <c r="FU116"/>
      <c r="FV116"/>
      <c r="FW116"/>
      <c r="FX116"/>
      <c r="FY116"/>
      <c r="FZ116"/>
      <c r="GA116"/>
      <c r="GB116"/>
      <c r="GC116"/>
      <c r="GD116"/>
      <c r="GE116"/>
      <c r="GF116"/>
      <c r="GG116"/>
      <c r="GH116"/>
      <c r="GI116"/>
      <c r="GJ116"/>
      <c r="GK116"/>
      <c r="GL116"/>
      <c r="GM116"/>
      <c r="GN116"/>
      <c r="GO116"/>
      <c r="GP116"/>
      <c r="GQ116"/>
      <c r="GR116"/>
      <c r="GS116"/>
      <c r="GT116"/>
      <c r="GU116"/>
      <c r="GV116"/>
      <c r="GW116"/>
      <c r="GX116"/>
      <c r="GY116"/>
      <c r="GZ116"/>
      <c r="HA116"/>
      <c r="HB116"/>
      <c r="HC116"/>
      <c r="HD116"/>
      <c r="HE116"/>
      <c r="HF116"/>
      <c r="HG116"/>
      <c r="HH116"/>
      <c r="HI116"/>
      <c r="HJ116"/>
      <c r="HK116"/>
      <c r="HL116"/>
      <c r="HM116"/>
      <c r="HN116"/>
      <c r="HO116"/>
      <c r="HP116"/>
      <c r="HQ116"/>
      <c r="HR116"/>
      <c r="HS116"/>
      <c r="HT116"/>
      <c r="HU116"/>
      <c r="HV116"/>
      <c r="HW116"/>
      <c r="HX116"/>
      <c r="HY116"/>
      <c r="HZ116"/>
      <c r="IA116"/>
      <c r="IB116"/>
      <c r="IC116"/>
      <c r="ID116"/>
      <c r="IE116"/>
      <c r="IF116"/>
      <c r="IG116"/>
      <c r="IH116"/>
      <c r="II116"/>
      <c r="IJ116"/>
      <c r="IK116"/>
      <c r="IL116"/>
      <c r="IM116"/>
      <c r="IN116"/>
      <c r="IO116"/>
      <c r="IP116"/>
      <c r="IQ116"/>
      <c r="IR116"/>
      <c r="IS116"/>
      <c r="IT116"/>
      <c r="IU116"/>
      <c r="IV116"/>
    </row>
    <row r="117" spans="1:256" s="201" customFormat="1" ht="14.25" x14ac:dyDescent="0.2">
      <c r="A117" s="10">
        <v>3356</v>
      </c>
      <c r="B117" s="11" t="s">
        <v>472</v>
      </c>
      <c r="C117" s="105" t="s">
        <v>473</v>
      </c>
      <c r="D117" s="11" t="s">
        <v>218</v>
      </c>
      <c r="E117" s="12">
        <v>20349</v>
      </c>
      <c r="F117" s="202">
        <v>27</v>
      </c>
      <c r="G117" s="11">
        <v>40000</v>
      </c>
      <c r="H117" s="116">
        <v>0</v>
      </c>
      <c r="I117" s="192"/>
      <c r="J117" s="204"/>
      <c r="K117" s="193"/>
      <c r="L117" s="193"/>
      <c r="M117" s="193"/>
      <c r="N117" s="203">
        <f t="shared" si="84"/>
        <v>40000</v>
      </c>
      <c r="O117" s="203">
        <f t="shared" si="85"/>
        <v>40000</v>
      </c>
      <c r="P117" s="203">
        <f t="shared" si="86"/>
        <v>40000</v>
      </c>
      <c r="Q117" s="214"/>
      <c r="R117" s="219"/>
      <c r="S117" s="217">
        <v>46223</v>
      </c>
      <c r="T117" s="205"/>
      <c r="U117" s="205"/>
      <c r="V117" s="215"/>
      <c r="W117" s="212"/>
      <c r="X117" s="10">
        <v>7</v>
      </c>
      <c r="Y117" s="10">
        <v>7</v>
      </c>
      <c r="Z117" s="213">
        <f t="shared" si="87"/>
        <v>40000</v>
      </c>
      <c r="AA117" s="62"/>
      <c r="AB117" s="62"/>
      <c r="AC117" s="62"/>
      <c r="AD117" s="62"/>
      <c r="AE117" s="62"/>
      <c r="AF117" s="63"/>
      <c r="AG117" s="64"/>
      <c r="AH117" s="6">
        <v>1</v>
      </c>
      <c r="AI117">
        <f t="shared" si="88"/>
        <v>25</v>
      </c>
      <c r="AJ117">
        <f t="shared" si="89"/>
        <v>25</v>
      </c>
      <c r="AK117">
        <f t="shared" si="90"/>
        <v>0</v>
      </c>
      <c r="AL117">
        <f t="shared" si="91"/>
        <v>0</v>
      </c>
      <c r="AM117">
        <f t="shared" si="92"/>
        <v>0</v>
      </c>
      <c r="AN117">
        <f t="shared" si="93"/>
        <v>0</v>
      </c>
      <c r="AO117">
        <f t="shared" si="94"/>
        <v>0</v>
      </c>
      <c r="AP117">
        <f t="shared" si="95"/>
        <v>0</v>
      </c>
      <c r="AQ117">
        <f t="shared" si="96"/>
        <v>0</v>
      </c>
      <c r="AR117">
        <f t="shared" si="97"/>
        <v>0</v>
      </c>
      <c r="AS117">
        <f t="shared" si="98"/>
        <v>0</v>
      </c>
      <c r="AT117">
        <f t="shared" si="99"/>
        <v>0</v>
      </c>
      <c r="AU117">
        <f t="shared" si="100"/>
        <v>1</v>
      </c>
      <c r="AV117">
        <f t="shared" si="101"/>
        <v>1</v>
      </c>
      <c r="AW117">
        <f t="shared" si="102"/>
        <v>1</v>
      </c>
      <c r="AX117">
        <f t="shared" si="103"/>
        <v>1</v>
      </c>
      <c r="AY117">
        <f t="shared" si="104"/>
        <v>40000</v>
      </c>
      <c r="AZ117">
        <f t="shared" si="105"/>
        <v>40000</v>
      </c>
      <c r="BA117">
        <f t="shared" si="106"/>
        <v>0</v>
      </c>
      <c r="BB117">
        <f t="shared" si="107"/>
        <v>0</v>
      </c>
      <c r="BC117">
        <f t="shared" si="108"/>
        <v>0</v>
      </c>
      <c r="BD117">
        <f t="shared" si="109"/>
        <v>0</v>
      </c>
      <c r="BE117">
        <f t="shared" si="110"/>
        <v>0</v>
      </c>
      <c r="BF117">
        <f t="shared" si="111"/>
        <v>0</v>
      </c>
      <c r="BG117"/>
      <c r="BH117"/>
      <c r="BI117"/>
      <c r="BJ117"/>
      <c r="BK117"/>
      <c r="BL117"/>
      <c r="BM117"/>
      <c r="BN117"/>
      <c r="BO117"/>
      <c r="BP117"/>
      <c r="BQ117"/>
      <c r="BR117"/>
      <c r="BS117"/>
      <c r="BT117"/>
      <c r="BU117"/>
      <c r="BV117"/>
      <c r="BW117"/>
      <c r="BX117"/>
      <c r="BY117"/>
      <c r="BZ117"/>
      <c r="CA117"/>
      <c r="CB117"/>
      <c r="CC117"/>
      <c r="CD117"/>
      <c r="CE117"/>
      <c r="CF117"/>
      <c r="CG117"/>
      <c r="CH117"/>
      <c r="CI117"/>
      <c r="CJ117"/>
      <c r="CK117"/>
      <c r="CL117"/>
      <c r="CM117"/>
      <c r="CN117"/>
      <c r="CO117"/>
      <c r="CP117"/>
      <c r="CQ117"/>
      <c r="CR117"/>
      <c r="CS117"/>
      <c r="CT117"/>
      <c r="CU117"/>
      <c r="CV117"/>
      <c r="CW117"/>
      <c r="CX117"/>
      <c r="CY117"/>
      <c r="CZ117"/>
      <c r="DA117"/>
      <c r="DB117"/>
      <c r="DC117"/>
      <c r="DD117"/>
      <c r="DE117"/>
      <c r="DF117"/>
      <c r="DG117"/>
      <c r="DH117"/>
      <c r="DI117"/>
      <c r="DJ117"/>
      <c r="DK117"/>
      <c r="DL117"/>
      <c r="DM117"/>
      <c r="DN117"/>
      <c r="DO117"/>
      <c r="DP117"/>
      <c r="DQ117"/>
      <c r="DR117"/>
      <c r="DS117"/>
      <c r="DT117"/>
      <c r="DU117"/>
      <c r="DV117"/>
      <c r="DW117"/>
      <c r="DX117"/>
      <c r="DY117"/>
      <c r="DZ117"/>
      <c r="EA117"/>
      <c r="EB117"/>
      <c r="EC117"/>
      <c r="ED117"/>
      <c r="EE117"/>
      <c r="EF117"/>
      <c r="EG117"/>
      <c r="EH117"/>
      <c r="EI117"/>
      <c r="EJ117"/>
      <c r="EK117"/>
      <c r="EL117"/>
      <c r="EM117"/>
      <c r="EN117"/>
      <c r="EO117"/>
      <c r="EP117"/>
      <c r="EQ117"/>
      <c r="ER117"/>
      <c r="ES117"/>
      <c r="ET117"/>
      <c r="EU117"/>
      <c r="EV117"/>
      <c r="EW117"/>
      <c r="EX117"/>
      <c r="EY117"/>
      <c r="EZ117"/>
      <c r="FA117"/>
      <c r="FB117"/>
      <c r="FC117"/>
      <c r="FD117"/>
      <c r="FE117"/>
      <c r="FF117"/>
      <c r="FG117"/>
      <c r="FH117"/>
      <c r="FI117"/>
      <c r="FJ117"/>
      <c r="FK117"/>
      <c r="FL117"/>
      <c r="FM117"/>
      <c r="FN117"/>
      <c r="FO117"/>
      <c r="FP117"/>
      <c r="FQ117"/>
      <c r="FR117"/>
      <c r="FS117"/>
      <c r="FT117"/>
      <c r="FU117"/>
      <c r="FV117"/>
      <c r="FW117"/>
      <c r="FX117"/>
      <c r="FY117"/>
      <c r="FZ117"/>
      <c r="GA117"/>
      <c r="GB117"/>
      <c r="GC117"/>
      <c r="GD117"/>
      <c r="GE117"/>
      <c r="GF117"/>
      <c r="GG117"/>
      <c r="GH117"/>
      <c r="GI117"/>
      <c r="GJ117"/>
      <c r="GK117"/>
      <c r="GL117"/>
      <c r="GM117"/>
      <c r="GN117"/>
      <c r="GO117"/>
      <c r="GP117"/>
      <c r="GQ117"/>
      <c r="GR117"/>
      <c r="GS117"/>
      <c r="GT117"/>
      <c r="GU117"/>
      <c r="GV117"/>
      <c r="GW117"/>
      <c r="GX117"/>
      <c r="GY117"/>
      <c r="GZ117"/>
      <c r="HA117"/>
      <c r="HB117"/>
      <c r="HC117"/>
      <c r="HD117"/>
      <c r="HE117"/>
      <c r="HF117"/>
      <c r="HG117"/>
      <c r="HH117"/>
      <c r="HI117"/>
      <c r="HJ117"/>
      <c r="HK117"/>
      <c r="HL117"/>
      <c r="HM117"/>
      <c r="HN117"/>
      <c r="HO117"/>
      <c r="HP117"/>
      <c r="HQ117"/>
      <c r="HR117"/>
      <c r="HS117"/>
      <c r="HT117"/>
      <c r="HU117"/>
      <c r="HV117"/>
      <c r="HW117"/>
      <c r="HX117"/>
      <c r="HY117"/>
      <c r="HZ117"/>
      <c r="IA117"/>
      <c r="IB117"/>
      <c r="IC117"/>
      <c r="ID117"/>
      <c r="IE117"/>
      <c r="IF117"/>
      <c r="IG117"/>
      <c r="IH117"/>
      <c r="II117"/>
      <c r="IJ117"/>
      <c r="IK117"/>
      <c r="IL117"/>
      <c r="IM117"/>
      <c r="IN117"/>
      <c r="IO117"/>
      <c r="IP117"/>
      <c r="IQ117"/>
      <c r="IR117"/>
      <c r="IS117"/>
      <c r="IT117"/>
      <c r="IU117"/>
      <c r="IV117"/>
    </row>
    <row r="118" spans="1:256" s="201" customFormat="1" ht="14.25" x14ac:dyDescent="0.2">
      <c r="A118" s="10">
        <v>3366</v>
      </c>
      <c r="B118" s="11" t="s">
        <v>474</v>
      </c>
      <c r="C118" s="105" t="s">
        <v>475</v>
      </c>
      <c r="D118" s="11" t="s">
        <v>106</v>
      </c>
      <c r="E118" s="12">
        <v>20179</v>
      </c>
      <c r="F118" s="202">
        <v>27</v>
      </c>
      <c r="G118" s="11">
        <v>50000</v>
      </c>
      <c r="H118" s="116">
        <v>-50000</v>
      </c>
      <c r="I118" s="192"/>
      <c r="J118" s="204"/>
      <c r="K118" s="193"/>
      <c r="L118" s="193"/>
      <c r="M118" s="193"/>
      <c r="N118" s="203">
        <f t="shared" si="84"/>
        <v>50000</v>
      </c>
      <c r="O118" s="203">
        <f t="shared" si="85"/>
        <v>0</v>
      </c>
      <c r="P118" s="203">
        <f t="shared" si="86"/>
        <v>0</v>
      </c>
      <c r="Q118" s="214"/>
      <c r="R118" s="219"/>
      <c r="S118" s="217">
        <v>46212</v>
      </c>
      <c r="T118" s="205"/>
      <c r="U118" s="205"/>
      <c r="V118" s="215"/>
      <c r="W118" s="212"/>
      <c r="X118" s="10">
        <v>7</v>
      </c>
      <c r="Y118" s="10">
        <v>7</v>
      </c>
      <c r="Z118" s="213">
        <f t="shared" si="87"/>
        <v>50000</v>
      </c>
      <c r="AA118" s="62"/>
      <c r="AB118" s="62"/>
      <c r="AC118" s="62"/>
      <c r="AD118" s="62"/>
      <c r="AE118" s="62"/>
      <c r="AF118" s="63"/>
      <c r="AG118" s="64"/>
      <c r="AH118" s="6">
        <v>1</v>
      </c>
      <c r="AI118">
        <f t="shared" si="88"/>
        <v>25</v>
      </c>
      <c r="AJ118">
        <f t="shared" si="89"/>
        <v>15</v>
      </c>
      <c r="AK118">
        <f t="shared" si="90"/>
        <v>0</v>
      </c>
      <c r="AL118">
        <f t="shared" si="91"/>
        <v>0</v>
      </c>
      <c r="AM118">
        <f t="shared" si="92"/>
        <v>0</v>
      </c>
      <c r="AN118">
        <f t="shared" si="93"/>
        <v>0</v>
      </c>
      <c r="AO118">
        <f t="shared" si="94"/>
        <v>0</v>
      </c>
      <c r="AP118">
        <f t="shared" si="95"/>
        <v>0</v>
      </c>
      <c r="AQ118">
        <f t="shared" si="96"/>
        <v>0</v>
      </c>
      <c r="AR118">
        <f t="shared" si="97"/>
        <v>0</v>
      </c>
      <c r="AS118">
        <f t="shared" si="98"/>
        <v>0</v>
      </c>
      <c r="AT118">
        <f t="shared" si="99"/>
        <v>0</v>
      </c>
      <c r="AU118">
        <f t="shared" si="100"/>
        <v>0</v>
      </c>
      <c r="AV118">
        <f t="shared" si="101"/>
        <v>0</v>
      </c>
      <c r="AW118">
        <f t="shared" si="102"/>
        <v>0</v>
      </c>
      <c r="AX118">
        <f t="shared" si="103"/>
        <v>0</v>
      </c>
      <c r="AY118">
        <f t="shared" si="104"/>
        <v>0</v>
      </c>
      <c r="AZ118">
        <f t="shared" si="105"/>
        <v>0</v>
      </c>
      <c r="BA118">
        <f t="shared" si="106"/>
        <v>0</v>
      </c>
      <c r="BB118">
        <f t="shared" si="107"/>
        <v>0</v>
      </c>
      <c r="BC118">
        <f t="shared" si="108"/>
        <v>0</v>
      </c>
      <c r="BD118">
        <f t="shared" si="109"/>
        <v>0</v>
      </c>
      <c r="BE118">
        <f t="shared" si="110"/>
        <v>0</v>
      </c>
      <c r="BF118">
        <f t="shared" si="111"/>
        <v>0</v>
      </c>
      <c r="BG118"/>
      <c r="BH118"/>
      <c r="BI118"/>
      <c r="BJ118"/>
      <c r="BK118"/>
      <c r="BL118"/>
      <c r="BM118"/>
      <c r="BN118"/>
      <c r="BO118"/>
      <c r="BP118"/>
      <c r="BQ118"/>
      <c r="BR118"/>
      <c r="BS118"/>
      <c r="BT118"/>
      <c r="BU118"/>
      <c r="BV118"/>
      <c r="BW118"/>
      <c r="BX118"/>
      <c r="BY118"/>
      <c r="BZ118"/>
      <c r="CA118"/>
      <c r="CB118"/>
      <c r="CC118"/>
      <c r="CD118"/>
      <c r="CE118"/>
      <c r="CF118"/>
      <c r="CG118"/>
      <c r="CH118"/>
      <c r="CI118"/>
      <c r="CJ118"/>
      <c r="CK118"/>
      <c r="CL118"/>
      <c r="CM118"/>
      <c r="CN118"/>
      <c r="CO118"/>
      <c r="CP118"/>
      <c r="CQ118"/>
      <c r="CR118"/>
      <c r="CS118"/>
      <c r="CT118"/>
      <c r="CU118"/>
      <c r="CV118"/>
      <c r="CW118"/>
      <c r="CX118"/>
      <c r="CY118"/>
      <c r="CZ118"/>
      <c r="DA118"/>
      <c r="DB118"/>
      <c r="DC118"/>
      <c r="DD118"/>
      <c r="DE118"/>
      <c r="DF118"/>
      <c r="DG118"/>
      <c r="DH118"/>
      <c r="DI118"/>
      <c r="DJ118"/>
      <c r="DK118"/>
      <c r="DL118"/>
      <c r="DM118"/>
      <c r="DN118"/>
      <c r="DO118"/>
      <c r="DP118"/>
      <c r="DQ118"/>
      <c r="DR118"/>
      <c r="DS118"/>
      <c r="DT118"/>
      <c r="DU118"/>
      <c r="DV118"/>
      <c r="DW118"/>
      <c r="DX118"/>
      <c r="DY118"/>
      <c r="DZ118"/>
      <c r="EA118"/>
      <c r="EB118"/>
      <c r="EC118"/>
      <c r="ED118"/>
      <c r="EE118"/>
      <c r="EF118"/>
      <c r="EG118"/>
      <c r="EH118"/>
      <c r="EI118"/>
      <c r="EJ118"/>
      <c r="EK118"/>
      <c r="EL118"/>
      <c r="EM118"/>
      <c r="EN118"/>
      <c r="EO118"/>
      <c r="EP118"/>
      <c r="EQ118"/>
      <c r="ER118"/>
      <c r="ES118"/>
      <c r="ET118"/>
      <c r="EU118"/>
      <c r="EV118"/>
      <c r="EW118"/>
      <c r="EX118"/>
      <c r="EY118"/>
      <c r="EZ118"/>
      <c r="FA118"/>
      <c r="FB118"/>
      <c r="FC118"/>
      <c r="FD118"/>
      <c r="FE118"/>
      <c r="FF118"/>
      <c r="FG118"/>
      <c r="FH118"/>
      <c r="FI118"/>
      <c r="FJ118"/>
      <c r="FK118"/>
      <c r="FL118"/>
      <c r="FM118"/>
      <c r="FN118"/>
      <c r="FO118"/>
      <c r="FP118"/>
      <c r="FQ118"/>
      <c r="FR118"/>
      <c r="FS118"/>
      <c r="FT118"/>
      <c r="FU118"/>
      <c r="FV118"/>
      <c r="FW118"/>
      <c r="FX118"/>
      <c r="FY118"/>
      <c r="FZ118"/>
      <c r="GA118"/>
      <c r="GB118"/>
      <c r="GC118"/>
      <c r="GD118"/>
      <c r="GE118"/>
      <c r="GF118"/>
      <c r="GG118"/>
      <c r="GH118"/>
      <c r="GI118"/>
      <c r="GJ118"/>
      <c r="GK118"/>
      <c r="GL118"/>
      <c r="GM118"/>
      <c r="GN118"/>
      <c r="GO118"/>
      <c r="GP118"/>
      <c r="GQ118"/>
      <c r="GR118"/>
      <c r="GS118"/>
      <c r="GT118"/>
      <c r="GU118"/>
      <c r="GV118"/>
      <c r="GW118"/>
      <c r="GX118"/>
      <c r="GY118"/>
      <c r="GZ118"/>
      <c r="HA118"/>
      <c r="HB118"/>
      <c r="HC118"/>
      <c r="HD118"/>
      <c r="HE118"/>
      <c r="HF118"/>
      <c r="HG118"/>
      <c r="HH118"/>
      <c r="HI118"/>
      <c r="HJ118"/>
      <c r="HK118"/>
      <c r="HL118"/>
      <c r="HM118"/>
      <c r="HN118"/>
      <c r="HO118"/>
      <c r="HP118"/>
      <c r="HQ118"/>
      <c r="HR118"/>
      <c r="HS118"/>
      <c r="HT118"/>
      <c r="HU118"/>
      <c r="HV118"/>
      <c r="HW118"/>
      <c r="HX118"/>
      <c r="HY118"/>
      <c r="HZ118"/>
      <c r="IA118"/>
      <c r="IB118"/>
      <c r="IC118"/>
      <c r="ID118"/>
      <c r="IE118"/>
      <c r="IF118"/>
      <c r="IG118"/>
      <c r="IH118"/>
      <c r="II118"/>
      <c r="IJ118"/>
      <c r="IK118"/>
      <c r="IL118"/>
      <c r="IM118"/>
      <c r="IN118"/>
      <c r="IO118"/>
      <c r="IP118"/>
      <c r="IQ118"/>
      <c r="IR118"/>
      <c r="IS118"/>
      <c r="IT118"/>
      <c r="IU118"/>
      <c r="IV118"/>
    </row>
    <row r="119" spans="1:256" s="201" customFormat="1" ht="14.25" x14ac:dyDescent="0.2">
      <c r="A119" s="10">
        <v>3369</v>
      </c>
      <c r="B119" s="11" t="s">
        <v>476</v>
      </c>
      <c r="C119" s="105" t="s">
        <v>477</v>
      </c>
      <c r="D119" s="11" t="s">
        <v>154</v>
      </c>
      <c r="E119" s="12">
        <v>20151</v>
      </c>
      <c r="F119" s="202">
        <v>27</v>
      </c>
      <c r="G119" s="11">
        <v>40000</v>
      </c>
      <c r="H119" s="116">
        <v>-10000</v>
      </c>
      <c r="I119" s="192"/>
      <c r="J119" s="204"/>
      <c r="K119" s="193"/>
      <c r="L119" s="193"/>
      <c r="M119" s="193"/>
      <c r="N119" s="203">
        <f t="shared" si="84"/>
        <v>40000</v>
      </c>
      <c r="O119" s="203">
        <f t="shared" si="85"/>
        <v>30000</v>
      </c>
      <c r="P119" s="203">
        <f t="shared" si="86"/>
        <v>30000</v>
      </c>
      <c r="Q119" s="214"/>
      <c r="R119" s="219"/>
      <c r="S119" s="217">
        <v>46224</v>
      </c>
      <c r="T119" s="205"/>
      <c r="U119" s="205"/>
      <c r="V119" s="215"/>
      <c r="W119" s="212"/>
      <c r="X119" s="10">
        <v>7</v>
      </c>
      <c r="Y119" s="10">
        <v>7</v>
      </c>
      <c r="Z119" s="213">
        <f t="shared" si="87"/>
        <v>40000</v>
      </c>
      <c r="AA119" s="62"/>
      <c r="AB119" s="62"/>
      <c r="AC119" s="62"/>
      <c r="AD119" s="62"/>
      <c r="AE119" s="62"/>
      <c r="AF119" s="63"/>
      <c r="AG119" s="64"/>
      <c r="AH119" s="6">
        <v>1</v>
      </c>
      <c r="AI119">
        <f t="shared" si="88"/>
        <v>25</v>
      </c>
      <c r="AJ119">
        <f t="shared" si="89"/>
        <v>25</v>
      </c>
      <c r="AK119">
        <f t="shared" si="90"/>
        <v>0</v>
      </c>
      <c r="AL119">
        <f t="shared" si="91"/>
        <v>0</v>
      </c>
      <c r="AM119">
        <f t="shared" si="92"/>
        <v>0</v>
      </c>
      <c r="AN119">
        <f t="shared" si="93"/>
        <v>0</v>
      </c>
      <c r="AO119">
        <f t="shared" si="94"/>
        <v>0</v>
      </c>
      <c r="AP119">
        <f t="shared" si="95"/>
        <v>0</v>
      </c>
      <c r="AQ119">
        <f t="shared" si="96"/>
        <v>0</v>
      </c>
      <c r="AR119">
        <f t="shared" si="97"/>
        <v>0</v>
      </c>
      <c r="AS119">
        <f t="shared" si="98"/>
        <v>0</v>
      </c>
      <c r="AT119">
        <f t="shared" si="99"/>
        <v>0</v>
      </c>
      <c r="AU119">
        <f t="shared" si="100"/>
        <v>1</v>
      </c>
      <c r="AV119">
        <f t="shared" si="101"/>
        <v>1</v>
      </c>
      <c r="AW119">
        <f t="shared" si="102"/>
        <v>1</v>
      </c>
      <c r="AX119">
        <f t="shared" si="103"/>
        <v>1</v>
      </c>
      <c r="AY119">
        <f t="shared" si="104"/>
        <v>30000</v>
      </c>
      <c r="AZ119">
        <f t="shared" si="105"/>
        <v>30000</v>
      </c>
      <c r="BA119">
        <f t="shared" si="106"/>
        <v>0</v>
      </c>
      <c r="BB119">
        <f t="shared" si="107"/>
        <v>0</v>
      </c>
      <c r="BC119">
        <f t="shared" si="108"/>
        <v>0</v>
      </c>
      <c r="BD119">
        <f t="shared" si="109"/>
        <v>0</v>
      </c>
      <c r="BE119">
        <f t="shared" si="110"/>
        <v>0</v>
      </c>
      <c r="BF119">
        <f t="shared" si="111"/>
        <v>0</v>
      </c>
      <c r="BG119"/>
      <c r="BH119"/>
      <c r="BI119"/>
      <c r="BJ119"/>
      <c r="BK119"/>
      <c r="BL119"/>
      <c r="BM119"/>
      <c r="BN119"/>
      <c r="BO119"/>
      <c r="BP119"/>
      <c r="BQ119"/>
      <c r="BR119"/>
      <c r="BS119"/>
      <c r="BT119"/>
      <c r="BU119"/>
      <c r="BV119"/>
      <c r="BW119"/>
      <c r="BX119"/>
      <c r="BY119"/>
      <c r="BZ119"/>
      <c r="CA119"/>
      <c r="CB119"/>
      <c r="CC119"/>
      <c r="CD119"/>
      <c r="CE119"/>
      <c r="CF119"/>
      <c r="CG119"/>
      <c r="CH119"/>
      <c r="CI119"/>
      <c r="CJ119"/>
      <c r="CK119"/>
      <c r="CL119"/>
      <c r="CM119"/>
      <c r="CN119"/>
      <c r="CO119"/>
      <c r="CP119"/>
      <c r="CQ119"/>
      <c r="CR119"/>
      <c r="CS119"/>
      <c r="CT119"/>
      <c r="CU119"/>
      <c r="CV119"/>
      <c r="CW119"/>
      <c r="CX119"/>
      <c r="CY119"/>
      <c r="CZ119"/>
      <c r="DA119"/>
      <c r="DB119"/>
      <c r="DC119"/>
      <c r="DD119"/>
      <c r="DE119"/>
      <c r="DF119"/>
      <c r="DG119"/>
      <c r="DH119"/>
      <c r="DI119"/>
      <c r="DJ119"/>
      <c r="DK119"/>
      <c r="DL119"/>
      <c r="DM119"/>
      <c r="DN119"/>
      <c r="DO119"/>
      <c r="DP119"/>
      <c r="DQ119"/>
      <c r="DR119"/>
      <c r="DS119"/>
      <c r="DT119"/>
      <c r="DU119"/>
      <c r="DV119"/>
      <c r="DW119"/>
      <c r="DX119"/>
      <c r="DY119"/>
      <c r="DZ119"/>
      <c r="EA119"/>
      <c r="EB119"/>
      <c r="EC119"/>
      <c r="ED119"/>
      <c r="EE119"/>
      <c r="EF119"/>
      <c r="EG119"/>
      <c r="EH119"/>
      <c r="EI119"/>
      <c r="EJ119"/>
      <c r="EK119"/>
      <c r="EL119"/>
      <c r="EM119"/>
      <c r="EN119"/>
      <c r="EO119"/>
      <c r="EP119"/>
      <c r="EQ119"/>
      <c r="ER119"/>
      <c r="ES119"/>
      <c r="ET119"/>
      <c r="EU119"/>
      <c r="EV119"/>
      <c r="EW119"/>
      <c r="EX119"/>
      <c r="EY119"/>
      <c r="EZ119"/>
      <c r="FA119"/>
      <c r="FB119"/>
      <c r="FC119"/>
      <c r="FD119"/>
      <c r="FE119"/>
      <c r="FF119"/>
      <c r="FG119"/>
      <c r="FH119"/>
      <c r="FI119"/>
      <c r="FJ119"/>
      <c r="FK119"/>
      <c r="FL119"/>
      <c r="FM119"/>
      <c r="FN119"/>
      <c r="FO119"/>
      <c r="FP119"/>
      <c r="FQ119"/>
      <c r="FR119"/>
      <c r="FS119"/>
      <c r="FT119"/>
      <c r="FU119"/>
      <c r="FV119"/>
      <c r="FW119"/>
      <c r="FX119"/>
      <c r="FY119"/>
      <c r="FZ119"/>
      <c r="GA119"/>
      <c r="GB119"/>
      <c r="GC119"/>
      <c r="GD119"/>
      <c r="GE119"/>
      <c r="GF119"/>
      <c r="GG119"/>
      <c r="GH119"/>
      <c r="GI119"/>
      <c r="GJ119"/>
      <c r="GK119"/>
      <c r="GL119"/>
      <c r="GM119"/>
      <c r="GN119"/>
      <c r="GO119"/>
      <c r="GP119"/>
      <c r="GQ119"/>
      <c r="GR119"/>
      <c r="GS119"/>
      <c r="GT119"/>
      <c r="GU119"/>
      <c r="GV119"/>
      <c r="GW119"/>
      <c r="GX119"/>
      <c r="GY119"/>
      <c r="GZ119"/>
      <c r="HA119"/>
      <c r="HB119"/>
      <c r="HC119"/>
      <c r="HD119"/>
      <c r="HE119"/>
      <c r="HF119"/>
      <c r="HG119"/>
      <c r="HH119"/>
      <c r="HI119"/>
      <c r="HJ119"/>
      <c r="HK119"/>
      <c r="HL119"/>
      <c r="HM119"/>
      <c r="HN119"/>
      <c r="HO119"/>
      <c r="HP119"/>
      <c r="HQ119"/>
      <c r="HR119"/>
      <c r="HS119"/>
      <c r="HT119"/>
      <c r="HU119"/>
      <c r="HV119"/>
      <c r="HW119"/>
      <c r="HX119"/>
      <c r="HY119"/>
      <c r="HZ119"/>
      <c r="IA119"/>
      <c r="IB119"/>
      <c r="IC119"/>
      <c r="ID119"/>
      <c r="IE119"/>
      <c r="IF119"/>
      <c r="IG119"/>
      <c r="IH119"/>
      <c r="II119"/>
      <c r="IJ119"/>
      <c r="IK119"/>
      <c r="IL119"/>
      <c r="IM119"/>
      <c r="IN119"/>
      <c r="IO119"/>
      <c r="IP119"/>
      <c r="IQ119"/>
      <c r="IR119"/>
      <c r="IS119"/>
      <c r="IT119"/>
      <c r="IU119"/>
      <c r="IV119"/>
    </row>
    <row r="120" spans="1:256" s="201" customFormat="1" ht="14.25" x14ac:dyDescent="0.2">
      <c r="A120" s="10">
        <v>3371</v>
      </c>
      <c r="B120" s="11" t="s">
        <v>478</v>
      </c>
      <c r="C120" s="105" t="s">
        <v>479</v>
      </c>
      <c r="D120" s="11" t="s">
        <v>106</v>
      </c>
      <c r="E120" s="12">
        <v>20186</v>
      </c>
      <c r="F120" s="202">
        <v>27</v>
      </c>
      <c r="G120" s="11">
        <v>99999</v>
      </c>
      <c r="H120" s="116">
        <v>-13</v>
      </c>
      <c r="I120" s="192"/>
      <c r="J120" s="204"/>
      <c r="K120" s="193"/>
      <c r="L120" s="193"/>
      <c r="M120" s="193"/>
      <c r="N120" s="203">
        <f t="shared" si="84"/>
        <v>99999</v>
      </c>
      <c r="O120" s="203">
        <f t="shared" si="85"/>
        <v>99986</v>
      </c>
      <c r="P120" s="203">
        <f t="shared" si="86"/>
        <v>99986</v>
      </c>
      <c r="Q120" s="214"/>
      <c r="R120" s="219"/>
      <c r="S120" s="217">
        <v>46230</v>
      </c>
      <c r="T120" s="205"/>
      <c r="U120" s="205"/>
      <c r="V120" s="215"/>
      <c r="W120" s="212"/>
      <c r="X120" s="10">
        <v>7</v>
      </c>
      <c r="Y120" s="10">
        <v>7</v>
      </c>
      <c r="Z120" s="213">
        <f t="shared" si="87"/>
        <v>99999</v>
      </c>
      <c r="AA120" s="62"/>
      <c r="AB120" s="62"/>
      <c r="AC120" s="62"/>
      <c r="AD120" s="62"/>
      <c r="AE120" s="62"/>
      <c r="AF120" s="63"/>
      <c r="AG120" s="64"/>
      <c r="AH120" s="6">
        <v>1</v>
      </c>
      <c r="AI120">
        <f t="shared" si="88"/>
        <v>25</v>
      </c>
      <c r="AJ120">
        <f t="shared" si="89"/>
        <v>25</v>
      </c>
      <c r="AK120">
        <f t="shared" si="90"/>
        <v>0</v>
      </c>
      <c r="AL120">
        <f t="shared" si="91"/>
        <v>0</v>
      </c>
      <c r="AM120">
        <f t="shared" si="92"/>
        <v>0</v>
      </c>
      <c r="AN120">
        <f t="shared" si="93"/>
        <v>0</v>
      </c>
      <c r="AO120">
        <f t="shared" si="94"/>
        <v>0</v>
      </c>
      <c r="AP120">
        <f t="shared" si="95"/>
        <v>0</v>
      </c>
      <c r="AQ120">
        <f t="shared" si="96"/>
        <v>0</v>
      </c>
      <c r="AR120">
        <f t="shared" si="97"/>
        <v>0</v>
      </c>
      <c r="AS120">
        <f t="shared" si="98"/>
        <v>0</v>
      </c>
      <c r="AT120">
        <f t="shared" si="99"/>
        <v>0</v>
      </c>
      <c r="AU120">
        <f t="shared" si="100"/>
        <v>1</v>
      </c>
      <c r="AV120">
        <f t="shared" si="101"/>
        <v>1</v>
      </c>
      <c r="AW120">
        <f t="shared" si="102"/>
        <v>1</v>
      </c>
      <c r="AX120">
        <f t="shared" si="103"/>
        <v>1</v>
      </c>
      <c r="AY120">
        <f t="shared" si="104"/>
        <v>99986</v>
      </c>
      <c r="AZ120">
        <f t="shared" si="105"/>
        <v>99986</v>
      </c>
      <c r="BA120">
        <f t="shared" si="106"/>
        <v>0</v>
      </c>
      <c r="BB120">
        <f t="shared" si="107"/>
        <v>0</v>
      </c>
      <c r="BC120">
        <f t="shared" si="108"/>
        <v>0</v>
      </c>
      <c r="BD120">
        <f t="shared" si="109"/>
        <v>0</v>
      </c>
      <c r="BE120">
        <f t="shared" si="110"/>
        <v>0</v>
      </c>
      <c r="BF120">
        <f t="shared" si="111"/>
        <v>0</v>
      </c>
      <c r="BG120"/>
      <c r="BH120"/>
      <c r="BI120"/>
      <c r="BJ120"/>
      <c r="BK120"/>
      <c r="BL120"/>
      <c r="BM120"/>
      <c r="BN120"/>
      <c r="BO120"/>
      <c r="BP120"/>
      <c r="BQ120"/>
      <c r="BR120"/>
      <c r="BS120"/>
      <c r="BT120"/>
      <c r="BU120"/>
      <c r="BV120"/>
      <c r="BW120"/>
      <c r="BX120"/>
      <c r="BY120"/>
      <c r="BZ120"/>
      <c r="CA120"/>
      <c r="CB120"/>
      <c r="CC120"/>
      <c r="CD120"/>
      <c r="CE120"/>
      <c r="CF120"/>
      <c r="CG120"/>
      <c r="CH120"/>
      <c r="CI120"/>
      <c r="CJ120"/>
      <c r="CK120"/>
      <c r="CL120"/>
      <c r="CM120"/>
      <c r="CN120"/>
      <c r="CO120"/>
      <c r="CP120"/>
      <c r="CQ120"/>
      <c r="CR120"/>
      <c r="CS120"/>
      <c r="CT120"/>
      <c r="CU120"/>
      <c r="CV120"/>
      <c r="CW120"/>
      <c r="CX120"/>
      <c r="CY120"/>
      <c r="CZ120"/>
      <c r="DA120"/>
      <c r="DB120"/>
      <c r="DC120"/>
      <c r="DD120"/>
      <c r="DE120"/>
      <c r="DF120"/>
      <c r="DG120"/>
      <c r="DH120"/>
      <c r="DI120"/>
      <c r="DJ120"/>
      <c r="DK120"/>
      <c r="DL120"/>
      <c r="DM120"/>
      <c r="DN120"/>
      <c r="DO120"/>
      <c r="DP120"/>
      <c r="DQ120"/>
      <c r="DR120"/>
      <c r="DS120"/>
      <c r="DT120"/>
      <c r="DU120"/>
      <c r="DV120"/>
      <c r="DW120"/>
      <c r="DX120"/>
      <c r="DY120"/>
      <c r="DZ120"/>
      <c r="EA120"/>
      <c r="EB120"/>
      <c r="EC120"/>
      <c r="ED120"/>
      <c r="EE120"/>
      <c r="EF120"/>
      <c r="EG120"/>
      <c r="EH120"/>
      <c r="EI120"/>
      <c r="EJ120"/>
      <c r="EK120"/>
      <c r="EL120"/>
      <c r="EM120"/>
      <c r="EN120"/>
      <c r="EO120"/>
      <c r="EP120"/>
      <c r="EQ120"/>
      <c r="ER120"/>
      <c r="ES120"/>
      <c r="ET120"/>
      <c r="EU120"/>
      <c r="EV120"/>
      <c r="EW120"/>
      <c r="EX120"/>
      <c r="EY120"/>
      <c r="EZ120"/>
      <c r="FA120"/>
      <c r="FB120"/>
      <c r="FC120"/>
      <c r="FD120"/>
      <c r="FE120"/>
      <c r="FF120"/>
      <c r="FG120"/>
      <c r="FH120"/>
      <c r="FI120"/>
      <c r="FJ120"/>
      <c r="FK120"/>
      <c r="FL120"/>
      <c r="FM120"/>
      <c r="FN120"/>
      <c r="FO120"/>
      <c r="FP120"/>
      <c r="FQ120"/>
      <c r="FR120"/>
      <c r="FS120"/>
      <c r="FT120"/>
      <c r="FU120"/>
      <c r="FV120"/>
      <c r="FW120"/>
      <c r="FX120"/>
      <c r="FY120"/>
      <c r="FZ120"/>
      <c r="GA120"/>
      <c r="GB120"/>
      <c r="GC120"/>
      <c r="GD120"/>
      <c r="GE120"/>
      <c r="GF120"/>
      <c r="GG120"/>
      <c r="GH120"/>
      <c r="GI120"/>
      <c r="GJ120"/>
      <c r="GK120"/>
      <c r="GL120"/>
      <c r="GM120"/>
      <c r="GN120"/>
      <c r="GO120"/>
      <c r="GP120"/>
      <c r="GQ120"/>
      <c r="GR120"/>
      <c r="GS120"/>
      <c r="GT120"/>
      <c r="GU120"/>
      <c r="GV120"/>
      <c r="GW120"/>
      <c r="GX120"/>
      <c r="GY120"/>
      <c r="GZ120"/>
      <c r="HA120"/>
      <c r="HB120"/>
      <c r="HC120"/>
      <c r="HD120"/>
      <c r="HE120"/>
      <c r="HF120"/>
      <c r="HG120"/>
      <c r="HH120"/>
      <c r="HI120"/>
      <c r="HJ120"/>
      <c r="HK120"/>
      <c r="HL120"/>
      <c r="HM120"/>
      <c r="HN120"/>
      <c r="HO120"/>
      <c r="HP120"/>
      <c r="HQ120"/>
      <c r="HR120"/>
      <c r="HS120"/>
      <c r="HT120"/>
      <c r="HU120"/>
      <c r="HV120"/>
      <c r="HW120"/>
      <c r="HX120"/>
      <c r="HY120"/>
      <c r="HZ120"/>
      <c r="IA120"/>
      <c r="IB120"/>
      <c r="IC120"/>
      <c r="ID120"/>
      <c r="IE120"/>
      <c r="IF120"/>
      <c r="IG120"/>
      <c r="IH120"/>
      <c r="II120"/>
      <c r="IJ120"/>
      <c r="IK120"/>
      <c r="IL120"/>
      <c r="IM120"/>
      <c r="IN120"/>
      <c r="IO120"/>
      <c r="IP120"/>
      <c r="IQ120"/>
      <c r="IR120"/>
      <c r="IS120"/>
      <c r="IT120"/>
      <c r="IU120"/>
      <c r="IV120"/>
    </row>
    <row r="121" spans="1:256" s="201" customFormat="1" ht="14.25" x14ac:dyDescent="0.2">
      <c r="A121" s="10">
        <v>3378</v>
      </c>
      <c r="B121" s="11" t="s">
        <v>480</v>
      </c>
      <c r="C121" s="105" t="s">
        <v>481</v>
      </c>
      <c r="D121" s="11" t="s">
        <v>170</v>
      </c>
      <c r="E121" s="12">
        <v>20192</v>
      </c>
      <c r="F121" s="202">
        <v>26</v>
      </c>
      <c r="G121" s="11">
        <v>150000</v>
      </c>
      <c r="H121" s="116">
        <v>0</v>
      </c>
      <c r="I121" s="192"/>
      <c r="J121" s="204"/>
      <c r="K121" s="193"/>
      <c r="L121" s="193"/>
      <c r="M121" s="193"/>
      <c r="N121" s="203">
        <f t="shared" si="84"/>
        <v>150000</v>
      </c>
      <c r="O121" s="203">
        <f t="shared" si="85"/>
        <v>150000</v>
      </c>
      <c r="P121" s="203">
        <f t="shared" si="86"/>
        <v>150000</v>
      </c>
      <c r="Q121" s="214"/>
      <c r="R121" s="219"/>
      <c r="S121" s="217">
        <v>46211</v>
      </c>
      <c r="T121" s="205"/>
      <c r="U121" s="205"/>
      <c r="V121" s="215"/>
      <c r="W121" s="212"/>
      <c r="X121" s="10">
        <v>7</v>
      </c>
      <c r="Y121" s="10">
        <v>7</v>
      </c>
      <c r="Z121" s="213">
        <f t="shared" si="87"/>
        <v>150000</v>
      </c>
      <c r="AA121" s="62"/>
      <c r="AB121" s="62"/>
      <c r="AC121" s="62"/>
      <c r="AD121" s="62"/>
      <c r="AE121" s="62"/>
      <c r="AF121" s="63"/>
      <c r="AG121" s="64"/>
      <c r="AH121" s="6">
        <v>1</v>
      </c>
      <c r="AI121">
        <f t="shared" si="88"/>
        <v>25</v>
      </c>
      <c r="AJ121">
        <f t="shared" si="89"/>
        <v>25</v>
      </c>
      <c r="AK121">
        <f t="shared" si="90"/>
        <v>0</v>
      </c>
      <c r="AL121">
        <f t="shared" si="91"/>
        <v>0</v>
      </c>
      <c r="AM121">
        <f t="shared" si="92"/>
        <v>0</v>
      </c>
      <c r="AN121">
        <f t="shared" si="93"/>
        <v>0</v>
      </c>
      <c r="AO121">
        <f t="shared" si="94"/>
        <v>0</v>
      </c>
      <c r="AP121">
        <f t="shared" si="95"/>
        <v>0</v>
      </c>
      <c r="AQ121">
        <f t="shared" si="96"/>
        <v>0</v>
      </c>
      <c r="AR121">
        <f t="shared" si="97"/>
        <v>0</v>
      </c>
      <c r="AS121">
        <f t="shared" si="98"/>
        <v>0</v>
      </c>
      <c r="AT121">
        <f t="shared" si="99"/>
        <v>0</v>
      </c>
      <c r="AU121">
        <f t="shared" si="100"/>
        <v>1</v>
      </c>
      <c r="AV121">
        <f t="shared" si="101"/>
        <v>1</v>
      </c>
      <c r="AW121">
        <f t="shared" si="102"/>
        <v>1</v>
      </c>
      <c r="AX121">
        <f t="shared" si="103"/>
        <v>1</v>
      </c>
      <c r="AY121">
        <f t="shared" si="104"/>
        <v>150000</v>
      </c>
      <c r="AZ121">
        <f t="shared" si="105"/>
        <v>150000</v>
      </c>
      <c r="BA121">
        <f t="shared" si="106"/>
        <v>0</v>
      </c>
      <c r="BB121">
        <f t="shared" si="107"/>
        <v>0</v>
      </c>
      <c r="BC121">
        <f t="shared" si="108"/>
        <v>0</v>
      </c>
      <c r="BD121">
        <f t="shared" si="109"/>
        <v>0</v>
      </c>
      <c r="BE121">
        <f t="shared" si="110"/>
        <v>0</v>
      </c>
      <c r="BF121">
        <f t="shared" si="111"/>
        <v>0</v>
      </c>
      <c r="BG121"/>
      <c r="BH121"/>
      <c r="BI121"/>
      <c r="BJ121"/>
      <c r="BK121"/>
      <c r="BL121"/>
      <c r="BM121"/>
      <c r="BN121"/>
      <c r="BO121"/>
      <c r="BP121"/>
      <c r="BQ121"/>
      <c r="BR121"/>
      <c r="BS121"/>
      <c r="BT121"/>
      <c r="BU121"/>
      <c r="BV121"/>
      <c r="BW121"/>
      <c r="BX121"/>
      <c r="BY121"/>
      <c r="BZ121"/>
      <c r="CA121"/>
      <c r="CB121"/>
      <c r="CC121"/>
      <c r="CD121"/>
      <c r="CE121"/>
      <c r="CF121"/>
      <c r="CG121"/>
      <c r="CH121"/>
      <c r="CI121"/>
      <c r="CJ121"/>
      <c r="CK121"/>
      <c r="CL121"/>
      <c r="CM121"/>
      <c r="CN121"/>
      <c r="CO121"/>
      <c r="CP121"/>
      <c r="CQ121"/>
      <c r="CR121"/>
      <c r="CS121"/>
      <c r="CT121"/>
      <c r="CU121"/>
      <c r="CV121"/>
      <c r="CW121"/>
      <c r="CX121"/>
      <c r="CY121"/>
      <c r="CZ121"/>
      <c r="DA121"/>
      <c r="DB121"/>
      <c r="DC121"/>
      <c r="DD121"/>
      <c r="DE121"/>
      <c r="DF121"/>
      <c r="DG121"/>
      <c r="DH121"/>
      <c r="DI121"/>
      <c r="DJ121"/>
      <c r="DK121"/>
      <c r="DL121"/>
      <c r="DM121"/>
      <c r="DN121"/>
      <c r="DO121"/>
      <c r="DP121"/>
      <c r="DQ121"/>
      <c r="DR121"/>
      <c r="DS121"/>
      <c r="DT121"/>
      <c r="DU121"/>
      <c r="DV121"/>
      <c r="DW121"/>
      <c r="DX121"/>
      <c r="DY121"/>
      <c r="DZ121"/>
      <c r="EA121"/>
      <c r="EB121"/>
      <c r="EC121"/>
      <c r="ED121"/>
      <c r="EE121"/>
      <c r="EF121"/>
      <c r="EG121"/>
      <c r="EH121"/>
      <c r="EI121"/>
      <c r="EJ121"/>
      <c r="EK121"/>
      <c r="EL121"/>
      <c r="EM121"/>
      <c r="EN121"/>
      <c r="EO121"/>
      <c r="EP121"/>
      <c r="EQ121"/>
      <c r="ER121"/>
      <c r="ES121"/>
      <c r="ET121"/>
      <c r="EU121"/>
      <c r="EV121"/>
      <c r="EW121"/>
      <c r="EX121"/>
      <c r="EY121"/>
      <c r="EZ121"/>
      <c r="FA121"/>
      <c r="FB121"/>
      <c r="FC121"/>
      <c r="FD121"/>
      <c r="FE121"/>
      <c r="FF121"/>
      <c r="FG121"/>
      <c r="FH121"/>
      <c r="FI121"/>
      <c r="FJ121"/>
      <c r="FK121"/>
      <c r="FL121"/>
      <c r="FM121"/>
      <c r="FN121"/>
      <c r="FO121"/>
      <c r="FP121"/>
      <c r="FQ121"/>
      <c r="FR121"/>
      <c r="FS121"/>
      <c r="FT121"/>
      <c r="FU121"/>
      <c r="FV121"/>
      <c r="FW121"/>
      <c r="FX121"/>
      <c r="FY121"/>
      <c r="FZ121"/>
      <c r="GA121"/>
      <c r="GB121"/>
      <c r="GC121"/>
      <c r="GD121"/>
      <c r="GE121"/>
      <c r="GF121"/>
      <c r="GG121"/>
      <c r="GH121"/>
      <c r="GI121"/>
      <c r="GJ121"/>
      <c r="GK121"/>
      <c r="GL121"/>
      <c r="GM121"/>
      <c r="GN121"/>
      <c r="GO121"/>
      <c r="GP121"/>
      <c r="GQ121"/>
      <c r="GR121"/>
      <c r="GS121"/>
      <c r="GT121"/>
      <c r="GU121"/>
      <c r="GV121"/>
      <c r="GW121"/>
      <c r="GX121"/>
      <c r="GY121"/>
      <c r="GZ121"/>
      <c r="HA121"/>
      <c r="HB121"/>
      <c r="HC121"/>
      <c r="HD121"/>
      <c r="HE121"/>
      <c r="HF121"/>
      <c r="HG121"/>
      <c r="HH121"/>
      <c r="HI121"/>
      <c r="HJ121"/>
      <c r="HK121"/>
      <c r="HL121"/>
      <c r="HM121"/>
      <c r="HN121"/>
      <c r="HO121"/>
      <c r="HP121"/>
      <c r="HQ121"/>
      <c r="HR121"/>
      <c r="HS121"/>
      <c r="HT121"/>
      <c r="HU121"/>
      <c r="HV121"/>
      <c r="HW121"/>
      <c r="HX121"/>
      <c r="HY121"/>
      <c r="HZ121"/>
      <c r="IA121"/>
      <c r="IB121"/>
      <c r="IC121"/>
      <c r="ID121"/>
      <c r="IE121"/>
      <c r="IF121"/>
      <c r="IG121"/>
      <c r="IH121"/>
      <c r="II121"/>
      <c r="IJ121"/>
      <c r="IK121"/>
      <c r="IL121"/>
      <c r="IM121"/>
      <c r="IN121"/>
      <c r="IO121"/>
      <c r="IP121"/>
      <c r="IQ121"/>
      <c r="IR121"/>
      <c r="IS121"/>
      <c r="IT121"/>
      <c r="IU121"/>
      <c r="IV121"/>
    </row>
    <row r="122" spans="1:256" s="201" customFormat="1" ht="14.25" x14ac:dyDescent="0.2">
      <c r="A122" s="10">
        <v>3380</v>
      </c>
      <c r="B122" s="11" t="s">
        <v>482</v>
      </c>
      <c r="C122" s="105" t="s">
        <v>483</v>
      </c>
      <c r="D122" s="11" t="s">
        <v>154</v>
      </c>
      <c r="E122" s="12">
        <v>20198</v>
      </c>
      <c r="F122" s="202">
        <v>26</v>
      </c>
      <c r="G122" s="11">
        <v>50000</v>
      </c>
      <c r="H122" s="116">
        <v>-1</v>
      </c>
      <c r="I122" s="192"/>
      <c r="J122" s="204"/>
      <c r="K122" s="193"/>
      <c r="L122" s="193"/>
      <c r="M122" s="193"/>
      <c r="N122" s="203">
        <f t="shared" si="84"/>
        <v>50000</v>
      </c>
      <c r="O122" s="203">
        <f t="shared" si="85"/>
        <v>49999</v>
      </c>
      <c r="P122" s="203">
        <f t="shared" si="86"/>
        <v>49999</v>
      </c>
      <c r="Q122" s="214"/>
      <c r="R122" s="219"/>
      <c r="S122" s="217">
        <v>46234</v>
      </c>
      <c r="T122" s="205"/>
      <c r="U122" s="205"/>
      <c r="V122" s="215"/>
      <c r="W122" s="212"/>
      <c r="X122" s="10">
        <v>7</v>
      </c>
      <c r="Y122" s="10">
        <v>7</v>
      </c>
      <c r="Z122" s="213">
        <f t="shared" si="87"/>
        <v>50000</v>
      </c>
      <c r="AA122" s="62"/>
      <c r="AB122" s="62"/>
      <c r="AC122" s="62"/>
      <c r="AD122" s="62"/>
      <c r="AE122" s="62"/>
      <c r="AF122" s="63"/>
      <c r="AG122" s="64"/>
      <c r="AH122" s="6">
        <v>1</v>
      </c>
      <c r="AI122">
        <f t="shared" si="88"/>
        <v>25</v>
      </c>
      <c r="AJ122">
        <f t="shared" si="89"/>
        <v>25</v>
      </c>
      <c r="AK122">
        <f t="shared" si="90"/>
        <v>0</v>
      </c>
      <c r="AL122">
        <f t="shared" si="91"/>
        <v>0</v>
      </c>
      <c r="AM122">
        <f t="shared" si="92"/>
        <v>0</v>
      </c>
      <c r="AN122">
        <f t="shared" si="93"/>
        <v>0</v>
      </c>
      <c r="AO122">
        <f t="shared" si="94"/>
        <v>0</v>
      </c>
      <c r="AP122">
        <f t="shared" si="95"/>
        <v>0</v>
      </c>
      <c r="AQ122">
        <f t="shared" si="96"/>
        <v>0</v>
      </c>
      <c r="AR122">
        <f t="shared" si="97"/>
        <v>0</v>
      </c>
      <c r="AS122">
        <f t="shared" si="98"/>
        <v>0</v>
      </c>
      <c r="AT122">
        <f t="shared" si="99"/>
        <v>0</v>
      </c>
      <c r="AU122">
        <f t="shared" si="100"/>
        <v>1</v>
      </c>
      <c r="AV122">
        <f t="shared" si="101"/>
        <v>1</v>
      </c>
      <c r="AW122">
        <f t="shared" si="102"/>
        <v>1</v>
      </c>
      <c r="AX122">
        <f t="shared" si="103"/>
        <v>1</v>
      </c>
      <c r="AY122">
        <f t="shared" si="104"/>
        <v>49999</v>
      </c>
      <c r="AZ122">
        <f t="shared" si="105"/>
        <v>49999</v>
      </c>
      <c r="BA122">
        <f t="shared" si="106"/>
        <v>0</v>
      </c>
      <c r="BB122">
        <f t="shared" si="107"/>
        <v>0</v>
      </c>
      <c r="BC122">
        <f t="shared" si="108"/>
        <v>0</v>
      </c>
      <c r="BD122">
        <f t="shared" si="109"/>
        <v>0</v>
      </c>
      <c r="BE122">
        <f t="shared" si="110"/>
        <v>0</v>
      </c>
      <c r="BF122">
        <f t="shared" si="111"/>
        <v>0</v>
      </c>
      <c r="BG122"/>
      <c r="BH122"/>
      <c r="BI122"/>
      <c r="BJ122"/>
      <c r="BK122"/>
      <c r="BL122"/>
      <c r="BM122"/>
      <c r="BN122"/>
      <c r="BO122"/>
      <c r="BP122"/>
      <c r="BQ122"/>
      <c r="BR122"/>
      <c r="BS122"/>
      <c r="BT122"/>
      <c r="BU122"/>
      <c r="BV122"/>
      <c r="BW122"/>
      <c r="BX122"/>
      <c r="BY122"/>
      <c r="BZ122"/>
      <c r="CA122"/>
      <c r="CB122"/>
      <c r="CC122"/>
      <c r="CD122"/>
      <c r="CE122"/>
      <c r="CF122"/>
      <c r="CG122"/>
      <c r="CH122"/>
      <c r="CI122"/>
      <c r="CJ122"/>
      <c r="CK122"/>
      <c r="CL122"/>
      <c r="CM122"/>
      <c r="CN122"/>
      <c r="CO122"/>
      <c r="CP122"/>
      <c r="CQ122"/>
      <c r="CR122"/>
      <c r="CS122"/>
      <c r="CT122"/>
      <c r="CU122"/>
      <c r="CV122"/>
      <c r="CW122"/>
      <c r="CX122"/>
      <c r="CY122"/>
      <c r="CZ122"/>
      <c r="DA122"/>
      <c r="DB122"/>
      <c r="DC122"/>
      <c r="DD122"/>
      <c r="DE122"/>
      <c r="DF122"/>
      <c r="DG122"/>
      <c r="DH122"/>
      <c r="DI122"/>
      <c r="DJ122"/>
      <c r="DK122"/>
      <c r="DL122"/>
      <c r="DM122"/>
      <c r="DN122"/>
      <c r="DO122"/>
      <c r="DP122"/>
      <c r="DQ122"/>
      <c r="DR122"/>
      <c r="DS122"/>
      <c r="DT122"/>
      <c r="DU122"/>
      <c r="DV122"/>
      <c r="DW122"/>
      <c r="DX122"/>
      <c r="DY122"/>
      <c r="DZ122"/>
      <c r="EA122"/>
      <c r="EB122"/>
      <c r="EC122"/>
      <c r="ED122"/>
      <c r="EE122"/>
      <c r="EF122"/>
      <c r="EG122"/>
      <c r="EH122"/>
      <c r="EI122"/>
      <c r="EJ122"/>
      <c r="EK122"/>
      <c r="EL122"/>
      <c r="EM122"/>
      <c r="EN122"/>
      <c r="EO122"/>
      <c r="EP122"/>
      <c r="EQ122"/>
      <c r="ER122"/>
      <c r="ES122"/>
      <c r="ET122"/>
      <c r="EU122"/>
      <c r="EV122"/>
      <c r="EW122"/>
      <c r="EX122"/>
      <c r="EY122"/>
      <c r="EZ122"/>
      <c r="FA122"/>
      <c r="FB122"/>
      <c r="FC122"/>
      <c r="FD122"/>
      <c r="FE122"/>
      <c r="FF122"/>
      <c r="FG122"/>
      <c r="FH122"/>
      <c r="FI122"/>
      <c r="FJ122"/>
      <c r="FK122"/>
      <c r="FL122"/>
      <c r="FM122"/>
      <c r="FN122"/>
      <c r="FO122"/>
      <c r="FP122"/>
      <c r="FQ122"/>
      <c r="FR122"/>
      <c r="FS122"/>
      <c r="FT122"/>
      <c r="FU122"/>
      <c r="FV122"/>
      <c r="FW122"/>
      <c r="FX122"/>
      <c r="FY122"/>
      <c r="FZ122"/>
      <c r="GA122"/>
      <c r="GB122"/>
      <c r="GC122"/>
      <c r="GD122"/>
      <c r="GE122"/>
      <c r="GF122"/>
      <c r="GG122"/>
      <c r="GH122"/>
      <c r="GI122"/>
      <c r="GJ122"/>
      <c r="GK122"/>
      <c r="GL122"/>
      <c r="GM122"/>
      <c r="GN122"/>
      <c r="GO122"/>
      <c r="GP122"/>
      <c r="GQ122"/>
      <c r="GR122"/>
      <c r="GS122"/>
      <c r="GT122"/>
      <c r="GU122"/>
      <c r="GV122"/>
      <c r="GW122"/>
      <c r="GX122"/>
      <c r="GY122"/>
      <c r="GZ122"/>
      <c r="HA122"/>
      <c r="HB122"/>
      <c r="HC122"/>
      <c r="HD122"/>
      <c r="HE122"/>
      <c r="HF122"/>
      <c r="HG122"/>
      <c r="HH122"/>
      <c r="HI122"/>
      <c r="HJ122"/>
      <c r="HK122"/>
      <c r="HL122"/>
      <c r="HM122"/>
      <c r="HN122"/>
      <c r="HO122"/>
      <c r="HP122"/>
      <c r="HQ122"/>
      <c r="HR122"/>
      <c r="HS122"/>
      <c r="HT122"/>
      <c r="HU122"/>
      <c r="HV122"/>
      <c r="HW122"/>
      <c r="HX122"/>
      <c r="HY122"/>
      <c r="HZ122"/>
      <c r="IA122"/>
      <c r="IB122"/>
      <c r="IC122"/>
      <c r="ID122"/>
      <c r="IE122"/>
      <c r="IF122"/>
      <c r="IG122"/>
      <c r="IH122"/>
      <c r="II122"/>
      <c r="IJ122"/>
      <c r="IK122"/>
      <c r="IL122"/>
      <c r="IM122"/>
      <c r="IN122"/>
      <c r="IO122"/>
      <c r="IP122"/>
      <c r="IQ122"/>
      <c r="IR122"/>
      <c r="IS122"/>
      <c r="IT122"/>
      <c r="IU122"/>
      <c r="IV122"/>
    </row>
    <row r="123" spans="1:256" s="201" customFormat="1" ht="14.25" x14ac:dyDescent="0.2">
      <c r="A123" s="10">
        <v>3381</v>
      </c>
      <c r="B123" s="11" t="s">
        <v>484</v>
      </c>
      <c r="C123" s="105" t="s">
        <v>485</v>
      </c>
      <c r="D123" s="11" t="s">
        <v>154</v>
      </c>
      <c r="E123" s="12">
        <v>20200</v>
      </c>
      <c r="F123" s="202">
        <v>26</v>
      </c>
      <c r="G123" s="11">
        <v>99999</v>
      </c>
      <c r="H123" s="116">
        <v>-5</v>
      </c>
      <c r="I123" s="192"/>
      <c r="J123" s="204"/>
      <c r="K123" s="193"/>
      <c r="L123" s="193"/>
      <c r="M123" s="193"/>
      <c r="N123" s="203">
        <f t="shared" si="84"/>
        <v>99999</v>
      </c>
      <c r="O123" s="203">
        <f t="shared" si="85"/>
        <v>99994</v>
      </c>
      <c r="P123" s="203">
        <f t="shared" si="86"/>
        <v>99994</v>
      </c>
      <c r="Q123" s="214"/>
      <c r="R123" s="219"/>
      <c r="S123" s="217">
        <v>46223</v>
      </c>
      <c r="T123" s="205"/>
      <c r="U123" s="205"/>
      <c r="V123" s="215"/>
      <c r="W123" s="212"/>
      <c r="X123" s="10">
        <v>7</v>
      </c>
      <c r="Y123" s="10">
        <v>7</v>
      </c>
      <c r="Z123" s="213">
        <f t="shared" si="87"/>
        <v>99999</v>
      </c>
      <c r="AA123" s="62"/>
      <c r="AB123" s="62"/>
      <c r="AC123" s="62"/>
      <c r="AD123" s="62"/>
      <c r="AE123" s="62"/>
      <c r="AF123" s="63"/>
      <c r="AG123" s="64"/>
      <c r="AH123" s="6">
        <v>1</v>
      </c>
      <c r="AI123">
        <f t="shared" si="88"/>
        <v>25</v>
      </c>
      <c r="AJ123">
        <f t="shared" si="89"/>
        <v>25</v>
      </c>
      <c r="AK123">
        <f t="shared" si="90"/>
        <v>0</v>
      </c>
      <c r="AL123">
        <f t="shared" si="91"/>
        <v>0</v>
      </c>
      <c r="AM123">
        <f t="shared" si="92"/>
        <v>0</v>
      </c>
      <c r="AN123">
        <f t="shared" si="93"/>
        <v>0</v>
      </c>
      <c r="AO123">
        <f t="shared" si="94"/>
        <v>0</v>
      </c>
      <c r="AP123">
        <f t="shared" si="95"/>
        <v>0</v>
      </c>
      <c r="AQ123">
        <f t="shared" si="96"/>
        <v>0</v>
      </c>
      <c r="AR123">
        <f t="shared" si="97"/>
        <v>0</v>
      </c>
      <c r="AS123">
        <f t="shared" si="98"/>
        <v>0</v>
      </c>
      <c r="AT123">
        <f t="shared" si="99"/>
        <v>0</v>
      </c>
      <c r="AU123">
        <f t="shared" si="100"/>
        <v>1</v>
      </c>
      <c r="AV123">
        <f t="shared" si="101"/>
        <v>1</v>
      </c>
      <c r="AW123">
        <f t="shared" si="102"/>
        <v>1</v>
      </c>
      <c r="AX123">
        <f t="shared" si="103"/>
        <v>1</v>
      </c>
      <c r="AY123">
        <f t="shared" si="104"/>
        <v>99994</v>
      </c>
      <c r="AZ123">
        <f t="shared" si="105"/>
        <v>99994</v>
      </c>
      <c r="BA123">
        <f t="shared" si="106"/>
        <v>0</v>
      </c>
      <c r="BB123">
        <f t="shared" si="107"/>
        <v>0</v>
      </c>
      <c r="BC123">
        <f t="shared" si="108"/>
        <v>0</v>
      </c>
      <c r="BD123">
        <f t="shared" si="109"/>
        <v>0</v>
      </c>
      <c r="BE123">
        <f t="shared" si="110"/>
        <v>0</v>
      </c>
      <c r="BF123">
        <f t="shared" si="111"/>
        <v>0</v>
      </c>
      <c r="BG123"/>
      <c r="BH123"/>
      <c r="BI123"/>
      <c r="BJ123"/>
      <c r="BK123"/>
      <c r="BL123"/>
      <c r="BM123"/>
      <c r="BN123"/>
      <c r="BO123"/>
      <c r="BP123"/>
      <c r="BQ123"/>
      <c r="BR123"/>
      <c r="BS123"/>
      <c r="BT123"/>
      <c r="BU123"/>
      <c r="BV123"/>
      <c r="BW123"/>
      <c r="BX123"/>
      <c r="BY123"/>
      <c r="BZ123"/>
      <c r="CA123"/>
      <c r="CB123"/>
      <c r="CC123"/>
      <c r="CD123"/>
      <c r="CE123"/>
      <c r="CF123"/>
      <c r="CG123"/>
      <c r="CH123"/>
      <c r="CI123"/>
      <c r="CJ123"/>
      <c r="CK123"/>
      <c r="CL123"/>
      <c r="CM123"/>
      <c r="CN123"/>
      <c r="CO123"/>
      <c r="CP123"/>
      <c r="CQ123"/>
      <c r="CR123"/>
      <c r="CS123"/>
      <c r="CT123"/>
      <c r="CU123"/>
      <c r="CV123"/>
      <c r="CW123"/>
      <c r="CX123"/>
      <c r="CY123"/>
      <c r="CZ123"/>
      <c r="DA123"/>
      <c r="DB123"/>
      <c r="DC123"/>
      <c r="DD123"/>
      <c r="DE123"/>
      <c r="DF123"/>
      <c r="DG123"/>
      <c r="DH123"/>
      <c r="DI123"/>
      <c r="DJ123"/>
      <c r="DK123"/>
      <c r="DL123"/>
      <c r="DM123"/>
      <c r="DN123"/>
      <c r="DO123"/>
      <c r="DP123"/>
      <c r="DQ123"/>
      <c r="DR123"/>
      <c r="DS123"/>
      <c r="DT123"/>
      <c r="DU123"/>
      <c r="DV123"/>
      <c r="DW123"/>
      <c r="DX123"/>
      <c r="DY123"/>
      <c r="DZ123"/>
      <c r="EA123"/>
      <c r="EB123"/>
      <c r="EC123"/>
      <c r="ED123"/>
      <c r="EE123"/>
      <c r="EF123"/>
      <c r="EG123"/>
      <c r="EH123"/>
      <c r="EI123"/>
      <c r="EJ123"/>
      <c r="EK123"/>
      <c r="EL123"/>
      <c r="EM123"/>
      <c r="EN123"/>
      <c r="EO123"/>
      <c r="EP123"/>
      <c r="EQ123"/>
      <c r="ER123"/>
      <c r="ES123"/>
      <c r="ET123"/>
      <c r="EU123"/>
      <c r="EV123"/>
      <c r="EW123"/>
      <c r="EX123"/>
      <c r="EY123"/>
      <c r="EZ123"/>
      <c r="FA123"/>
      <c r="FB123"/>
      <c r="FC123"/>
      <c r="FD123"/>
      <c r="FE123"/>
      <c r="FF123"/>
      <c r="FG123"/>
      <c r="FH123"/>
      <c r="FI123"/>
      <c r="FJ123"/>
      <c r="FK123"/>
      <c r="FL123"/>
      <c r="FM123"/>
      <c r="FN123"/>
      <c r="FO123"/>
      <c r="FP123"/>
      <c r="FQ123"/>
      <c r="FR123"/>
      <c r="FS123"/>
      <c r="FT123"/>
      <c r="FU123"/>
      <c r="FV123"/>
      <c r="FW123"/>
      <c r="FX123"/>
      <c r="FY123"/>
      <c r="FZ123"/>
      <c r="GA123"/>
      <c r="GB123"/>
      <c r="GC123"/>
      <c r="GD123"/>
      <c r="GE123"/>
      <c r="GF123"/>
      <c r="GG123"/>
      <c r="GH123"/>
      <c r="GI123"/>
      <c r="GJ123"/>
      <c r="GK123"/>
      <c r="GL123"/>
      <c r="GM123"/>
      <c r="GN123"/>
      <c r="GO123"/>
      <c r="GP123"/>
      <c r="GQ123"/>
      <c r="GR123"/>
      <c r="GS123"/>
      <c r="GT123"/>
      <c r="GU123"/>
      <c r="GV123"/>
      <c r="GW123"/>
      <c r="GX123"/>
      <c r="GY123"/>
      <c r="GZ123"/>
      <c r="HA123"/>
      <c r="HB123"/>
      <c r="HC123"/>
      <c r="HD123"/>
      <c r="HE123"/>
      <c r="HF123"/>
      <c r="HG123"/>
      <c r="HH123"/>
      <c r="HI123"/>
      <c r="HJ123"/>
      <c r="HK123"/>
      <c r="HL123"/>
      <c r="HM123"/>
      <c r="HN123"/>
      <c r="HO123"/>
      <c r="HP123"/>
      <c r="HQ123"/>
      <c r="HR123"/>
      <c r="HS123"/>
      <c r="HT123"/>
      <c r="HU123"/>
      <c r="HV123"/>
      <c r="HW123"/>
      <c r="HX123"/>
      <c r="HY123"/>
      <c r="HZ123"/>
      <c r="IA123"/>
      <c r="IB123"/>
      <c r="IC123"/>
      <c r="ID123"/>
      <c r="IE123"/>
      <c r="IF123"/>
      <c r="IG123"/>
      <c r="IH123"/>
      <c r="II123"/>
      <c r="IJ123"/>
      <c r="IK123"/>
      <c r="IL123"/>
      <c r="IM123"/>
      <c r="IN123"/>
      <c r="IO123"/>
      <c r="IP123"/>
      <c r="IQ123"/>
      <c r="IR123"/>
      <c r="IS123"/>
      <c r="IT123"/>
      <c r="IU123"/>
      <c r="IV123"/>
    </row>
    <row r="124" spans="1:256" s="201" customFormat="1" ht="14.25" x14ac:dyDescent="0.2">
      <c r="A124" s="10">
        <v>3388</v>
      </c>
      <c r="B124" s="11" t="s">
        <v>486</v>
      </c>
      <c r="C124" s="105" t="s">
        <v>487</v>
      </c>
      <c r="D124" s="11" t="s">
        <v>106</v>
      </c>
      <c r="E124" s="12">
        <v>20211</v>
      </c>
      <c r="F124" s="202">
        <v>26</v>
      </c>
      <c r="G124" s="11">
        <v>80000</v>
      </c>
      <c r="H124" s="116">
        <v>0</v>
      </c>
      <c r="I124" s="192"/>
      <c r="J124" s="204"/>
      <c r="K124" s="193"/>
      <c r="L124" s="193"/>
      <c r="M124" s="193"/>
      <c r="N124" s="203">
        <f t="shared" si="84"/>
        <v>80000</v>
      </c>
      <c r="O124" s="203">
        <f t="shared" si="85"/>
        <v>80000</v>
      </c>
      <c r="P124" s="203">
        <f t="shared" si="86"/>
        <v>80000</v>
      </c>
      <c r="Q124" s="214"/>
      <c r="R124" s="219"/>
      <c r="S124" s="217">
        <v>46233</v>
      </c>
      <c r="T124" s="205"/>
      <c r="U124" s="205"/>
      <c r="V124" s="215"/>
      <c r="W124" s="212"/>
      <c r="X124" s="10">
        <v>7</v>
      </c>
      <c r="Y124" s="10">
        <v>7</v>
      </c>
      <c r="Z124" s="213">
        <f t="shared" si="87"/>
        <v>80000</v>
      </c>
      <c r="AA124" s="62"/>
      <c r="AB124" s="62"/>
      <c r="AC124" s="62"/>
      <c r="AD124" s="62"/>
      <c r="AE124" s="62"/>
      <c r="AF124" s="63"/>
      <c r="AG124" s="64"/>
      <c r="AH124" s="6">
        <v>1</v>
      </c>
      <c r="AI124">
        <f t="shared" si="88"/>
        <v>25</v>
      </c>
      <c r="AJ124">
        <f t="shared" si="89"/>
        <v>25</v>
      </c>
      <c r="AK124">
        <f t="shared" si="90"/>
        <v>0</v>
      </c>
      <c r="AL124">
        <f t="shared" si="91"/>
        <v>0</v>
      </c>
      <c r="AM124">
        <f t="shared" si="92"/>
        <v>0</v>
      </c>
      <c r="AN124">
        <f t="shared" si="93"/>
        <v>0</v>
      </c>
      <c r="AO124">
        <f t="shared" si="94"/>
        <v>0</v>
      </c>
      <c r="AP124">
        <f t="shared" si="95"/>
        <v>0</v>
      </c>
      <c r="AQ124">
        <f t="shared" si="96"/>
        <v>0</v>
      </c>
      <c r="AR124">
        <f t="shared" si="97"/>
        <v>0</v>
      </c>
      <c r="AS124">
        <f t="shared" si="98"/>
        <v>0</v>
      </c>
      <c r="AT124">
        <f t="shared" si="99"/>
        <v>0</v>
      </c>
      <c r="AU124">
        <f t="shared" si="100"/>
        <v>1</v>
      </c>
      <c r="AV124">
        <f t="shared" si="101"/>
        <v>1</v>
      </c>
      <c r="AW124">
        <f t="shared" si="102"/>
        <v>1</v>
      </c>
      <c r="AX124">
        <f t="shared" si="103"/>
        <v>1</v>
      </c>
      <c r="AY124">
        <f t="shared" si="104"/>
        <v>80000</v>
      </c>
      <c r="AZ124">
        <f t="shared" si="105"/>
        <v>80000</v>
      </c>
      <c r="BA124">
        <f t="shared" si="106"/>
        <v>0</v>
      </c>
      <c r="BB124">
        <f t="shared" si="107"/>
        <v>0</v>
      </c>
      <c r="BC124">
        <f t="shared" si="108"/>
        <v>0</v>
      </c>
      <c r="BD124">
        <f t="shared" si="109"/>
        <v>0</v>
      </c>
      <c r="BE124">
        <f t="shared" si="110"/>
        <v>0</v>
      </c>
      <c r="BF124">
        <f t="shared" si="111"/>
        <v>0</v>
      </c>
      <c r="BG124"/>
      <c r="BH124"/>
      <c r="BI124"/>
      <c r="BJ124"/>
      <c r="BK124"/>
      <c r="BL124"/>
      <c r="BM124"/>
      <c r="BN124"/>
      <c r="BO124"/>
      <c r="BP124"/>
      <c r="BQ124"/>
      <c r="BR124"/>
      <c r="BS124"/>
      <c r="BT124"/>
      <c r="BU124"/>
      <c r="BV124"/>
      <c r="BW124"/>
      <c r="BX124"/>
      <c r="BY124"/>
      <c r="BZ124"/>
      <c r="CA124"/>
      <c r="CB124"/>
      <c r="CC124"/>
      <c r="CD124"/>
      <c r="CE124"/>
      <c r="CF124"/>
      <c r="CG124"/>
      <c r="CH124"/>
      <c r="CI124"/>
      <c r="CJ124"/>
      <c r="CK124"/>
      <c r="CL124"/>
      <c r="CM124"/>
      <c r="CN124"/>
      <c r="CO124"/>
      <c r="CP124"/>
      <c r="CQ124"/>
      <c r="CR124"/>
      <c r="CS124"/>
      <c r="CT124"/>
      <c r="CU124"/>
      <c r="CV124"/>
      <c r="CW124"/>
      <c r="CX124"/>
      <c r="CY124"/>
      <c r="CZ124"/>
      <c r="DA124"/>
      <c r="DB124"/>
      <c r="DC124"/>
      <c r="DD124"/>
      <c r="DE124"/>
      <c r="DF124"/>
      <c r="DG124"/>
      <c r="DH124"/>
      <c r="DI124"/>
      <c r="DJ124"/>
      <c r="DK124"/>
      <c r="DL124"/>
      <c r="DM124"/>
      <c r="DN124"/>
      <c r="DO124"/>
      <c r="DP124"/>
      <c r="DQ124"/>
      <c r="DR124"/>
      <c r="DS124"/>
      <c r="DT124"/>
      <c r="DU124"/>
      <c r="DV124"/>
      <c r="DW124"/>
      <c r="DX124"/>
      <c r="DY124"/>
      <c r="DZ124"/>
      <c r="EA124"/>
      <c r="EB124"/>
      <c r="EC124"/>
      <c r="ED124"/>
      <c r="EE124"/>
      <c r="EF124"/>
      <c r="EG124"/>
      <c r="EH124"/>
      <c r="EI124"/>
      <c r="EJ124"/>
      <c r="EK124"/>
      <c r="EL124"/>
      <c r="EM124"/>
      <c r="EN124"/>
      <c r="EO124"/>
      <c r="EP124"/>
      <c r="EQ124"/>
      <c r="ER124"/>
      <c r="ES124"/>
      <c r="ET124"/>
      <c r="EU124"/>
      <c r="EV124"/>
      <c r="EW124"/>
      <c r="EX124"/>
      <c r="EY124"/>
      <c r="EZ124"/>
      <c r="FA124"/>
      <c r="FB124"/>
      <c r="FC124"/>
      <c r="FD124"/>
      <c r="FE124"/>
      <c r="FF124"/>
      <c r="FG124"/>
      <c r="FH124"/>
      <c r="FI124"/>
      <c r="FJ124"/>
      <c r="FK124"/>
      <c r="FL124"/>
      <c r="FM124"/>
      <c r="FN124"/>
      <c r="FO124"/>
      <c r="FP124"/>
      <c r="FQ124"/>
      <c r="FR124"/>
      <c r="FS124"/>
      <c r="FT124"/>
      <c r="FU124"/>
      <c r="FV124"/>
      <c r="FW124"/>
      <c r="FX124"/>
      <c r="FY124"/>
      <c r="FZ124"/>
      <c r="GA124"/>
      <c r="GB124"/>
      <c r="GC124"/>
      <c r="GD124"/>
      <c r="GE124"/>
      <c r="GF124"/>
      <c r="GG124"/>
      <c r="GH124"/>
      <c r="GI124"/>
      <c r="GJ124"/>
      <c r="GK124"/>
      <c r="GL124"/>
      <c r="GM124"/>
      <c r="GN124"/>
      <c r="GO124"/>
      <c r="GP124"/>
      <c r="GQ124"/>
      <c r="GR124"/>
      <c r="GS124"/>
      <c r="GT124"/>
      <c r="GU124"/>
      <c r="GV124"/>
      <c r="GW124"/>
      <c r="GX124"/>
      <c r="GY124"/>
      <c r="GZ124"/>
      <c r="HA124"/>
      <c r="HB124"/>
      <c r="HC124"/>
      <c r="HD124"/>
      <c r="HE124"/>
      <c r="HF124"/>
      <c r="HG124"/>
      <c r="HH124"/>
      <c r="HI124"/>
      <c r="HJ124"/>
      <c r="HK124"/>
      <c r="HL124"/>
      <c r="HM124"/>
      <c r="HN124"/>
      <c r="HO124"/>
      <c r="HP124"/>
      <c r="HQ124"/>
      <c r="HR124"/>
      <c r="HS124"/>
      <c r="HT124"/>
      <c r="HU124"/>
      <c r="HV124"/>
      <c r="HW124"/>
      <c r="HX124"/>
      <c r="HY124"/>
      <c r="HZ124"/>
      <c r="IA124"/>
      <c r="IB124"/>
      <c r="IC124"/>
      <c r="ID124"/>
      <c r="IE124"/>
      <c r="IF124"/>
      <c r="IG124"/>
      <c r="IH124"/>
      <c r="II124"/>
      <c r="IJ124"/>
      <c r="IK124"/>
      <c r="IL124"/>
      <c r="IM124"/>
      <c r="IN124"/>
      <c r="IO124"/>
      <c r="IP124"/>
      <c r="IQ124"/>
      <c r="IR124"/>
      <c r="IS124"/>
      <c r="IT124"/>
      <c r="IU124"/>
      <c r="IV124"/>
    </row>
    <row r="125" spans="1:256" s="201" customFormat="1" ht="14.25" x14ac:dyDescent="0.2">
      <c r="A125" s="10">
        <v>3400</v>
      </c>
      <c r="B125" s="11" t="s">
        <v>488</v>
      </c>
      <c r="C125" s="105" t="s">
        <v>489</v>
      </c>
      <c r="D125" s="11" t="s">
        <v>144</v>
      </c>
      <c r="E125" s="12">
        <v>20201</v>
      </c>
      <c r="F125" s="202">
        <v>25</v>
      </c>
      <c r="G125" s="11">
        <v>60000</v>
      </c>
      <c r="H125" s="116">
        <v>0</v>
      </c>
      <c r="I125" s="192"/>
      <c r="J125" s="204"/>
      <c r="K125" s="193"/>
      <c r="L125" s="193"/>
      <c r="M125" s="193"/>
      <c r="N125" s="203">
        <f t="shared" si="84"/>
        <v>60000</v>
      </c>
      <c r="O125" s="203">
        <f t="shared" si="85"/>
        <v>60000</v>
      </c>
      <c r="P125" s="203">
        <f t="shared" si="86"/>
        <v>60000</v>
      </c>
      <c r="Q125" s="214"/>
      <c r="R125" s="219"/>
      <c r="S125" s="217">
        <v>46211</v>
      </c>
      <c r="T125" s="205"/>
      <c r="U125" s="205"/>
      <c r="V125" s="215"/>
      <c r="W125" s="212"/>
      <c r="X125" s="10">
        <v>7</v>
      </c>
      <c r="Y125" s="10">
        <v>7</v>
      </c>
      <c r="Z125" s="213">
        <f t="shared" si="87"/>
        <v>60000</v>
      </c>
      <c r="AA125" s="62"/>
      <c r="AB125" s="62"/>
      <c r="AC125" s="62"/>
      <c r="AD125" s="62"/>
      <c r="AE125" s="62"/>
      <c r="AF125" s="63"/>
      <c r="AG125" s="64"/>
      <c r="AH125" s="6">
        <v>1</v>
      </c>
      <c r="AI125">
        <f t="shared" si="88"/>
        <v>25</v>
      </c>
      <c r="AJ125">
        <f t="shared" si="89"/>
        <v>25</v>
      </c>
      <c r="AK125">
        <f t="shared" si="90"/>
        <v>0</v>
      </c>
      <c r="AL125">
        <f t="shared" si="91"/>
        <v>0</v>
      </c>
      <c r="AM125">
        <f t="shared" si="92"/>
        <v>0</v>
      </c>
      <c r="AN125">
        <f t="shared" si="93"/>
        <v>0</v>
      </c>
      <c r="AO125">
        <f t="shared" si="94"/>
        <v>0</v>
      </c>
      <c r="AP125">
        <f t="shared" si="95"/>
        <v>0</v>
      </c>
      <c r="AQ125">
        <f t="shared" si="96"/>
        <v>0</v>
      </c>
      <c r="AR125">
        <f t="shared" si="97"/>
        <v>0</v>
      </c>
      <c r="AS125">
        <f t="shared" si="98"/>
        <v>0</v>
      </c>
      <c r="AT125">
        <f t="shared" si="99"/>
        <v>0</v>
      </c>
      <c r="AU125">
        <f t="shared" si="100"/>
        <v>1</v>
      </c>
      <c r="AV125">
        <f t="shared" si="101"/>
        <v>1</v>
      </c>
      <c r="AW125">
        <f t="shared" si="102"/>
        <v>1</v>
      </c>
      <c r="AX125">
        <f t="shared" si="103"/>
        <v>1</v>
      </c>
      <c r="AY125">
        <f t="shared" si="104"/>
        <v>60000</v>
      </c>
      <c r="AZ125">
        <f t="shared" si="105"/>
        <v>60000</v>
      </c>
      <c r="BA125">
        <f t="shared" si="106"/>
        <v>0</v>
      </c>
      <c r="BB125">
        <f t="shared" si="107"/>
        <v>0</v>
      </c>
      <c r="BC125">
        <f t="shared" si="108"/>
        <v>0</v>
      </c>
      <c r="BD125">
        <f t="shared" si="109"/>
        <v>0</v>
      </c>
      <c r="BE125">
        <f t="shared" si="110"/>
        <v>0</v>
      </c>
      <c r="BF125">
        <f t="shared" si="111"/>
        <v>0</v>
      </c>
      <c r="BG125"/>
      <c r="BH125"/>
      <c r="BI125"/>
      <c r="BJ125"/>
      <c r="BK125"/>
      <c r="BL125"/>
      <c r="BM125"/>
      <c r="BN125"/>
      <c r="BO125"/>
      <c r="BP125"/>
      <c r="BQ125"/>
      <c r="BR125"/>
      <c r="BS125"/>
      <c r="BT125"/>
      <c r="BU125"/>
      <c r="BV125"/>
      <c r="BW125"/>
      <c r="BX125"/>
      <c r="BY125"/>
      <c r="BZ125"/>
      <c r="CA125"/>
      <c r="CB125"/>
      <c r="CC125"/>
      <c r="CD125"/>
      <c r="CE125"/>
      <c r="CF125"/>
      <c r="CG125"/>
      <c r="CH125"/>
      <c r="CI125"/>
      <c r="CJ125"/>
      <c r="CK125"/>
      <c r="CL125"/>
      <c r="CM125"/>
      <c r="CN125"/>
      <c r="CO125"/>
      <c r="CP125"/>
      <c r="CQ125"/>
      <c r="CR125"/>
      <c r="CS125"/>
      <c r="CT125"/>
      <c r="CU125"/>
      <c r="CV125"/>
      <c r="CW125"/>
      <c r="CX125"/>
      <c r="CY125"/>
      <c r="CZ125"/>
      <c r="DA125"/>
      <c r="DB125"/>
      <c r="DC125"/>
      <c r="DD125"/>
      <c r="DE125"/>
      <c r="DF125"/>
      <c r="DG125"/>
      <c r="DH125"/>
      <c r="DI125"/>
      <c r="DJ125"/>
      <c r="DK125"/>
      <c r="DL125"/>
      <c r="DM125"/>
      <c r="DN125"/>
      <c r="DO125"/>
      <c r="DP125"/>
      <c r="DQ125"/>
      <c r="DR125"/>
      <c r="DS125"/>
      <c r="DT125"/>
      <c r="DU125"/>
      <c r="DV125"/>
      <c r="DW125"/>
      <c r="DX125"/>
      <c r="DY125"/>
      <c r="DZ125"/>
      <c r="EA125"/>
      <c r="EB125"/>
      <c r="EC125"/>
      <c r="ED125"/>
      <c r="EE125"/>
      <c r="EF125"/>
      <c r="EG125"/>
      <c r="EH125"/>
      <c r="EI125"/>
      <c r="EJ125"/>
      <c r="EK125"/>
      <c r="EL125"/>
      <c r="EM125"/>
      <c r="EN125"/>
      <c r="EO125"/>
      <c r="EP125"/>
      <c r="EQ125"/>
      <c r="ER125"/>
      <c r="ES125"/>
      <c r="ET125"/>
      <c r="EU125"/>
      <c r="EV125"/>
      <c r="EW125"/>
      <c r="EX125"/>
      <c r="EY125"/>
      <c r="EZ125"/>
      <c r="FA125"/>
      <c r="FB125"/>
      <c r="FC125"/>
      <c r="FD125"/>
      <c r="FE125"/>
      <c r="FF125"/>
      <c r="FG125"/>
      <c r="FH125"/>
      <c r="FI125"/>
      <c r="FJ125"/>
      <c r="FK125"/>
      <c r="FL125"/>
      <c r="FM125"/>
      <c r="FN125"/>
      <c r="FO125"/>
      <c r="FP125"/>
      <c r="FQ125"/>
      <c r="FR125"/>
      <c r="FS125"/>
      <c r="FT125"/>
      <c r="FU125"/>
      <c r="FV125"/>
      <c r="FW125"/>
      <c r="FX125"/>
      <c r="FY125"/>
      <c r="FZ125"/>
      <c r="GA125"/>
      <c r="GB125"/>
      <c r="GC125"/>
      <c r="GD125"/>
      <c r="GE125"/>
      <c r="GF125"/>
      <c r="GG125"/>
      <c r="GH125"/>
      <c r="GI125"/>
      <c r="GJ125"/>
      <c r="GK125"/>
      <c r="GL125"/>
      <c r="GM125"/>
      <c r="GN125"/>
      <c r="GO125"/>
      <c r="GP125"/>
      <c r="GQ125"/>
      <c r="GR125"/>
      <c r="GS125"/>
      <c r="GT125"/>
      <c r="GU125"/>
      <c r="GV125"/>
      <c r="GW125"/>
      <c r="GX125"/>
      <c r="GY125"/>
      <c r="GZ125"/>
      <c r="HA125"/>
      <c r="HB125"/>
      <c r="HC125"/>
      <c r="HD125"/>
      <c r="HE125"/>
      <c r="HF125"/>
      <c r="HG125"/>
      <c r="HH125"/>
      <c r="HI125"/>
      <c r="HJ125"/>
      <c r="HK125"/>
      <c r="HL125"/>
      <c r="HM125"/>
      <c r="HN125"/>
      <c r="HO125"/>
      <c r="HP125"/>
      <c r="HQ125"/>
      <c r="HR125"/>
      <c r="HS125"/>
      <c r="HT125"/>
      <c r="HU125"/>
      <c r="HV125"/>
      <c r="HW125"/>
      <c r="HX125"/>
      <c r="HY125"/>
      <c r="HZ125"/>
      <c r="IA125"/>
      <c r="IB125"/>
      <c r="IC125"/>
      <c r="ID125"/>
      <c r="IE125"/>
      <c r="IF125"/>
      <c r="IG125"/>
      <c r="IH125"/>
      <c r="II125"/>
      <c r="IJ125"/>
      <c r="IK125"/>
      <c r="IL125"/>
      <c r="IM125"/>
      <c r="IN125"/>
      <c r="IO125"/>
      <c r="IP125"/>
      <c r="IQ125"/>
      <c r="IR125"/>
      <c r="IS125"/>
      <c r="IT125"/>
      <c r="IU125"/>
      <c r="IV125"/>
    </row>
    <row r="126" spans="1:256" s="201" customFormat="1" ht="14.25" x14ac:dyDescent="0.2">
      <c r="A126" s="10">
        <v>3401</v>
      </c>
      <c r="B126" s="11" t="s">
        <v>490</v>
      </c>
      <c r="C126" s="105" t="s">
        <v>491</v>
      </c>
      <c r="D126" s="11" t="s">
        <v>105</v>
      </c>
      <c r="E126" s="12">
        <v>20219</v>
      </c>
      <c r="F126" s="202">
        <v>25</v>
      </c>
      <c r="G126" s="11">
        <v>60000</v>
      </c>
      <c r="H126" s="116">
        <v>-60000</v>
      </c>
      <c r="I126" s="192"/>
      <c r="J126" s="204"/>
      <c r="K126" s="193"/>
      <c r="L126" s="193"/>
      <c r="M126" s="193"/>
      <c r="N126" s="203">
        <f t="shared" si="84"/>
        <v>60000</v>
      </c>
      <c r="O126" s="203">
        <f t="shared" si="85"/>
        <v>0</v>
      </c>
      <c r="P126" s="203">
        <f t="shared" si="86"/>
        <v>0</v>
      </c>
      <c r="Q126" s="214"/>
      <c r="R126" s="219"/>
      <c r="S126" s="217">
        <v>46234</v>
      </c>
      <c r="T126" s="205"/>
      <c r="U126" s="205"/>
      <c r="V126" s="215"/>
      <c r="W126" s="212"/>
      <c r="X126" s="10">
        <v>7</v>
      </c>
      <c r="Y126" s="10">
        <v>7</v>
      </c>
      <c r="Z126" s="213">
        <f t="shared" si="87"/>
        <v>60000</v>
      </c>
      <c r="AA126" s="62"/>
      <c r="AB126" s="62"/>
      <c r="AC126" s="62"/>
      <c r="AD126" s="62"/>
      <c r="AE126" s="62"/>
      <c r="AF126" s="63"/>
      <c r="AG126" s="64"/>
      <c r="AH126" s="6">
        <v>1</v>
      </c>
      <c r="AI126">
        <f t="shared" si="88"/>
        <v>25</v>
      </c>
      <c r="AJ126">
        <f t="shared" si="89"/>
        <v>15</v>
      </c>
      <c r="AK126">
        <f t="shared" si="90"/>
        <v>0</v>
      </c>
      <c r="AL126">
        <f t="shared" si="91"/>
        <v>0</v>
      </c>
      <c r="AM126">
        <f t="shared" si="92"/>
        <v>0</v>
      </c>
      <c r="AN126">
        <f t="shared" si="93"/>
        <v>0</v>
      </c>
      <c r="AO126">
        <f t="shared" si="94"/>
        <v>0</v>
      </c>
      <c r="AP126">
        <f t="shared" si="95"/>
        <v>0</v>
      </c>
      <c r="AQ126">
        <f t="shared" si="96"/>
        <v>0</v>
      </c>
      <c r="AR126">
        <f t="shared" si="97"/>
        <v>0</v>
      </c>
      <c r="AS126">
        <f t="shared" si="98"/>
        <v>0</v>
      </c>
      <c r="AT126">
        <f t="shared" si="99"/>
        <v>0</v>
      </c>
      <c r="AU126">
        <f t="shared" si="100"/>
        <v>0</v>
      </c>
      <c r="AV126">
        <f t="shared" si="101"/>
        <v>0</v>
      </c>
      <c r="AW126">
        <f t="shared" si="102"/>
        <v>0</v>
      </c>
      <c r="AX126">
        <f t="shared" si="103"/>
        <v>0</v>
      </c>
      <c r="AY126">
        <f t="shared" si="104"/>
        <v>0</v>
      </c>
      <c r="AZ126">
        <f t="shared" si="105"/>
        <v>0</v>
      </c>
      <c r="BA126">
        <f t="shared" si="106"/>
        <v>0</v>
      </c>
      <c r="BB126">
        <f t="shared" si="107"/>
        <v>0</v>
      </c>
      <c r="BC126">
        <f t="shared" si="108"/>
        <v>0</v>
      </c>
      <c r="BD126">
        <f t="shared" si="109"/>
        <v>0</v>
      </c>
      <c r="BE126">
        <f t="shared" si="110"/>
        <v>0</v>
      </c>
      <c r="BF126">
        <f t="shared" si="111"/>
        <v>0</v>
      </c>
      <c r="BG126"/>
      <c r="BH126"/>
      <c r="BI126"/>
      <c r="BJ126"/>
      <c r="BK126"/>
      <c r="BL126"/>
      <c r="BM126"/>
      <c r="BN126"/>
      <c r="BO126"/>
      <c r="BP126"/>
      <c r="BQ126"/>
      <c r="BR126"/>
      <c r="BS126"/>
      <c r="BT126"/>
      <c r="BU126"/>
      <c r="BV126"/>
      <c r="BW126"/>
      <c r="BX126"/>
      <c r="BY126"/>
      <c r="BZ126"/>
      <c r="CA126"/>
      <c r="CB126"/>
      <c r="CC126"/>
      <c r="CD126"/>
      <c r="CE126"/>
      <c r="CF126"/>
      <c r="CG126"/>
      <c r="CH126"/>
      <c r="CI126"/>
      <c r="CJ126"/>
      <c r="CK126"/>
      <c r="CL126"/>
      <c r="CM126"/>
      <c r="CN126"/>
      <c r="CO126"/>
      <c r="CP126"/>
      <c r="CQ126"/>
      <c r="CR126"/>
      <c r="CS126"/>
      <c r="CT126"/>
      <c r="CU126"/>
      <c r="CV126"/>
      <c r="CW126"/>
      <c r="CX126"/>
      <c r="CY126"/>
      <c r="CZ126"/>
      <c r="DA126"/>
      <c r="DB126"/>
      <c r="DC126"/>
      <c r="DD126"/>
      <c r="DE126"/>
      <c r="DF126"/>
      <c r="DG126"/>
      <c r="DH126"/>
      <c r="DI126"/>
      <c r="DJ126"/>
      <c r="DK126"/>
      <c r="DL126"/>
      <c r="DM126"/>
      <c r="DN126"/>
      <c r="DO126"/>
      <c r="DP126"/>
      <c r="DQ126"/>
      <c r="DR126"/>
      <c r="DS126"/>
      <c r="DT126"/>
      <c r="DU126"/>
      <c r="DV126"/>
      <c r="DW126"/>
      <c r="DX126"/>
      <c r="DY126"/>
      <c r="DZ126"/>
      <c r="EA126"/>
      <c r="EB126"/>
      <c r="EC126"/>
      <c r="ED126"/>
      <c r="EE126"/>
      <c r="EF126"/>
      <c r="EG126"/>
      <c r="EH126"/>
      <c r="EI126"/>
      <c r="EJ126"/>
      <c r="EK126"/>
      <c r="EL126"/>
      <c r="EM126"/>
      <c r="EN126"/>
      <c r="EO126"/>
      <c r="EP126"/>
      <c r="EQ126"/>
      <c r="ER126"/>
      <c r="ES126"/>
      <c r="ET126"/>
      <c r="EU126"/>
      <c r="EV126"/>
      <c r="EW126"/>
      <c r="EX126"/>
      <c r="EY126"/>
      <c r="EZ126"/>
      <c r="FA126"/>
      <c r="FB126"/>
      <c r="FC126"/>
      <c r="FD126"/>
      <c r="FE126"/>
      <c r="FF126"/>
      <c r="FG126"/>
      <c r="FH126"/>
      <c r="FI126"/>
      <c r="FJ126"/>
      <c r="FK126"/>
      <c r="FL126"/>
      <c r="FM126"/>
      <c r="FN126"/>
      <c r="FO126"/>
      <c r="FP126"/>
      <c r="FQ126"/>
      <c r="FR126"/>
      <c r="FS126"/>
      <c r="FT126"/>
      <c r="FU126"/>
      <c r="FV126"/>
      <c r="FW126"/>
      <c r="FX126"/>
      <c r="FY126"/>
      <c r="FZ126"/>
      <c r="GA126"/>
      <c r="GB126"/>
      <c r="GC126"/>
      <c r="GD126"/>
      <c r="GE126"/>
      <c r="GF126"/>
      <c r="GG126"/>
      <c r="GH126"/>
      <c r="GI126"/>
      <c r="GJ126"/>
      <c r="GK126"/>
      <c r="GL126"/>
      <c r="GM126"/>
      <c r="GN126"/>
      <c r="GO126"/>
      <c r="GP126"/>
      <c r="GQ126"/>
      <c r="GR126"/>
      <c r="GS126"/>
      <c r="GT126"/>
      <c r="GU126"/>
      <c r="GV126"/>
      <c r="GW126"/>
      <c r="GX126"/>
      <c r="GY126"/>
      <c r="GZ126"/>
      <c r="HA126"/>
      <c r="HB126"/>
      <c r="HC126"/>
      <c r="HD126"/>
      <c r="HE126"/>
      <c r="HF126"/>
      <c r="HG126"/>
      <c r="HH126"/>
      <c r="HI126"/>
      <c r="HJ126"/>
      <c r="HK126"/>
      <c r="HL126"/>
      <c r="HM126"/>
      <c r="HN126"/>
      <c r="HO126"/>
      <c r="HP126"/>
      <c r="HQ126"/>
      <c r="HR126"/>
      <c r="HS126"/>
      <c r="HT126"/>
      <c r="HU126"/>
      <c r="HV126"/>
      <c r="HW126"/>
      <c r="HX126"/>
      <c r="HY126"/>
      <c r="HZ126"/>
      <c r="IA126"/>
      <c r="IB126"/>
      <c r="IC126"/>
      <c r="ID126"/>
      <c r="IE126"/>
      <c r="IF126"/>
      <c r="IG126"/>
      <c r="IH126"/>
      <c r="II126"/>
      <c r="IJ126"/>
      <c r="IK126"/>
      <c r="IL126"/>
      <c r="IM126"/>
      <c r="IN126"/>
      <c r="IO126"/>
      <c r="IP126"/>
      <c r="IQ126"/>
      <c r="IR126"/>
      <c r="IS126"/>
      <c r="IT126"/>
      <c r="IU126"/>
      <c r="IV126"/>
    </row>
    <row r="127" spans="1:256" s="201" customFormat="1" ht="14.25" x14ac:dyDescent="0.2">
      <c r="A127" s="10">
        <v>3402</v>
      </c>
      <c r="B127" s="11" t="s">
        <v>492</v>
      </c>
      <c r="C127" s="105" t="s">
        <v>493</v>
      </c>
      <c r="D127" s="11" t="s">
        <v>105</v>
      </c>
      <c r="E127" s="12">
        <v>20215</v>
      </c>
      <c r="F127" s="202">
        <v>25</v>
      </c>
      <c r="G127" s="11">
        <v>60000</v>
      </c>
      <c r="H127" s="116">
        <v>0</v>
      </c>
      <c r="I127" s="192"/>
      <c r="J127" s="204"/>
      <c r="K127" s="193"/>
      <c r="L127" s="193"/>
      <c r="M127" s="193"/>
      <c r="N127" s="203">
        <f t="shared" si="84"/>
        <v>60000</v>
      </c>
      <c r="O127" s="203">
        <f t="shared" si="85"/>
        <v>60000</v>
      </c>
      <c r="P127" s="203">
        <f t="shared" si="86"/>
        <v>60000</v>
      </c>
      <c r="Q127" s="214"/>
      <c r="R127" s="219"/>
      <c r="S127" s="217">
        <v>46234</v>
      </c>
      <c r="T127" s="205"/>
      <c r="U127" s="205"/>
      <c r="V127" s="215"/>
      <c r="W127" s="212"/>
      <c r="X127" s="10">
        <v>7</v>
      </c>
      <c r="Y127" s="10">
        <v>7</v>
      </c>
      <c r="Z127" s="213">
        <f t="shared" si="87"/>
        <v>60000</v>
      </c>
      <c r="AA127" s="62"/>
      <c r="AB127" s="62"/>
      <c r="AC127" s="62"/>
      <c r="AD127" s="62"/>
      <c r="AE127" s="62"/>
      <c r="AF127" s="63"/>
      <c r="AG127" s="64"/>
      <c r="AH127" s="6">
        <v>1</v>
      </c>
      <c r="AI127">
        <f t="shared" si="88"/>
        <v>25</v>
      </c>
      <c r="AJ127">
        <f t="shared" si="89"/>
        <v>25</v>
      </c>
      <c r="AK127">
        <f t="shared" si="90"/>
        <v>0</v>
      </c>
      <c r="AL127">
        <f t="shared" si="91"/>
        <v>0</v>
      </c>
      <c r="AM127">
        <f t="shared" si="92"/>
        <v>0</v>
      </c>
      <c r="AN127">
        <f t="shared" si="93"/>
        <v>0</v>
      </c>
      <c r="AO127">
        <f t="shared" si="94"/>
        <v>0</v>
      </c>
      <c r="AP127">
        <f t="shared" si="95"/>
        <v>0</v>
      </c>
      <c r="AQ127">
        <f t="shared" si="96"/>
        <v>0</v>
      </c>
      <c r="AR127">
        <f t="shared" si="97"/>
        <v>0</v>
      </c>
      <c r="AS127">
        <f t="shared" si="98"/>
        <v>0</v>
      </c>
      <c r="AT127">
        <f t="shared" si="99"/>
        <v>0</v>
      </c>
      <c r="AU127">
        <f t="shared" si="100"/>
        <v>1</v>
      </c>
      <c r="AV127">
        <f t="shared" si="101"/>
        <v>1</v>
      </c>
      <c r="AW127">
        <f t="shared" si="102"/>
        <v>1</v>
      </c>
      <c r="AX127">
        <f t="shared" si="103"/>
        <v>1</v>
      </c>
      <c r="AY127">
        <f t="shared" si="104"/>
        <v>60000</v>
      </c>
      <c r="AZ127">
        <f t="shared" si="105"/>
        <v>60000</v>
      </c>
      <c r="BA127">
        <f t="shared" si="106"/>
        <v>0</v>
      </c>
      <c r="BB127">
        <f t="shared" si="107"/>
        <v>0</v>
      </c>
      <c r="BC127">
        <f t="shared" si="108"/>
        <v>0</v>
      </c>
      <c r="BD127">
        <f t="shared" si="109"/>
        <v>0</v>
      </c>
      <c r="BE127">
        <f t="shared" si="110"/>
        <v>0</v>
      </c>
      <c r="BF127">
        <f t="shared" si="111"/>
        <v>0</v>
      </c>
      <c r="BG127"/>
      <c r="BH127"/>
      <c r="BI127"/>
      <c r="BJ127"/>
      <c r="BK127"/>
      <c r="BL127"/>
      <c r="BM127"/>
      <c r="BN127"/>
      <c r="BO127"/>
      <c r="BP127"/>
      <c r="BQ127"/>
      <c r="BR127"/>
      <c r="BS127"/>
      <c r="BT127"/>
      <c r="BU127"/>
      <c r="BV127"/>
      <c r="BW127"/>
      <c r="BX127"/>
      <c r="BY127"/>
      <c r="BZ127"/>
      <c r="CA127"/>
      <c r="CB127"/>
      <c r="CC127"/>
      <c r="CD127"/>
      <c r="CE127"/>
      <c r="CF127"/>
      <c r="CG127"/>
      <c r="CH127"/>
      <c r="CI127"/>
      <c r="CJ127"/>
      <c r="CK127"/>
      <c r="CL127"/>
      <c r="CM127"/>
      <c r="CN127"/>
      <c r="CO127"/>
      <c r="CP127"/>
      <c r="CQ127"/>
      <c r="CR127"/>
      <c r="CS127"/>
      <c r="CT127"/>
      <c r="CU127"/>
      <c r="CV127"/>
      <c r="CW127"/>
      <c r="CX127"/>
      <c r="CY127"/>
      <c r="CZ127"/>
      <c r="DA127"/>
      <c r="DB127"/>
      <c r="DC127"/>
      <c r="DD127"/>
      <c r="DE127"/>
      <c r="DF127"/>
      <c r="DG127"/>
      <c r="DH127"/>
      <c r="DI127"/>
      <c r="DJ127"/>
      <c r="DK127"/>
      <c r="DL127"/>
      <c r="DM127"/>
      <c r="DN127"/>
      <c r="DO127"/>
      <c r="DP127"/>
      <c r="DQ127"/>
      <c r="DR127"/>
      <c r="DS127"/>
      <c r="DT127"/>
      <c r="DU127"/>
      <c r="DV127"/>
      <c r="DW127"/>
      <c r="DX127"/>
      <c r="DY127"/>
      <c r="DZ127"/>
      <c r="EA127"/>
      <c r="EB127"/>
      <c r="EC127"/>
      <c r="ED127"/>
      <c r="EE127"/>
      <c r="EF127"/>
      <c r="EG127"/>
      <c r="EH127"/>
      <c r="EI127"/>
      <c r="EJ127"/>
      <c r="EK127"/>
      <c r="EL127"/>
      <c r="EM127"/>
      <c r="EN127"/>
      <c r="EO127"/>
      <c r="EP127"/>
      <c r="EQ127"/>
      <c r="ER127"/>
      <c r="ES127"/>
      <c r="ET127"/>
      <c r="EU127"/>
      <c r="EV127"/>
      <c r="EW127"/>
      <c r="EX127"/>
      <c r="EY127"/>
      <c r="EZ127"/>
      <c r="FA127"/>
      <c r="FB127"/>
      <c r="FC127"/>
      <c r="FD127"/>
      <c r="FE127"/>
      <c r="FF127"/>
      <c r="FG127"/>
      <c r="FH127"/>
      <c r="FI127"/>
      <c r="FJ127"/>
      <c r="FK127"/>
      <c r="FL127"/>
      <c r="FM127"/>
      <c r="FN127"/>
      <c r="FO127"/>
      <c r="FP127"/>
      <c r="FQ127"/>
      <c r="FR127"/>
      <c r="FS127"/>
      <c r="FT127"/>
      <c r="FU127"/>
      <c r="FV127"/>
      <c r="FW127"/>
      <c r="FX127"/>
      <c r="FY127"/>
      <c r="FZ127"/>
      <c r="GA127"/>
      <c r="GB127"/>
      <c r="GC127"/>
      <c r="GD127"/>
      <c r="GE127"/>
      <c r="GF127"/>
      <c r="GG127"/>
      <c r="GH127"/>
      <c r="GI127"/>
      <c r="GJ127"/>
      <c r="GK127"/>
      <c r="GL127"/>
      <c r="GM127"/>
      <c r="GN127"/>
      <c r="GO127"/>
      <c r="GP127"/>
      <c r="GQ127"/>
      <c r="GR127"/>
      <c r="GS127"/>
      <c r="GT127"/>
      <c r="GU127"/>
      <c r="GV127"/>
      <c r="GW127"/>
      <c r="GX127"/>
      <c r="GY127"/>
      <c r="GZ127"/>
      <c r="HA127"/>
      <c r="HB127"/>
      <c r="HC127"/>
      <c r="HD127"/>
      <c r="HE127"/>
      <c r="HF127"/>
      <c r="HG127"/>
      <c r="HH127"/>
      <c r="HI127"/>
      <c r="HJ127"/>
      <c r="HK127"/>
      <c r="HL127"/>
      <c r="HM127"/>
      <c r="HN127"/>
      <c r="HO127"/>
      <c r="HP127"/>
      <c r="HQ127"/>
      <c r="HR127"/>
      <c r="HS127"/>
      <c r="HT127"/>
      <c r="HU127"/>
      <c r="HV127"/>
      <c r="HW127"/>
      <c r="HX127"/>
      <c r="HY127"/>
      <c r="HZ127"/>
      <c r="IA127"/>
      <c r="IB127"/>
      <c r="IC127"/>
      <c r="ID127"/>
      <c r="IE127"/>
      <c r="IF127"/>
      <c r="IG127"/>
      <c r="IH127"/>
      <c r="II127"/>
      <c r="IJ127"/>
      <c r="IK127"/>
      <c r="IL127"/>
      <c r="IM127"/>
      <c r="IN127"/>
      <c r="IO127"/>
      <c r="IP127"/>
      <c r="IQ127"/>
      <c r="IR127"/>
      <c r="IS127"/>
      <c r="IT127"/>
      <c r="IU127"/>
      <c r="IV127"/>
    </row>
    <row r="128" spans="1:256" s="201" customFormat="1" ht="14.25" x14ac:dyDescent="0.2">
      <c r="A128" s="10">
        <v>3404</v>
      </c>
      <c r="B128" s="11" t="s">
        <v>494</v>
      </c>
      <c r="C128" s="105">
        <v>2644441339</v>
      </c>
      <c r="D128" s="11" t="s">
        <v>170</v>
      </c>
      <c r="E128" s="12">
        <v>20270</v>
      </c>
      <c r="F128" s="202">
        <v>25</v>
      </c>
      <c r="G128" s="11">
        <v>60000</v>
      </c>
      <c r="H128" s="116">
        <v>0</v>
      </c>
      <c r="I128" s="192"/>
      <c r="J128" s="204"/>
      <c r="K128" s="193"/>
      <c r="L128" s="193"/>
      <c r="M128" s="193"/>
      <c r="N128" s="203">
        <f t="shared" si="84"/>
        <v>60000</v>
      </c>
      <c r="O128" s="203">
        <f t="shared" si="85"/>
        <v>60000</v>
      </c>
      <c r="P128" s="203">
        <f t="shared" si="86"/>
        <v>60000</v>
      </c>
      <c r="Q128" s="214"/>
      <c r="R128" s="219"/>
      <c r="S128" s="217">
        <v>46211</v>
      </c>
      <c r="T128" s="205"/>
      <c r="U128" s="205"/>
      <c r="V128" s="215"/>
      <c r="W128" s="212"/>
      <c r="X128" s="10">
        <v>7</v>
      </c>
      <c r="Y128" s="10">
        <v>7</v>
      </c>
      <c r="Z128" s="213">
        <f t="shared" si="87"/>
        <v>60000</v>
      </c>
      <c r="AA128" s="62"/>
      <c r="AB128" s="62"/>
      <c r="AC128" s="62"/>
      <c r="AD128" s="62"/>
      <c r="AE128" s="62"/>
      <c r="AF128" s="63"/>
      <c r="AG128" s="64"/>
      <c r="AH128" s="6">
        <v>1</v>
      </c>
      <c r="AI128">
        <f t="shared" si="88"/>
        <v>25</v>
      </c>
      <c r="AJ128">
        <f t="shared" si="89"/>
        <v>25</v>
      </c>
      <c r="AK128">
        <f t="shared" si="90"/>
        <v>0</v>
      </c>
      <c r="AL128">
        <f t="shared" si="91"/>
        <v>0</v>
      </c>
      <c r="AM128">
        <f t="shared" si="92"/>
        <v>0</v>
      </c>
      <c r="AN128">
        <f t="shared" si="93"/>
        <v>0</v>
      </c>
      <c r="AO128">
        <f t="shared" si="94"/>
        <v>0</v>
      </c>
      <c r="AP128">
        <f t="shared" si="95"/>
        <v>0</v>
      </c>
      <c r="AQ128">
        <f t="shared" si="96"/>
        <v>0</v>
      </c>
      <c r="AR128">
        <f t="shared" si="97"/>
        <v>0</v>
      </c>
      <c r="AS128">
        <f t="shared" si="98"/>
        <v>0</v>
      </c>
      <c r="AT128">
        <f t="shared" si="99"/>
        <v>0</v>
      </c>
      <c r="AU128">
        <f t="shared" si="100"/>
        <v>1</v>
      </c>
      <c r="AV128">
        <f t="shared" si="101"/>
        <v>1</v>
      </c>
      <c r="AW128">
        <f t="shared" si="102"/>
        <v>1</v>
      </c>
      <c r="AX128">
        <f t="shared" si="103"/>
        <v>1</v>
      </c>
      <c r="AY128">
        <f t="shared" si="104"/>
        <v>60000</v>
      </c>
      <c r="AZ128">
        <f t="shared" si="105"/>
        <v>60000</v>
      </c>
      <c r="BA128">
        <f t="shared" si="106"/>
        <v>0</v>
      </c>
      <c r="BB128">
        <f t="shared" si="107"/>
        <v>0</v>
      </c>
      <c r="BC128">
        <f t="shared" si="108"/>
        <v>0</v>
      </c>
      <c r="BD128">
        <f t="shared" si="109"/>
        <v>0</v>
      </c>
      <c r="BE128">
        <f t="shared" si="110"/>
        <v>0</v>
      </c>
      <c r="BF128">
        <f t="shared" si="111"/>
        <v>0</v>
      </c>
      <c r="BG128"/>
      <c r="BH128"/>
      <c r="BI128"/>
      <c r="BJ128"/>
      <c r="BK128"/>
      <c r="BL128"/>
      <c r="BM128"/>
      <c r="BN128"/>
      <c r="BO128"/>
      <c r="BP128"/>
      <c r="BQ128"/>
      <c r="BR128"/>
      <c r="BS128"/>
      <c r="BT128"/>
      <c r="BU128"/>
      <c r="BV128"/>
      <c r="BW128"/>
      <c r="BX128"/>
      <c r="BY128"/>
      <c r="BZ128"/>
      <c r="CA128"/>
      <c r="CB128"/>
      <c r="CC128"/>
      <c r="CD128"/>
      <c r="CE128"/>
      <c r="CF128"/>
      <c r="CG128"/>
      <c r="CH128"/>
      <c r="CI128"/>
      <c r="CJ128"/>
      <c r="CK128"/>
      <c r="CL128"/>
      <c r="CM128"/>
      <c r="CN128"/>
      <c r="CO128"/>
      <c r="CP128"/>
      <c r="CQ128"/>
      <c r="CR128"/>
      <c r="CS128"/>
      <c r="CT128"/>
      <c r="CU128"/>
      <c r="CV128"/>
      <c r="CW128"/>
      <c r="CX128"/>
      <c r="CY128"/>
      <c r="CZ128"/>
      <c r="DA128"/>
      <c r="DB128"/>
      <c r="DC128"/>
      <c r="DD128"/>
      <c r="DE128"/>
      <c r="DF128"/>
      <c r="DG128"/>
      <c r="DH128"/>
      <c r="DI128"/>
      <c r="DJ128"/>
      <c r="DK128"/>
      <c r="DL128"/>
      <c r="DM128"/>
      <c r="DN128"/>
      <c r="DO128"/>
      <c r="DP128"/>
      <c r="DQ128"/>
      <c r="DR128"/>
      <c r="DS128"/>
      <c r="DT128"/>
      <c r="DU128"/>
      <c r="DV128"/>
      <c r="DW128"/>
      <c r="DX128"/>
      <c r="DY128"/>
      <c r="DZ128"/>
      <c r="EA128"/>
      <c r="EB128"/>
      <c r="EC128"/>
      <c r="ED128"/>
      <c r="EE128"/>
      <c r="EF128"/>
      <c r="EG128"/>
      <c r="EH128"/>
      <c r="EI128"/>
      <c r="EJ128"/>
      <c r="EK128"/>
      <c r="EL128"/>
      <c r="EM128"/>
      <c r="EN128"/>
      <c r="EO128"/>
      <c r="EP128"/>
      <c r="EQ128"/>
      <c r="ER128"/>
      <c r="ES128"/>
      <c r="ET128"/>
      <c r="EU128"/>
      <c r="EV128"/>
      <c r="EW128"/>
      <c r="EX128"/>
      <c r="EY128"/>
      <c r="EZ128"/>
      <c r="FA128"/>
      <c r="FB128"/>
      <c r="FC128"/>
      <c r="FD128"/>
      <c r="FE128"/>
      <c r="FF128"/>
      <c r="FG128"/>
      <c r="FH128"/>
      <c r="FI128"/>
      <c r="FJ128"/>
      <c r="FK128"/>
      <c r="FL128"/>
      <c r="FM128"/>
      <c r="FN128"/>
      <c r="FO128"/>
      <c r="FP128"/>
      <c r="FQ128"/>
      <c r="FR128"/>
      <c r="FS128"/>
      <c r="FT128"/>
      <c r="FU128"/>
      <c r="FV128"/>
      <c r="FW128"/>
      <c r="FX128"/>
      <c r="FY128"/>
      <c r="FZ128"/>
      <c r="GA128"/>
      <c r="GB128"/>
      <c r="GC128"/>
      <c r="GD128"/>
      <c r="GE128"/>
      <c r="GF128"/>
      <c r="GG128"/>
      <c r="GH128"/>
      <c r="GI128"/>
      <c r="GJ128"/>
      <c r="GK128"/>
      <c r="GL128"/>
      <c r="GM128"/>
      <c r="GN128"/>
      <c r="GO128"/>
      <c r="GP128"/>
      <c r="GQ128"/>
      <c r="GR128"/>
      <c r="GS128"/>
      <c r="GT128"/>
      <c r="GU128"/>
      <c r="GV128"/>
      <c r="GW128"/>
      <c r="GX128"/>
      <c r="GY128"/>
      <c r="GZ128"/>
      <c r="HA128"/>
      <c r="HB128"/>
      <c r="HC128"/>
      <c r="HD128"/>
      <c r="HE128"/>
      <c r="HF128"/>
      <c r="HG128"/>
      <c r="HH128"/>
      <c r="HI128"/>
      <c r="HJ128"/>
      <c r="HK128"/>
      <c r="HL128"/>
      <c r="HM128"/>
      <c r="HN128"/>
      <c r="HO128"/>
      <c r="HP128"/>
      <c r="HQ128"/>
      <c r="HR128"/>
      <c r="HS128"/>
      <c r="HT128"/>
      <c r="HU128"/>
      <c r="HV128"/>
      <c r="HW128"/>
      <c r="HX128"/>
      <c r="HY128"/>
      <c r="HZ128"/>
      <c r="IA128"/>
      <c r="IB128"/>
      <c r="IC128"/>
      <c r="ID128"/>
      <c r="IE128"/>
      <c r="IF128"/>
      <c r="IG128"/>
      <c r="IH128"/>
      <c r="II128"/>
      <c r="IJ128"/>
      <c r="IK128"/>
      <c r="IL128"/>
      <c r="IM128"/>
      <c r="IN128"/>
      <c r="IO128"/>
      <c r="IP128"/>
      <c r="IQ128"/>
      <c r="IR128"/>
      <c r="IS128"/>
      <c r="IT128"/>
      <c r="IU128"/>
      <c r="IV128"/>
    </row>
    <row r="129" spans="1:256" s="201" customFormat="1" ht="14.25" x14ac:dyDescent="0.2">
      <c r="A129" s="10">
        <v>3409</v>
      </c>
      <c r="B129" s="11" t="s">
        <v>495</v>
      </c>
      <c r="C129" s="105" t="s">
        <v>496</v>
      </c>
      <c r="D129" s="11" t="s">
        <v>235</v>
      </c>
      <c r="E129" s="12">
        <v>20227</v>
      </c>
      <c r="F129" s="202">
        <v>25</v>
      </c>
      <c r="G129" s="11">
        <v>120000</v>
      </c>
      <c r="H129" s="116">
        <v>-120000</v>
      </c>
      <c r="I129" s="192"/>
      <c r="J129" s="204"/>
      <c r="K129" s="193"/>
      <c r="L129" s="193"/>
      <c r="M129" s="193"/>
      <c r="N129" s="203">
        <f t="shared" si="84"/>
        <v>120000</v>
      </c>
      <c r="O129" s="203">
        <f t="shared" si="85"/>
        <v>0</v>
      </c>
      <c r="P129" s="203">
        <f t="shared" si="86"/>
        <v>0</v>
      </c>
      <c r="Q129" s="214"/>
      <c r="R129" s="219"/>
      <c r="S129" s="217">
        <v>46213</v>
      </c>
      <c r="T129" s="205"/>
      <c r="U129" s="205"/>
      <c r="V129" s="215"/>
      <c r="W129" s="212"/>
      <c r="X129" s="10">
        <v>7</v>
      </c>
      <c r="Y129" s="10">
        <v>7</v>
      </c>
      <c r="Z129" s="213">
        <f t="shared" si="87"/>
        <v>120000</v>
      </c>
      <c r="AA129" s="62"/>
      <c r="AB129" s="62"/>
      <c r="AC129" s="62"/>
      <c r="AD129" s="62"/>
      <c r="AE129" s="62"/>
      <c r="AF129" s="63"/>
      <c r="AG129" s="64"/>
      <c r="AH129" s="6">
        <v>1</v>
      </c>
      <c r="AI129">
        <f t="shared" si="88"/>
        <v>25</v>
      </c>
      <c r="AJ129">
        <f t="shared" si="89"/>
        <v>15</v>
      </c>
      <c r="AK129">
        <f t="shared" si="90"/>
        <v>0</v>
      </c>
      <c r="AL129">
        <f t="shared" si="91"/>
        <v>0</v>
      </c>
      <c r="AM129">
        <f t="shared" si="92"/>
        <v>0</v>
      </c>
      <c r="AN129">
        <f t="shared" si="93"/>
        <v>0</v>
      </c>
      <c r="AO129">
        <f t="shared" si="94"/>
        <v>0</v>
      </c>
      <c r="AP129">
        <f t="shared" si="95"/>
        <v>0</v>
      </c>
      <c r="AQ129">
        <f t="shared" si="96"/>
        <v>0</v>
      </c>
      <c r="AR129">
        <f t="shared" si="97"/>
        <v>0</v>
      </c>
      <c r="AS129">
        <f t="shared" si="98"/>
        <v>0</v>
      </c>
      <c r="AT129">
        <f t="shared" si="99"/>
        <v>0</v>
      </c>
      <c r="AU129">
        <f t="shared" si="100"/>
        <v>0</v>
      </c>
      <c r="AV129">
        <f t="shared" si="101"/>
        <v>0</v>
      </c>
      <c r="AW129">
        <f t="shared" si="102"/>
        <v>0</v>
      </c>
      <c r="AX129">
        <f t="shared" si="103"/>
        <v>0</v>
      </c>
      <c r="AY129">
        <f t="shared" si="104"/>
        <v>0</v>
      </c>
      <c r="AZ129">
        <f t="shared" si="105"/>
        <v>0</v>
      </c>
      <c r="BA129">
        <f t="shared" si="106"/>
        <v>0</v>
      </c>
      <c r="BB129">
        <f t="shared" si="107"/>
        <v>0</v>
      </c>
      <c r="BC129">
        <f t="shared" si="108"/>
        <v>0</v>
      </c>
      <c r="BD129">
        <f t="shared" si="109"/>
        <v>0</v>
      </c>
      <c r="BE129">
        <f t="shared" si="110"/>
        <v>0</v>
      </c>
      <c r="BF129">
        <f t="shared" si="111"/>
        <v>0</v>
      </c>
      <c r="BG129"/>
      <c r="BH129"/>
      <c r="BI129"/>
      <c r="BJ129"/>
      <c r="BK129"/>
      <c r="BL129"/>
      <c r="BM129"/>
      <c r="BN129"/>
      <c r="BO129"/>
      <c r="BP129"/>
      <c r="BQ129"/>
      <c r="BR129"/>
      <c r="BS129"/>
      <c r="BT129"/>
      <c r="BU129"/>
      <c r="BV129"/>
      <c r="BW129"/>
      <c r="BX129"/>
      <c r="BY129"/>
      <c r="BZ129"/>
      <c r="CA129"/>
      <c r="CB129"/>
      <c r="CC129"/>
      <c r="CD129"/>
      <c r="CE129"/>
      <c r="CF129"/>
      <c r="CG129"/>
      <c r="CH129"/>
      <c r="CI129"/>
      <c r="CJ129"/>
      <c r="CK129"/>
      <c r="CL129"/>
      <c r="CM129"/>
      <c r="CN129"/>
      <c r="CO129"/>
      <c r="CP129"/>
      <c r="CQ129"/>
      <c r="CR129"/>
      <c r="CS129"/>
      <c r="CT129"/>
      <c r="CU129"/>
      <c r="CV129"/>
      <c r="CW129"/>
      <c r="CX129"/>
      <c r="CY129"/>
      <c r="CZ129"/>
      <c r="DA129"/>
      <c r="DB129"/>
      <c r="DC129"/>
      <c r="DD129"/>
      <c r="DE129"/>
      <c r="DF129"/>
      <c r="DG129"/>
      <c r="DH129"/>
      <c r="DI129"/>
      <c r="DJ129"/>
      <c r="DK129"/>
      <c r="DL129"/>
      <c r="DM129"/>
      <c r="DN129"/>
      <c r="DO129"/>
      <c r="DP129"/>
      <c r="DQ129"/>
      <c r="DR129"/>
      <c r="DS129"/>
      <c r="DT129"/>
      <c r="DU129"/>
      <c r="DV129"/>
      <c r="DW129"/>
      <c r="DX129"/>
      <c r="DY129"/>
      <c r="DZ129"/>
      <c r="EA129"/>
      <c r="EB129"/>
      <c r="EC129"/>
      <c r="ED129"/>
      <c r="EE129"/>
      <c r="EF129"/>
      <c r="EG129"/>
      <c r="EH129"/>
      <c r="EI129"/>
      <c r="EJ129"/>
      <c r="EK129"/>
      <c r="EL129"/>
      <c r="EM129"/>
      <c r="EN129"/>
      <c r="EO129"/>
      <c r="EP129"/>
      <c r="EQ129"/>
      <c r="ER129"/>
      <c r="ES129"/>
      <c r="ET129"/>
      <c r="EU129"/>
      <c r="EV129"/>
      <c r="EW129"/>
      <c r="EX129"/>
      <c r="EY129"/>
      <c r="EZ129"/>
      <c r="FA129"/>
      <c r="FB129"/>
      <c r="FC129"/>
      <c r="FD129"/>
      <c r="FE129"/>
      <c r="FF129"/>
      <c r="FG129"/>
      <c r="FH129"/>
      <c r="FI129"/>
      <c r="FJ129"/>
      <c r="FK129"/>
      <c r="FL129"/>
      <c r="FM129"/>
      <c r="FN129"/>
      <c r="FO129"/>
      <c r="FP129"/>
      <c r="FQ129"/>
      <c r="FR129"/>
      <c r="FS129"/>
      <c r="FT129"/>
      <c r="FU129"/>
      <c r="FV129"/>
      <c r="FW129"/>
      <c r="FX129"/>
      <c r="FY129"/>
      <c r="FZ129"/>
      <c r="GA129"/>
      <c r="GB129"/>
      <c r="GC129"/>
      <c r="GD129"/>
      <c r="GE129"/>
      <c r="GF129"/>
      <c r="GG129"/>
      <c r="GH129"/>
      <c r="GI129"/>
      <c r="GJ129"/>
      <c r="GK129"/>
      <c r="GL129"/>
      <c r="GM129"/>
      <c r="GN129"/>
      <c r="GO129"/>
      <c r="GP129"/>
      <c r="GQ129"/>
      <c r="GR129"/>
      <c r="GS129"/>
      <c r="GT129"/>
      <c r="GU129"/>
      <c r="GV129"/>
      <c r="GW129"/>
      <c r="GX129"/>
      <c r="GY129"/>
      <c r="GZ129"/>
      <c r="HA129"/>
      <c r="HB129"/>
      <c r="HC129"/>
      <c r="HD129"/>
      <c r="HE129"/>
      <c r="HF129"/>
      <c r="HG129"/>
      <c r="HH129"/>
      <c r="HI129"/>
      <c r="HJ129"/>
      <c r="HK129"/>
      <c r="HL129"/>
      <c r="HM129"/>
      <c r="HN129"/>
      <c r="HO129"/>
      <c r="HP129"/>
      <c r="HQ129"/>
      <c r="HR129"/>
      <c r="HS129"/>
      <c r="HT129"/>
      <c r="HU129"/>
      <c r="HV129"/>
      <c r="HW129"/>
      <c r="HX129"/>
      <c r="HY129"/>
      <c r="HZ129"/>
      <c r="IA129"/>
      <c r="IB129"/>
      <c r="IC129"/>
      <c r="ID129"/>
      <c r="IE129"/>
      <c r="IF129"/>
      <c r="IG129"/>
      <c r="IH129"/>
      <c r="II129"/>
      <c r="IJ129"/>
      <c r="IK129"/>
      <c r="IL129"/>
      <c r="IM129"/>
      <c r="IN129"/>
      <c r="IO129"/>
      <c r="IP129"/>
      <c r="IQ129"/>
      <c r="IR129"/>
      <c r="IS129"/>
      <c r="IT129"/>
      <c r="IU129"/>
      <c r="IV129"/>
    </row>
    <row r="130" spans="1:256" s="201" customFormat="1" ht="14.25" x14ac:dyDescent="0.2">
      <c r="A130" s="10">
        <v>3418</v>
      </c>
      <c r="B130" s="11" t="s">
        <v>497</v>
      </c>
      <c r="C130" s="105" t="s">
        <v>498</v>
      </c>
      <c r="D130" s="11" t="s">
        <v>105</v>
      </c>
      <c r="E130" s="12">
        <v>20242</v>
      </c>
      <c r="F130" s="202">
        <v>24</v>
      </c>
      <c r="G130" s="11">
        <v>90000</v>
      </c>
      <c r="H130" s="116">
        <v>0</v>
      </c>
      <c r="I130" s="192"/>
      <c r="J130" s="204"/>
      <c r="K130" s="193"/>
      <c r="L130" s="193"/>
      <c r="M130" s="193"/>
      <c r="N130" s="203">
        <f t="shared" si="84"/>
        <v>90000</v>
      </c>
      <c r="O130" s="203">
        <f t="shared" si="85"/>
        <v>90000</v>
      </c>
      <c r="P130" s="203">
        <f t="shared" si="86"/>
        <v>90000</v>
      </c>
      <c r="Q130" s="214"/>
      <c r="R130" s="219"/>
      <c r="S130" s="217">
        <v>46209</v>
      </c>
      <c r="T130" s="205"/>
      <c r="U130" s="205"/>
      <c r="V130" s="215"/>
      <c r="W130" s="212"/>
      <c r="X130" s="10">
        <v>7</v>
      </c>
      <c r="Y130" s="10">
        <v>7</v>
      </c>
      <c r="Z130" s="213">
        <f t="shared" si="87"/>
        <v>90000</v>
      </c>
      <c r="AA130" s="62"/>
      <c r="AB130" s="62"/>
      <c r="AC130" s="62"/>
      <c r="AD130" s="62"/>
      <c r="AE130" s="62"/>
      <c r="AF130" s="63"/>
      <c r="AG130" s="64"/>
      <c r="AH130" s="6">
        <v>1</v>
      </c>
      <c r="AI130">
        <f t="shared" si="88"/>
        <v>25</v>
      </c>
      <c r="AJ130">
        <f t="shared" si="89"/>
        <v>25</v>
      </c>
      <c r="AK130">
        <f t="shared" si="90"/>
        <v>0</v>
      </c>
      <c r="AL130">
        <f t="shared" si="91"/>
        <v>0</v>
      </c>
      <c r="AM130">
        <f t="shared" si="92"/>
        <v>0</v>
      </c>
      <c r="AN130">
        <f t="shared" si="93"/>
        <v>0</v>
      </c>
      <c r="AO130">
        <f t="shared" si="94"/>
        <v>0</v>
      </c>
      <c r="AP130">
        <f t="shared" si="95"/>
        <v>0</v>
      </c>
      <c r="AQ130">
        <f t="shared" si="96"/>
        <v>0</v>
      </c>
      <c r="AR130">
        <f t="shared" si="97"/>
        <v>0</v>
      </c>
      <c r="AS130">
        <f t="shared" si="98"/>
        <v>0</v>
      </c>
      <c r="AT130">
        <f t="shared" si="99"/>
        <v>0</v>
      </c>
      <c r="AU130">
        <f t="shared" si="100"/>
        <v>1</v>
      </c>
      <c r="AV130">
        <f t="shared" si="101"/>
        <v>1</v>
      </c>
      <c r="AW130">
        <f t="shared" si="102"/>
        <v>1</v>
      </c>
      <c r="AX130">
        <f t="shared" si="103"/>
        <v>1</v>
      </c>
      <c r="AY130">
        <f t="shared" si="104"/>
        <v>90000</v>
      </c>
      <c r="AZ130">
        <f t="shared" si="105"/>
        <v>90000</v>
      </c>
      <c r="BA130">
        <f t="shared" si="106"/>
        <v>0</v>
      </c>
      <c r="BB130">
        <f t="shared" si="107"/>
        <v>0</v>
      </c>
      <c r="BC130">
        <f t="shared" si="108"/>
        <v>0</v>
      </c>
      <c r="BD130">
        <f t="shared" si="109"/>
        <v>0</v>
      </c>
      <c r="BE130">
        <f t="shared" si="110"/>
        <v>0</v>
      </c>
      <c r="BF130">
        <f t="shared" si="111"/>
        <v>0</v>
      </c>
      <c r="BG130"/>
      <c r="BH130"/>
      <c r="BI130"/>
      <c r="BJ130"/>
      <c r="BK130"/>
      <c r="BL130"/>
      <c r="BM130"/>
      <c r="BN130"/>
      <c r="BO130"/>
      <c r="BP130"/>
      <c r="BQ130"/>
      <c r="BR130"/>
      <c r="BS130"/>
      <c r="BT130"/>
      <c r="BU130"/>
      <c r="BV130"/>
      <c r="BW130"/>
      <c r="BX130"/>
      <c r="BY130"/>
      <c r="BZ130"/>
      <c r="CA130"/>
      <c r="CB130"/>
      <c r="CC130"/>
      <c r="CD130"/>
      <c r="CE130"/>
      <c r="CF130"/>
      <c r="CG130"/>
      <c r="CH130"/>
      <c r="CI130"/>
      <c r="CJ130"/>
      <c r="CK130"/>
      <c r="CL130"/>
      <c r="CM130"/>
      <c r="CN130"/>
      <c r="CO130"/>
      <c r="CP130"/>
      <c r="CQ130"/>
      <c r="CR130"/>
      <c r="CS130"/>
      <c r="CT130"/>
      <c r="CU130"/>
      <c r="CV130"/>
      <c r="CW130"/>
      <c r="CX130"/>
      <c r="CY130"/>
      <c r="CZ130"/>
      <c r="DA130"/>
      <c r="DB130"/>
      <c r="DC130"/>
      <c r="DD130"/>
      <c r="DE130"/>
      <c r="DF130"/>
      <c r="DG130"/>
      <c r="DH130"/>
      <c r="DI130"/>
      <c r="DJ130"/>
      <c r="DK130"/>
      <c r="DL130"/>
      <c r="DM130"/>
      <c r="DN130"/>
      <c r="DO130"/>
      <c r="DP130"/>
      <c r="DQ130"/>
      <c r="DR130"/>
      <c r="DS130"/>
      <c r="DT130"/>
      <c r="DU130"/>
      <c r="DV130"/>
      <c r="DW130"/>
      <c r="DX130"/>
      <c r="DY130"/>
      <c r="DZ130"/>
      <c r="EA130"/>
      <c r="EB130"/>
      <c r="EC130"/>
      <c r="ED130"/>
      <c r="EE130"/>
      <c r="EF130"/>
      <c r="EG130"/>
      <c r="EH130"/>
      <c r="EI130"/>
      <c r="EJ130"/>
      <c r="EK130"/>
      <c r="EL130"/>
      <c r="EM130"/>
      <c r="EN130"/>
      <c r="EO130"/>
      <c r="EP130"/>
      <c r="EQ130"/>
      <c r="ER130"/>
      <c r="ES130"/>
      <c r="ET130"/>
      <c r="EU130"/>
      <c r="EV130"/>
      <c r="EW130"/>
      <c r="EX130"/>
      <c r="EY130"/>
      <c r="EZ130"/>
      <c r="FA130"/>
      <c r="FB130"/>
      <c r="FC130"/>
      <c r="FD130"/>
      <c r="FE130"/>
      <c r="FF130"/>
      <c r="FG130"/>
      <c r="FH130"/>
      <c r="FI130"/>
      <c r="FJ130"/>
      <c r="FK130"/>
      <c r="FL130"/>
      <c r="FM130"/>
      <c r="FN130"/>
      <c r="FO130"/>
      <c r="FP130"/>
      <c r="FQ130"/>
      <c r="FR130"/>
      <c r="FS130"/>
      <c r="FT130"/>
      <c r="FU130"/>
      <c r="FV130"/>
      <c r="FW130"/>
      <c r="FX130"/>
      <c r="FY130"/>
      <c r="FZ130"/>
      <c r="GA130"/>
      <c r="GB130"/>
      <c r="GC130"/>
      <c r="GD130"/>
      <c r="GE130"/>
      <c r="GF130"/>
      <c r="GG130"/>
      <c r="GH130"/>
      <c r="GI130"/>
      <c r="GJ130"/>
      <c r="GK130"/>
      <c r="GL130"/>
      <c r="GM130"/>
      <c r="GN130"/>
      <c r="GO130"/>
      <c r="GP130"/>
      <c r="GQ130"/>
      <c r="GR130"/>
      <c r="GS130"/>
      <c r="GT130"/>
      <c r="GU130"/>
      <c r="GV130"/>
      <c r="GW130"/>
      <c r="GX130"/>
      <c r="GY130"/>
      <c r="GZ130"/>
      <c r="HA130"/>
      <c r="HB130"/>
      <c r="HC130"/>
      <c r="HD130"/>
      <c r="HE130"/>
      <c r="HF130"/>
      <c r="HG130"/>
      <c r="HH130"/>
      <c r="HI130"/>
      <c r="HJ130"/>
      <c r="HK130"/>
      <c r="HL130"/>
      <c r="HM130"/>
      <c r="HN130"/>
      <c r="HO130"/>
      <c r="HP130"/>
      <c r="HQ130"/>
      <c r="HR130"/>
      <c r="HS130"/>
      <c r="HT130"/>
      <c r="HU130"/>
      <c r="HV130"/>
      <c r="HW130"/>
      <c r="HX130"/>
      <c r="HY130"/>
      <c r="HZ130"/>
      <c r="IA130"/>
      <c r="IB130"/>
      <c r="IC130"/>
      <c r="ID130"/>
      <c r="IE130"/>
      <c r="IF130"/>
      <c r="IG130"/>
      <c r="IH130"/>
      <c r="II130"/>
      <c r="IJ130"/>
      <c r="IK130"/>
      <c r="IL130"/>
      <c r="IM130"/>
      <c r="IN130"/>
      <c r="IO130"/>
      <c r="IP130"/>
      <c r="IQ130"/>
      <c r="IR130"/>
      <c r="IS130"/>
      <c r="IT130"/>
      <c r="IU130"/>
      <c r="IV130"/>
    </row>
    <row r="131" spans="1:256" s="201" customFormat="1" ht="14.25" x14ac:dyDescent="0.2">
      <c r="A131" s="10">
        <v>3423</v>
      </c>
      <c r="B131" s="11" t="s">
        <v>499</v>
      </c>
      <c r="C131" s="105" t="s">
        <v>500</v>
      </c>
      <c r="D131" s="11" t="s">
        <v>106</v>
      </c>
      <c r="E131" s="12">
        <v>20243</v>
      </c>
      <c r="F131" s="202">
        <v>24</v>
      </c>
      <c r="G131" s="11">
        <v>300000</v>
      </c>
      <c r="H131" s="116">
        <v>0</v>
      </c>
      <c r="I131" s="192"/>
      <c r="J131" s="204"/>
      <c r="K131" s="193"/>
      <c r="L131" s="193"/>
      <c r="M131" s="193"/>
      <c r="N131" s="203">
        <f t="shared" si="84"/>
        <v>300000</v>
      </c>
      <c r="O131" s="203">
        <f t="shared" si="85"/>
        <v>300000</v>
      </c>
      <c r="P131" s="203">
        <f t="shared" si="86"/>
        <v>300000</v>
      </c>
      <c r="Q131" s="214"/>
      <c r="R131" s="219"/>
      <c r="S131" s="217">
        <v>46213</v>
      </c>
      <c r="T131" s="205"/>
      <c r="U131" s="205"/>
      <c r="V131" s="215"/>
      <c r="W131" s="212"/>
      <c r="X131" s="10">
        <v>7</v>
      </c>
      <c r="Y131" s="10">
        <v>7</v>
      </c>
      <c r="Z131" s="213">
        <f t="shared" si="87"/>
        <v>300000</v>
      </c>
      <c r="AA131" s="62"/>
      <c r="AB131" s="62"/>
      <c r="AC131" s="62"/>
      <c r="AD131" s="62"/>
      <c r="AE131" s="62"/>
      <c r="AF131" s="63"/>
      <c r="AG131" s="64"/>
      <c r="AH131" s="6">
        <v>1</v>
      </c>
      <c r="AI131">
        <f t="shared" si="88"/>
        <v>25</v>
      </c>
      <c r="AJ131">
        <f t="shared" si="89"/>
        <v>25</v>
      </c>
      <c r="AK131">
        <f t="shared" si="90"/>
        <v>0</v>
      </c>
      <c r="AL131">
        <f t="shared" si="91"/>
        <v>0</v>
      </c>
      <c r="AM131">
        <f t="shared" si="92"/>
        <v>0</v>
      </c>
      <c r="AN131">
        <f t="shared" si="93"/>
        <v>0</v>
      </c>
      <c r="AO131">
        <f t="shared" si="94"/>
        <v>0</v>
      </c>
      <c r="AP131">
        <f t="shared" si="95"/>
        <v>0</v>
      </c>
      <c r="AQ131">
        <f t="shared" si="96"/>
        <v>0</v>
      </c>
      <c r="AR131">
        <f t="shared" si="97"/>
        <v>0</v>
      </c>
      <c r="AS131">
        <f t="shared" si="98"/>
        <v>0</v>
      </c>
      <c r="AT131">
        <f t="shared" si="99"/>
        <v>0</v>
      </c>
      <c r="AU131">
        <f t="shared" si="100"/>
        <v>1</v>
      </c>
      <c r="AV131">
        <f t="shared" si="101"/>
        <v>1</v>
      </c>
      <c r="AW131">
        <f t="shared" si="102"/>
        <v>1</v>
      </c>
      <c r="AX131">
        <f t="shared" si="103"/>
        <v>1</v>
      </c>
      <c r="AY131">
        <f t="shared" si="104"/>
        <v>300000</v>
      </c>
      <c r="AZ131">
        <f t="shared" si="105"/>
        <v>300000</v>
      </c>
      <c r="BA131">
        <f t="shared" si="106"/>
        <v>0</v>
      </c>
      <c r="BB131">
        <f t="shared" si="107"/>
        <v>0</v>
      </c>
      <c r="BC131">
        <f t="shared" si="108"/>
        <v>0</v>
      </c>
      <c r="BD131">
        <f t="shared" si="109"/>
        <v>0</v>
      </c>
      <c r="BE131">
        <f t="shared" si="110"/>
        <v>0</v>
      </c>
      <c r="BF131">
        <f t="shared" si="111"/>
        <v>0</v>
      </c>
      <c r="BG131"/>
      <c r="BH131"/>
      <c r="BI131"/>
      <c r="BJ131"/>
      <c r="BK131"/>
      <c r="BL131"/>
      <c r="BM131"/>
      <c r="BN131"/>
      <c r="BO131"/>
      <c r="BP131"/>
      <c r="BQ131"/>
      <c r="BR131"/>
      <c r="BS131"/>
      <c r="BT131"/>
      <c r="BU131"/>
      <c r="BV131"/>
      <c r="BW131"/>
      <c r="BX131"/>
      <c r="BY131"/>
      <c r="BZ131"/>
      <c r="CA131"/>
      <c r="CB131"/>
      <c r="CC131"/>
      <c r="CD131"/>
      <c r="CE131"/>
      <c r="CF131"/>
      <c r="CG131"/>
      <c r="CH131"/>
      <c r="CI131"/>
      <c r="CJ131"/>
      <c r="CK131"/>
      <c r="CL131"/>
      <c r="CM131"/>
      <c r="CN131"/>
      <c r="CO131"/>
      <c r="CP131"/>
      <c r="CQ131"/>
      <c r="CR131"/>
      <c r="CS131"/>
      <c r="CT131"/>
      <c r="CU131"/>
      <c r="CV131"/>
      <c r="CW131"/>
      <c r="CX131"/>
      <c r="CY131"/>
      <c r="CZ131"/>
      <c r="DA131"/>
      <c r="DB131"/>
      <c r="DC131"/>
      <c r="DD131"/>
      <c r="DE131"/>
      <c r="DF131"/>
      <c r="DG131"/>
      <c r="DH131"/>
      <c r="DI131"/>
      <c r="DJ131"/>
      <c r="DK131"/>
      <c r="DL131"/>
      <c r="DM131"/>
      <c r="DN131"/>
      <c r="DO131"/>
      <c r="DP131"/>
      <c r="DQ131"/>
      <c r="DR131"/>
      <c r="DS131"/>
      <c r="DT131"/>
      <c r="DU131"/>
      <c r="DV131"/>
      <c r="DW131"/>
      <c r="DX131"/>
      <c r="DY131"/>
      <c r="DZ131"/>
      <c r="EA131"/>
      <c r="EB131"/>
      <c r="EC131"/>
      <c r="ED131"/>
      <c r="EE131"/>
      <c r="EF131"/>
      <c r="EG131"/>
      <c r="EH131"/>
      <c r="EI131"/>
      <c r="EJ131"/>
      <c r="EK131"/>
      <c r="EL131"/>
      <c r="EM131"/>
      <c r="EN131"/>
      <c r="EO131"/>
      <c r="EP131"/>
      <c r="EQ131"/>
      <c r="ER131"/>
      <c r="ES131"/>
      <c r="ET131"/>
      <c r="EU131"/>
      <c r="EV131"/>
      <c r="EW131"/>
      <c r="EX131"/>
      <c r="EY131"/>
      <c r="EZ131"/>
      <c r="FA131"/>
      <c r="FB131"/>
      <c r="FC131"/>
      <c r="FD131"/>
      <c r="FE131"/>
      <c r="FF131"/>
      <c r="FG131"/>
      <c r="FH131"/>
      <c r="FI131"/>
      <c r="FJ131"/>
      <c r="FK131"/>
      <c r="FL131"/>
      <c r="FM131"/>
      <c r="FN131"/>
      <c r="FO131"/>
      <c r="FP131"/>
      <c r="FQ131"/>
      <c r="FR131"/>
      <c r="FS131"/>
      <c r="FT131"/>
      <c r="FU131"/>
      <c r="FV131"/>
      <c r="FW131"/>
      <c r="FX131"/>
      <c r="FY131"/>
      <c r="FZ131"/>
      <c r="GA131"/>
      <c r="GB131"/>
      <c r="GC131"/>
      <c r="GD131"/>
      <c r="GE131"/>
      <c r="GF131"/>
      <c r="GG131"/>
      <c r="GH131"/>
      <c r="GI131"/>
      <c r="GJ131"/>
      <c r="GK131"/>
      <c r="GL131"/>
      <c r="GM131"/>
      <c r="GN131"/>
      <c r="GO131"/>
      <c r="GP131"/>
      <c r="GQ131"/>
      <c r="GR131"/>
      <c r="GS131"/>
      <c r="GT131"/>
      <c r="GU131"/>
      <c r="GV131"/>
      <c r="GW131"/>
      <c r="GX131"/>
      <c r="GY131"/>
      <c r="GZ131"/>
      <c r="HA131"/>
      <c r="HB131"/>
      <c r="HC131"/>
      <c r="HD131"/>
      <c r="HE131"/>
      <c r="HF131"/>
      <c r="HG131"/>
      <c r="HH131"/>
      <c r="HI131"/>
      <c r="HJ131"/>
      <c r="HK131"/>
      <c r="HL131"/>
      <c r="HM131"/>
      <c r="HN131"/>
      <c r="HO131"/>
      <c r="HP131"/>
      <c r="HQ131"/>
      <c r="HR131"/>
      <c r="HS131"/>
      <c r="HT131"/>
      <c r="HU131"/>
      <c r="HV131"/>
      <c r="HW131"/>
      <c r="HX131"/>
      <c r="HY131"/>
      <c r="HZ131"/>
      <c r="IA131"/>
      <c r="IB131"/>
      <c r="IC131"/>
      <c r="ID131"/>
      <c r="IE131"/>
      <c r="IF131"/>
      <c r="IG131"/>
      <c r="IH131"/>
      <c r="II131"/>
      <c r="IJ131"/>
      <c r="IK131"/>
      <c r="IL131"/>
      <c r="IM131"/>
      <c r="IN131"/>
      <c r="IO131"/>
      <c r="IP131"/>
      <c r="IQ131"/>
      <c r="IR131"/>
      <c r="IS131"/>
      <c r="IT131"/>
      <c r="IU131"/>
      <c r="IV131"/>
    </row>
    <row r="132" spans="1:256" s="201" customFormat="1" ht="14.25" x14ac:dyDescent="0.2">
      <c r="A132" s="10">
        <v>3431</v>
      </c>
      <c r="B132" s="11" t="s">
        <v>501</v>
      </c>
      <c r="C132" s="105" t="s">
        <v>502</v>
      </c>
      <c r="D132" s="11" t="s">
        <v>106</v>
      </c>
      <c r="E132" s="12">
        <v>20052</v>
      </c>
      <c r="F132" s="202">
        <v>24</v>
      </c>
      <c r="G132" s="11">
        <v>150000</v>
      </c>
      <c r="H132" s="116">
        <v>0</v>
      </c>
      <c r="I132" s="192"/>
      <c r="J132" s="204"/>
      <c r="K132" s="193"/>
      <c r="L132" s="193"/>
      <c r="M132" s="193"/>
      <c r="N132" s="203">
        <f t="shared" ref="N132:N140" si="112">IF(H132&gt;0,G132+H132-I132-J132-K132-L132-M132,G132-I132-J132-K132-L132-M132)</f>
        <v>150000</v>
      </c>
      <c r="O132" s="203">
        <f t="shared" ref="O132:O140" si="113">G132+H132-J132-I132-K132-L132-M132</f>
        <v>150000</v>
      </c>
      <c r="P132" s="203">
        <f t="shared" ref="P132:P140" si="114">IF(G132+H132&lt;0,0,G132+H132)</f>
        <v>150000</v>
      </c>
      <c r="Q132" s="214"/>
      <c r="R132" s="219"/>
      <c r="S132" s="217">
        <v>46211</v>
      </c>
      <c r="T132" s="205"/>
      <c r="U132" s="205"/>
      <c r="V132" s="215"/>
      <c r="W132" s="212"/>
      <c r="X132" s="10">
        <v>7</v>
      </c>
      <c r="Y132" s="10">
        <v>7</v>
      </c>
      <c r="Z132" s="213">
        <f t="shared" ref="Z132:Z140" si="115">IF(N132&lt;0,0,N132)</f>
        <v>150000</v>
      </c>
      <c r="AA132" s="62"/>
      <c r="AB132" s="62"/>
      <c r="AC132" s="62"/>
      <c r="AD132" s="62"/>
      <c r="AE132" s="62"/>
      <c r="AF132" s="63"/>
      <c r="AG132" s="64"/>
      <c r="AH132" s="6">
        <v>1</v>
      </c>
      <c r="AI132">
        <f t="shared" ref="AI132:AI140" si="116">IF(F132&lt;=6,15,25)</f>
        <v>25</v>
      </c>
      <c r="AJ132">
        <f t="shared" ref="AJ132:AJ140" si="117">IF(O132&lt;&gt;0,25,15)</f>
        <v>25</v>
      </c>
      <c r="AK132">
        <f t="shared" ref="AK132:AK140" si="118">IF(AI132-T132=24,1,0)</f>
        <v>0</v>
      </c>
      <c r="AL132">
        <f t="shared" ref="AL132:AL140" si="119">IF(AH132-AK132=AH132,0,AH132)</f>
        <v>0</v>
      </c>
      <c r="AM132">
        <f t="shared" ref="AM132:AM140" si="120">IF(AK132&lt;&gt;0,U132,0)</f>
        <v>0</v>
      </c>
      <c r="AN132">
        <f t="shared" ref="AN132:AN140" si="121">IF(AK132=1,O132,0)</f>
        <v>0</v>
      </c>
      <c r="AO132">
        <f t="shared" ref="AO132:AO140" si="122">IF(AI132-T132=14,1,0)</f>
        <v>0</v>
      </c>
      <c r="AP132">
        <f t="shared" ref="AP132:AP140" si="123">IF(AH132-AO132=AH132,0,AH132)</f>
        <v>0</v>
      </c>
      <c r="AQ132">
        <f t="shared" ref="AQ132:AQ140" si="124">IF(AO132&lt;&gt;0,U132,0)</f>
        <v>0</v>
      </c>
      <c r="AR132">
        <f t="shared" ref="AR132:AR140" si="125">IF(AO132=1,O132,0)</f>
        <v>0</v>
      </c>
      <c r="AS132">
        <f t="shared" ref="AS132:AS140" si="126">IF(SUM(I132:M132)&lt;&gt;0,1,0)</f>
        <v>0</v>
      </c>
      <c r="AT132">
        <f t="shared" ref="AT132:AT140" si="127">AS132</f>
        <v>0</v>
      </c>
      <c r="AU132">
        <f t="shared" ref="AU132:AU140" si="128">IF(O132&gt;0,1,0)</f>
        <v>1</v>
      </c>
      <c r="AV132">
        <f t="shared" ref="AV132:AV140" si="129">IF(AK132+AO132+AU132=1,AU132,0)</f>
        <v>1</v>
      </c>
      <c r="AW132">
        <f t="shared" ref="AW132:AW140" si="130">IF(AI132-AV132=24,1,0)</f>
        <v>1</v>
      </c>
      <c r="AX132">
        <f t="shared" ref="AX132:AX140" si="131">IF(AH132-AW132=AH132,0,AH132)</f>
        <v>1</v>
      </c>
      <c r="AY132">
        <f t="shared" ref="AY132:AY140" si="132">IF(AW132=1,O132,0)</f>
        <v>150000</v>
      </c>
      <c r="AZ132">
        <f t="shared" ref="AZ132:AZ140" si="133">IF(AY132-BA132&lt;&gt;0,AY132,0)</f>
        <v>150000</v>
      </c>
      <c r="BA132">
        <f t="shared" ref="BA132:BA140" si="134">IF(AY132&lt;0,AY132,0)</f>
        <v>0</v>
      </c>
      <c r="BB132">
        <f t="shared" ref="BB132:BB140" si="135">IF(AI132-AV132=14,1,0)</f>
        <v>0</v>
      </c>
      <c r="BC132">
        <f t="shared" ref="BC132:BC140" si="136">IF(AH132-BB132=AH132,0,AH132)</f>
        <v>0</v>
      </c>
      <c r="BD132">
        <f t="shared" ref="BD132:BD140" si="137">IF(BB132=1,O132,0)</f>
        <v>0</v>
      </c>
      <c r="BE132">
        <f t="shared" ref="BE132:BE140" si="138">IF(BD132&lt;0,BD132,0)</f>
        <v>0</v>
      </c>
      <c r="BF132">
        <f t="shared" ref="BF132:BF140" si="139">IF(BD132-BE132&lt;&gt;0,BD132,0)</f>
        <v>0</v>
      </c>
      <c r="BG132"/>
      <c r="BH132"/>
      <c r="BI132"/>
      <c r="BJ132"/>
      <c r="BK132"/>
      <c r="BL132"/>
      <c r="BM132"/>
      <c r="BN132"/>
      <c r="BO132"/>
      <c r="BP132"/>
      <c r="BQ132"/>
      <c r="BR132"/>
      <c r="BS132"/>
      <c r="BT132"/>
      <c r="BU132"/>
      <c r="BV132"/>
      <c r="BW132"/>
      <c r="BX132"/>
      <c r="BY132"/>
      <c r="BZ132"/>
      <c r="CA132"/>
      <c r="CB132"/>
      <c r="CC132"/>
      <c r="CD132"/>
      <c r="CE132"/>
      <c r="CF132"/>
      <c r="CG132"/>
      <c r="CH132"/>
      <c r="CI132"/>
      <c r="CJ132"/>
      <c r="CK132"/>
      <c r="CL132"/>
      <c r="CM132"/>
      <c r="CN132"/>
      <c r="CO132"/>
      <c r="CP132"/>
      <c r="CQ132"/>
      <c r="CR132"/>
      <c r="CS132"/>
      <c r="CT132"/>
      <c r="CU132"/>
      <c r="CV132"/>
      <c r="CW132"/>
      <c r="CX132"/>
      <c r="CY132"/>
      <c r="CZ132"/>
      <c r="DA132"/>
      <c r="DB132"/>
      <c r="DC132"/>
      <c r="DD132"/>
      <c r="DE132"/>
      <c r="DF132"/>
      <c r="DG132"/>
      <c r="DH132"/>
      <c r="DI132"/>
      <c r="DJ132"/>
      <c r="DK132"/>
      <c r="DL132"/>
      <c r="DM132"/>
      <c r="DN132"/>
      <c r="DO132"/>
      <c r="DP132"/>
      <c r="DQ132"/>
      <c r="DR132"/>
      <c r="DS132"/>
      <c r="DT132"/>
      <c r="DU132"/>
      <c r="DV132"/>
      <c r="DW132"/>
      <c r="DX132"/>
      <c r="DY132"/>
      <c r="DZ132"/>
      <c r="EA132"/>
      <c r="EB132"/>
      <c r="EC132"/>
      <c r="ED132"/>
      <c r="EE132"/>
      <c r="EF132"/>
      <c r="EG132"/>
      <c r="EH132"/>
      <c r="EI132"/>
      <c r="EJ132"/>
      <c r="EK132"/>
      <c r="EL132"/>
      <c r="EM132"/>
      <c r="EN132"/>
      <c r="EO132"/>
      <c r="EP132"/>
      <c r="EQ132"/>
      <c r="ER132"/>
      <c r="ES132"/>
      <c r="ET132"/>
      <c r="EU132"/>
      <c r="EV132"/>
      <c r="EW132"/>
      <c r="EX132"/>
      <c r="EY132"/>
      <c r="EZ132"/>
      <c r="FA132"/>
      <c r="FB132"/>
      <c r="FC132"/>
      <c r="FD132"/>
      <c r="FE132"/>
      <c r="FF132"/>
      <c r="FG132"/>
      <c r="FH132"/>
      <c r="FI132"/>
      <c r="FJ132"/>
      <c r="FK132"/>
      <c r="FL132"/>
      <c r="FM132"/>
      <c r="FN132"/>
      <c r="FO132"/>
      <c r="FP132"/>
      <c r="FQ132"/>
      <c r="FR132"/>
      <c r="FS132"/>
      <c r="FT132"/>
      <c r="FU132"/>
      <c r="FV132"/>
      <c r="FW132"/>
      <c r="FX132"/>
      <c r="FY132"/>
      <c r="FZ132"/>
      <c r="GA132"/>
      <c r="GB132"/>
      <c r="GC132"/>
      <c r="GD132"/>
      <c r="GE132"/>
      <c r="GF132"/>
      <c r="GG132"/>
      <c r="GH132"/>
      <c r="GI132"/>
      <c r="GJ132"/>
      <c r="GK132"/>
      <c r="GL132"/>
      <c r="GM132"/>
      <c r="GN132"/>
      <c r="GO132"/>
      <c r="GP132"/>
      <c r="GQ132"/>
      <c r="GR132"/>
      <c r="GS132"/>
      <c r="GT132"/>
      <c r="GU132"/>
      <c r="GV132"/>
      <c r="GW132"/>
      <c r="GX132"/>
      <c r="GY132"/>
      <c r="GZ132"/>
      <c r="HA132"/>
      <c r="HB132"/>
      <c r="HC132"/>
      <c r="HD132"/>
      <c r="HE132"/>
      <c r="HF132"/>
      <c r="HG132"/>
      <c r="HH132"/>
      <c r="HI132"/>
      <c r="HJ132"/>
      <c r="HK132"/>
      <c r="HL132"/>
      <c r="HM132"/>
      <c r="HN132"/>
      <c r="HO132"/>
      <c r="HP132"/>
      <c r="HQ132"/>
      <c r="HR132"/>
      <c r="HS132"/>
      <c r="HT132"/>
      <c r="HU132"/>
      <c r="HV132"/>
      <c r="HW132"/>
      <c r="HX132"/>
      <c r="HY132"/>
      <c r="HZ132"/>
      <c r="IA132"/>
      <c r="IB132"/>
      <c r="IC132"/>
      <c r="ID132"/>
      <c r="IE132"/>
      <c r="IF132"/>
      <c r="IG132"/>
      <c r="IH132"/>
      <c r="II132"/>
      <c r="IJ132"/>
      <c r="IK132"/>
      <c r="IL132"/>
      <c r="IM132"/>
      <c r="IN132"/>
      <c r="IO132"/>
      <c r="IP132"/>
      <c r="IQ132"/>
      <c r="IR132"/>
      <c r="IS132"/>
      <c r="IT132"/>
      <c r="IU132"/>
      <c r="IV132"/>
    </row>
    <row r="133" spans="1:256" s="201" customFormat="1" ht="14.25" x14ac:dyDescent="0.2">
      <c r="A133" s="10">
        <v>3450</v>
      </c>
      <c r="B133" s="11" t="s">
        <v>503</v>
      </c>
      <c r="C133" s="105" t="s">
        <v>504</v>
      </c>
      <c r="D133" s="11" t="s">
        <v>105</v>
      </c>
      <c r="E133" s="12">
        <v>20315</v>
      </c>
      <c r="F133" s="202">
        <v>23</v>
      </c>
      <c r="G133" s="11">
        <v>200000</v>
      </c>
      <c r="H133" s="116">
        <v>0</v>
      </c>
      <c r="I133" s="192"/>
      <c r="J133" s="204"/>
      <c r="K133" s="193"/>
      <c r="L133" s="193"/>
      <c r="M133" s="193"/>
      <c r="N133" s="203">
        <f t="shared" si="112"/>
        <v>200000</v>
      </c>
      <c r="O133" s="203">
        <f t="shared" si="113"/>
        <v>200000</v>
      </c>
      <c r="P133" s="203">
        <f t="shared" si="114"/>
        <v>200000</v>
      </c>
      <c r="Q133" s="214"/>
      <c r="R133" s="219"/>
      <c r="S133" s="217">
        <v>46209</v>
      </c>
      <c r="T133" s="205"/>
      <c r="U133" s="205"/>
      <c r="V133" s="215"/>
      <c r="W133" s="212"/>
      <c r="X133" s="10">
        <v>7</v>
      </c>
      <c r="Y133" s="10">
        <v>7</v>
      </c>
      <c r="Z133" s="213">
        <f t="shared" si="115"/>
        <v>200000</v>
      </c>
      <c r="AA133" s="62"/>
      <c r="AB133" s="62"/>
      <c r="AC133" s="62"/>
      <c r="AD133" s="62"/>
      <c r="AE133" s="62"/>
      <c r="AF133" s="63"/>
      <c r="AG133" s="64"/>
      <c r="AH133" s="6">
        <v>1</v>
      </c>
      <c r="AI133">
        <f t="shared" si="116"/>
        <v>25</v>
      </c>
      <c r="AJ133">
        <f t="shared" si="117"/>
        <v>25</v>
      </c>
      <c r="AK133">
        <f t="shared" si="118"/>
        <v>0</v>
      </c>
      <c r="AL133">
        <f t="shared" si="119"/>
        <v>0</v>
      </c>
      <c r="AM133">
        <f t="shared" si="120"/>
        <v>0</v>
      </c>
      <c r="AN133">
        <f t="shared" si="121"/>
        <v>0</v>
      </c>
      <c r="AO133">
        <f t="shared" si="122"/>
        <v>0</v>
      </c>
      <c r="AP133">
        <f t="shared" si="123"/>
        <v>0</v>
      </c>
      <c r="AQ133">
        <f t="shared" si="124"/>
        <v>0</v>
      </c>
      <c r="AR133">
        <f t="shared" si="125"/>
        <v>0</v>
      </c>
      <c r="AS133">
        <f t="shared" si="126"/>
        <v>0</v>
      </c>
      <c r="AT133">
        <f t="shared" si="127"/>
        <v>0</v>
      </c>
      <c r="AU133">
        <f t="shared" si="128"/>
        <v>1</v>
      </c>
      <c r="AV133">
        <f t="shared" si="129"/>
        <v>1</v>
      </c>
      <c r="AW133">
        <f t="shared" si="130"/>
        <v>1</v>
      </c>
      <c r="AX133">
        <f t="shared" si="131"/>
        <v>1</v>
      </c>
      <c r="AY133">
        <f t="shared" si="132"/>
        <v>200000</v>
      </c>
      <c r="AZ133">
        <f t="shared" si="133"/>
        <v>200000</v>
      </c>
      <c r="BA133">
        <f t="shared" si="134"/>
        <v>0</v>
      </c>
      <c r="BB133">
        <f t="shared" si="135"/>
        <v>0</v>
      </c>
      <c r="BC133">
        <f t="shared" si="136"/>
        <v>0</v>
      </c>
      <c r="BD133">
        <f t="shared" si="137"/>
        <v>0</v>
      </c>
      <c r="BE133">
        <f t="shared" si="138"/>
        <v>0</v>
      </c>
      <c r="BF133">
        <f t="shared" si="139"/>
        <v>0</v>
      </c>
      <c r="BG133"/>
      <c r="BH133"/>
      <c r="BI133"/>
      <c r="BJ133"/>
      <c r="BK133"/>
      <c r="BL133"/>
      <c r="BM133"/>
      <c r="BN133"/>
      <c r="BO133"/>
      <c r="BP133"/>
      <c r="BQ133"/>
      <c r="BR133"/>
      <c r="BS133"/>
      <c r="BT133"/>
      <c r="BU133"/>
      <c r="BV133"/>
      <c r="BW133"/>
      <c r="BX133"/>
      <c r="BY133"/>
      <c r="BZ133"/>
      <c r="CA133"/>
      <c r="CB133"/>
      <c r="CC133"/>
      <c r="CD133"/>
      <c r="CE133"/>
      <c r="CF133"/>
      <c r="CG133"/>
      <c r="CH133"/>
      <c r="CI133"/>
      <c r="CJ133"/>
      <c r="CK133"/>
      <c r="CL133"/>
      <c r="CM133"/>
      <c r="CN133"/>
      <c r="CO133"/>
      <c r="CP133"/>
      <c r="CQ133"/>
      <c r="CR133"/>
      <c r="CS133"/>
      <c r="CT133"/>
      <c r="CU133"/>
      <c r="CV133"/>
      <c r="CW133"/>
      <c r="CX133"/>
      <c r="CY133"/>
      <c r="CZ133"/>
      <c r="DA133"/>
      <c r="DB133"/>
      <c r="DC133"/>
      <c r="DD133"/>
      <c r="DE133"/>
      <c r="DF133"/>
      <c r="DG133"/>
      <c r="DH133"/>
      <c r="DI133"/>
      <c r="DJ133"/>
      <c r="DK133"/>
      <c r="DL133"/>
      <c r="DM133"/>
      <c r="DN133"/>
      <c r="DO133"/>
      <c r="DP133"/>
      <c r="DQ133"/>
      <c r="DR133"/>
      <c r="DS133"/>
      <c r="DT133"/>
      <c r="DU133"/>
      <c r="DV133"/>
      <c r="DW133"/>
      <c r="DX133"/>
      <c r="DY133"/>
      <c r="DZ133"/>
      <c r="EA133"/>
      <c r="EB133"/>
      <c r="EC133"/>
      <c r="ED133"/>
      <c r="EE133"/>
      <c r="EF133"/>
      <c r="EG133"/>
      <c r="EH133"/>
      <c r="EI133"/>
      <c r="EJ133"/>
      <c r="EK133"/>
      <c r="EL133"/>
      <c r="EM133"/>
      <c r="EN133"/>
      <c r="EO133"/>
      <c r="EP133"/>
      <c r="EQ133"/>
      <c r="ER133"/>
      <c r="ES133"/>
      <c r="ET133"/>
      <c r="EU133"/>
      <c r="EV133"/>
      <c r="EW133"/>
      <c r="EX133"/>
      <c r="EY133"/>
      <c r="EZ133"/>
      <c r="FA133"/>
      <c r="FB133"/>
      <c r="FC133"/>
      <c r="FD133"/>
      <c r="FE133"/>
      <c r="FF133"/>
      <c r="FG133"/>
      <c r="FH133"/>
      <c r="FI133"/>
      <c r="FJ133"/>
      <c r="FK133"/>
      <c r="FL133"/>
      <c r="FM133"/>
      <c r="FN133"/>
      <c r="FO133"/>
      <c r="FP133"/>
      <c r="FQ133"/>
      <c r="FR133"/>
      <c r="FS133"/>
      <c r="FT133"/>
      <c r="FU133"/>
      <c r="FV133"/>
      <c r="FW133"/>
      <c r="FX133"/>
      <c r="FY133"/>
      <c r="FZ133"/>
      <c r="GA133"/>
      <c r="GB133"/>
      <c r="GC133"/>
      <c r="GD133"/>
      <c r="GE133"/>
      <c r="GF133"/>
      <c r="GG133"/>
      <c r="GH133"/>
      <c r="GI133"/>
      <c r="GJ133"/>
      <c r="GK133"/>
      <c r="GL133"/>
      <c r="GM133"/>
      <c r="GN133"/>
      <c r="GO133"/>
      <c r="GP133"/>
      <c r="GQ133"/>
      <c r="GR133"/>
      <c r="GS133"/>
      <c r="GT133"/>
      <c r="GU133"/>
      <c r="GV133"/>
      <c r="GW133"/>
      <c r="GX133"/>
      <c r="GY133"/>
      <c r="GZ133"/>
      <c r="HA133"/>
      <c r="HB133"/>
      <c r="HC133"/>
      <c r="HD133"/>
      <c r="HE133"/>
      <c r="HF133"/>
      <c r="HG133"/>
      <c r="HH133"/>
      <c r="HI133"/>
      <c r="HJ133"/>
      <c r="HK133"/>
      <c r="HL133"/>
      <c r="HM133"/>
      <c r="HN133"/>
      <c r="HO133"/>
      <c r="HP133"/>
      <c r="HQ133"/>
      <c r="HR133"/>
      <c r="HS133"/>
      <c r="HT133"/>
      <c r="HU133"/>
      <c r="HV133"/>
      <c r="HW133"/>
      <c r="HX133"/>
      <c r="HY133"/>
      <c r="HZ133"/>
      <c r="IA133"/>
      <c r="IB133"/>
      <c r="IC133"/>
      <c r="ID133"/>
      <c r="IE133"/>
      <c r="IF133"/>
      <c r="IG133"/>
      <c r="IH133"/>
      <c r="II133"/>
      <c r="IJ133"/>
      <c r="IK133"/>
      <c r="IL133"/>
      <c r="IM133"/>
      <c r="IN133"/>
      <c r="IO133"/>
      <c r="IP133"/>
      <c r="IQ133"/>
      <c r="IR133"/>
      <c r="IS133"/>
      <c r="IT133"/>
      <c r="IU133"/>
      <c r="IV133"/>
    </row>
    <row r="134" spans="1:256" s="201" customFormat="1" ht="14.25" x14ac:dyDescent="0.2">
      <c r="A134" s="10">
        <v>3451</v>
      </c>
      <c r="B134" s="11" t="s">
        <v>505</v>
      </c>
      <c r="C134" s="105" t="s">
        <v>506</v>
      </c>
      <c r="D134" s="11" t="s">
        <v>157</v>
      </c>
      <c r="E134" s="12">
        <v>3981</v>
      </c>
      <c r="F134" s="202">
        <v>22</v>
      </c>
      <c r="G134" s="11">
        <v>250000</v>
      </c>
      <c r="H134" s="116">
        <v>0</v>
      </c>
      <c r="I134" s="192"/>
      <c r="J134" s="204"/>
      <c r="K134" s="193"/>
      <c r="L134" s="193"/>
      <c r="M134" s="193"/>
      <c r="N134" s="203">
        <f t="shared" si="112"/>
        <v>250000</v>
      </c>
      <c r="O134" s="203">
        <f t="shared" si="113"/>
        <v>250000</v>
      </c>
      <c r="P134" s="203">
        <f t="shared" si="114"/>
        <v>250000</v>
      </c>
      <c r="Q134" s="214"/>
      <c r="R134" s="219"/>
      <c r="S134" s="217">
        <v>46212</v>
      </c>
      <c r="T134" s="205"/>
      <c r="U134" s="205"/>
      <c r="V134" s="215"/>
      <c r="W134" s="212"/>
      <c r="X134" s="10">
        <v>7</v>
      </c>
      <c r="Y134" s="10">
        <v>7</v>
      </c>
      <c r="Z134" s="213">
        <f t="shared" si="115"/>
        <v>250000</v>
      </c>
      <c r="AA134" s="62"/>
      <c r="AB134" s="62"/>
      <c r="AC134" s="62"/>
      <c r="AD134" s="62"/>
      <c r="AE134" s="62"/>
      <c r="AF134" s="63"/>
      <c r="AG134" s="64"/>
      <c r="AH134" s="6">
        <v>1</v>
      </c>
      <c r="AI134">
        <f t="shared" si="116"/>
        <v>25</v>
      </c>
      <c r="AJ134">
        <f t="shared" si="117"/>
        <v>25</v>
      </c>
      <c r="AK134">
        <f t="shared" si="118"/>
        <v>0</v>
      </c>
      <c r="AL134">
        <f t="shared" si="119"/>
        <v>0</v>
      </c>
      <c r="AM134">
        <f t="shared" si="120"/>
        <v>0</v>
      </c>
      <c r="AN134">
        <f t="shared" si="121"/>
        <v>0</v>
      </c>
      <c r="AO134">
        <f t="shared" si="122"/>
        <v>0</v>
      </c>
      <c r="AP134">
        <f t="shared" si="123"/>
        <v>0</v>
      </c>
      <c r="AQ134">
        <f t="shared" si="124"/>
        <v>0</v>
      </c>
      <c r="AR134">
        <f t="shared" si="125"/>
        <v>0</v>
      </c>
      <c r="AS134">
        <f t="shared" si="126"/>
        <v>0</v>
      </c>
      <c r="AT134">
        <f t="shared" si="127"/>
        <v>0</v>
      </c>
      <c r="AU134">
        <f t="shared" si="128"/>
        <v>1</v>
      </c>
      <c r="AV134">
        <f t="shared" si="129"/>
        <v>1</v>
      </c>
      <c r="AW134">
        <f t="shared" si="130"/>
        <v>1</v>
      </c>
      <c r="AX134">
        <f t="shared" si="131"/>
        <v>1</v>
      </c>
      <c r="AY134">
        <f t="shared" si="132"/>
        <v>250000</v>
      </c>
      <c r="AZ134">
        <f t="shared" si="133"/>
        <v>250000</v>
      </c>
      <c r="BA134">
        <f t="shared" si="134"/>
        <v>0</v>
      </c>
      <c r="BB134">
        <f t="shared" si="135"/>
        <v>0</v>
      </c>
      <c r="BC134">
        <f t="shared" si="136"/>
        <v>0</v>
      </c>
      <c r="BD134">
        <f t="shared" si="137"/>
        <v>0</v>
      </c>
      <c r="BE134">
        <f t="shared" si="138"/>
        <v>0</v>
      </c>
      <c r="BF134">
        <f t="shared" si="139"/>
        <v>0</v>
      </c>
      <c r="BG134"/>
      <c r="BH134"/>
      <c r="BI134"/>
      <c r="BJ134"/>
      <c r="BK134"/>
      <c r="BL134"/>
      <c r="BM134"/>
      <c r="BN134"/>
      <c r="BO134"/>
      <c r="BP134"/>
      <c r="BQ134"/>
      <c r="BR134"/>
      <c r="BS134"/>
      <c r="BT134"/>
      <c r="BU134"/>
      <c r="BV134"/>
      <c r="BW134"/>
      <c r="BX134"/>
      <c r="BY134"/>
      <c r="BZ134"/>
      <c r="CA134"/>
      <c r="CB134"/>
      <c r="CC134"/>
      <c r="CD134"/>
      <c r="CE134"/>
      <c r="CF134"/>
      <c r="CG134"/>
      <c r="CH134"/>
      <c r="CI134"/>
      <c r="CJ134"/>
      <c r="CK134"/>
      <c r="CL134"/>
      <c r="CM134"/>
      <c r="CN134"/>
      <c r="CO134"/>
      <c r="CP134"/>
      <c r="CQ134"/>
      <c r="CR134"/>
      <c r="CS134"/>
      <c r="CT134"/>
      <c r="CU134"/>
      <c r="CV134"/>
      <c r="CW134"/>
      <c r="CX134"/>
      <c r="CY134"/>
      <c r="CZ134"/>
      <c r="DA134"/>
      <c r="DB134"/>
      <c r="DC134"/>
      <c r="DD134"/>
      <c r="DE134"/>
      <c r="DF134"/>
      <c r="DG134"/>
      <c r="DH134"/>
      <c r="DI134"/>
      <c r="DJ134"/>
      <c r="DK134"/>
      <c r="DL134"/>
      <c r="DM134"/>
      <c r="DN134"/>
      <c r="DO134"/>
      <c r="DP134"/>
      <c r="DQ134"/>
      <c r="DR134"/>
      <c r="DS134"/>
      <c r="DT134"/>
      <c r="DU134"/>
      <c r="DV134"/>
      <c r="DW134"/>
      <c r="DX134"/>
      <c r="DY134"/>
      <c r="DZ134"/>
      <c r="EA134"/>
      <c r="EB134"/>
      <c r="EC134"/>
      <c r="ED134"/>
      <c r="EE134"/>
      <c r="EF134"/>
      <c r="EG134"/>
      <c r="EH134"/>
      <c r="EI134"/>
      <c r="EJ134"/>
      <c r="EK134"/>
      <c r="EL134"/>
      <c r="EM134"/>
      <c r="EN134"/>
      <c r="EO134"/>
      <c r="EP134"/>
      <c r="EQ134"/>
      <c r="ER134"/>
      <c r="ES134"/>
      <c r="ET134"/>
      <c r="EU134"/>
      <c r="EV134"/>
      <c r="EW134"/>
      <c r="EX134"/>
      <c r="EY134"/>
      <c r="EZ134"/>
      <c r="FA134"/>
      <c r="FB134"/>
      <c r="FC134"/>
      <c r="FD134"/>
      <c r="FE134"/>
      <c r="FF134"/>
      <c r="FG134"/>
      <c r="FH134"/>
      <c r="FI134"/>
      <c r="FJ134"/>
      <c r="FK134"/>
      <c r="FL134"/>
      <c r="FM134"/>
      <c r="FN134"/>
      <c r="FO134"/>
      <c r="FP134"/>
      <c r="FQ134"/>
      <c r="FR134"/>
      <c r="FS134"/>
      <c r="FT134"/>
      <c r="FU134"/>
      <c r="FV134"/>
      <c r="FW134"/>
      <c r="FX134"/>
      <c r="FY134"/>
      <c r="FZ134"/>
      <c r="GA134"/>
      <c r="GB134"/>
      <c r="GC134"/>
      <c r="GD134"/>
      <c r="GE134"/>
      <c r="GF134"/>
      <c r="GG134"/>
      <c r="GH134"/>
      <c r="GI134"/>
      <c r="GJ134"/>
      <c r="GK134"/>
      <c r="GL134"/>
      <c r="GM134"/>
      <c r="GN134"/>
      <c r="GO134"/>
      <c r="GP134"/>
      <c r="GQ134"/>
      <c r="GR134"/>
      <c r="GS134"/>
      <c r="GT134"/>
      <c r="GU134"/>
      <c r="GV134"/>
      <c r="GW134"/>
      <c r="GX134"/>
      <c r="GY134"/>
      <c r="GZ134"/>
      <c r="HA134"/>
      <c r="HB134"/>
      <c r="HC134"/>
      <c r="HD134"/>
      <c r="HE134"/>
      <c r="HF134"/>
      <c r="HG134"/>
      <c r="HH134"/>
      <c r="HI134"/>
      <c r="HJ134"/>
      <c r="HK134"/>
      <c r="HL134"/>
      <c r="HM134"/>
      <c r="HN134"/>
      <c r="HO134"/>
      <c r="HP134"/>
      <c r="HQ134"/>
      <c r="HR134"/>
      <c r="HS134"/>
      <c r="HT134"/>
      <c r="HU134"/>
      <c r="HV134"/>
      <c r="HW134"/>
      <c r="HX134"/>
      <c r="HY134"/>
      <c r="HZ134"/>
      <c r="IA134"/>
      <c r="IB134"/>
      <c r="IC134"/>
      <c r="ID134"/>
      <c r="IE134"/>
      <c r="IF134"/>
      <c r="IG134"/>
      <c r="IH134"/>
      <c r="II134"/>
      <c r="IJ134"/>
      <c r="IK134"/>
      <c r="IL134"/>
      <c r="IM134"/>
      <c r="IN134"/>
      <c r="IO134"/>
      <c r="IP134"/>
      <c r="IQ134"/>
      <c r="IR134"/>
      <c r="IS134"/>
      <c r="IT134"/>
      <c r="IU134"/>
      <c r="IV134"/>
    </row>
    <row r="135" spans="1:256" s="201" customFormat="1" ht="14.25" x14ac:dyDescent="0.2">
      <c r="A135" s="10">
        <v>3457</v>
      </c>
      <c r="B135" s="11" t="s">
        <v>507</v>
      </c>
      <c r="C135" s="105" t="s">
        <v>508</v>
      </c>
      <c r="D135" s="11" t="s">
        <v>154</v>
      </c>
      <c r="E135" s="12">
        <v>20336</v>
      </c>
      <c r="F135" s="202">
        <v>22</v>
      </c>
      <c r="G135" s="11">
        <v>80000</v>
      </c>
      <c r="H135" s="116">
        <v>0</v>
      </c>
      <c r="I135" s="192"/>
      <c r="J135" s="204"/>
      <c r="K135" s="193"/>
      <c r="L135" s="193"/>
      <c r="M135" s="193"/>
      <c r="N135" s="203">
        <f t="shared" si="112"/>
        <v>80000</v>
      </c>
      <c r="O135" s="203">
        <f t="shared" si="113"/>
        <v>80000</v>
      </c>
      <c r="P135" s="203">
        <f t="shared" si="114"/>
        <v>80000</v>
      </c>
      <c r="Q135" s="214"/>
      <c r="R135" s="219"/>
      <c r="S135" s="217">
        <v>46234</v>
      </c>
      <c r="T135" s="205"/>
      <c r="U135" s="205"/>
      <c r="V135" s="215"/>
      <c r="W135" s="212"/>
      <c r="X135" s="10">
        <v>7</v>
      </c>
      <c r="Y135" s="10">
        <v>7</v>
      </c>
      <c r="Z135" s="213">
        <f t="shared" si="115"/>
        <v>80000</v>
      </c>
      <c r="AA135" s="62"/>
      <c r="AB135" s="62"/>
      <c r="AC135" s="62"/>
      <c r="AD135" s="62"/>
      <c r="AE135" s="62"/>
      <c r="AF135" s="63"/>
      <c r="AG135" s="64"/>
      <c r="AH135" s="6">
        <v>1</v>
      </c>
      <c r="AI135">
        <f t="shared" si="116"/>
        <v>25</v>
      </c>
      <c r="AJ135">
        <f t="shared" si="117"/>
        <v>25</v>
      </c>
      <c r="AK135">
        <f t="shared" si="118"/>
        <v>0</v>
      </c>
      <c r="AL135">
        <f t="shared" si="119"/>
        <v>0</v>
      </c>
      <c r="AM135">
        <f t="shared" si="120"/>
        <v>0</v>
      </c>
      <c r="AN135">
        <f t="shared" si="121"/>
        <v>0</v>
      </c>
      <c r="AO135">
        <f t="shared" si="122"/>
        <v>0</v>
      </c>
      <c r="AP135">
        <f t="shared" si="123"/>
        <v>0</v>
      </c>
      <c r="AQ135">
        <f t="shared" si="124"/>
        <v>0</v>
      </c>
      <c r="AR135">
        <f t="shared" si="125"/>
        <v>0</v>
      </c>
      <c r="AS135">
        <f t="shared" si="126"/>
        <v>0</v>
      </c>
      <c r="AT135">
        <f t="shared" si="127"/>
        <v>0</v>
      </c>
      <c r="AU135">
        <f t="shared" si="128"/>
        <v>1</v>
      </c>
      <c r="AV135">
        <f t="shared" si="129"/>
        <v>1</v>
      </c>
      <c r="AW135">
        <f t="shared" si="130"/>
        <v>1</v>
      </c>
      <c r="AX135">
        <f t="shared" si="131"/>
        <v>1</v>
      </c>
      <c r="AY135">
        <f t="shared" si="132"/>
        <v>80000</v>
      </c>
      <c r="AZ135">
        <f t="shared" si="133"/>
        <v>80000</v>
      </c>
      <c r="BA135">
        <f t="shared" si="134"/>
        <v>0</v>
      </c>
      <c r="BB135">
        <f t="shared" si="135"/>
        <v>0</v>
      </c>
      <c r="BC135">
        <f t="shared" si="136"/>
        <v>0</v>
      </c>
      <c r="BD135">
        <f t="shared" si="137"/>
        <v>0</v>
      </c>
      <c r="BE135">
        <f t="shared" si="138"/>
        <v>0</v>
      </c>
      <c r="BF135">
        <f t="shared" si="139"/>
        <v>0</v>
      </c>
      <c r="BG135"/>
      <c r="BH135"/>
      <c r="BI135"/>
      <c r="BJ135"/>
      <c r="BK135"/>
      <c r="BL135"/>
      <c r="BM135"/>
      <c r="BN135"/>
      <c r="BO135"/>
      <c r="BP135"/>
      <c r="BQ135"/>
      <c r="BR135"/>
      <c r="BS135"/>
      <c r="BT135"/>
      <c r="BU135"/>
      <c r="BV135"/>
      <c r="BW135"/>
      <c r="BX135"/>
      <c r="BY135"/>
      <c r="BZ135"/>
      <c r="CA135"/>
      <c r="CB135"/>
      <c r="CC135"/>
      <c r="CD135"/>
      <c r="CE135"/>
      <c r="CF135"/>
      <c r="CG135"/>
      <c r="CH135"/>
      <c r="CI135"/>
      <c r="CJ135"/>
      <c r="CK135"/>
      <c r="CL135"/>
      <c r="CM135"/>
      <c r="CN135"/>
      <c r="CO135"/>
      <c r="CP135"/>
      <c r="CQ135"/>
      <c r="CR135"/>
      <c r="CS135"/>
      <c r="CT135"/>
      <c r="CU135"/>
      <c r="CV135"/>
      <c r="CW135"/>
      <c r="CX135"/>
      <c r="CY135"/>
      <c r="CZ135"/>
      <c r="DA135"/>
      <c r="DB135"/>
      <c r="DC135"/>
      <c r="DD135"/>
      <c r="DE135"/>
      <c r="DF135"/>
      <c r="DG135"/>
      <c r="DH135"/>
      <c r="DI135"/>
      <c r="DJ135"/>
      <c r="DK135"/>
      <c r="DL135"/>
      <c r="DM135"/>
      <c r="DN135"/>
      <c r="DO135"/>
      <c r="DP135"/>
      <c r="DQ135"/>
      <c r="DR135"/>
      <c r="DS135"/>
      <c r="DT135"/>
      <c r="DU135"/>
      <c r="DV135"/>
      <c r="DW135"/>
      <c r="DX135"/>
      <c r="DY135"/>
      <c r="DZ135"/>
      <c r="EA135"/>
      <c r="EB135"/>
      <c r="EC135"/>
      <c r="ED135"/>
      <c r="EE135"/>
      <c r="EF135"/>
      <c r="EG135"/>
      <c r="EH135"/>
      <c r="EI135"/>
      <c r="EJ135"/>
      <c r="EK135"/>
      <c r="EL135"/>
      <c r="EM135"/>
      <c r="EN135"/>
      <c r="EO135"/>
      <c r="EP135"/>
      <c r="EQ135"/>
      <c r="ER135"/>
      <c r="ES135"/>
      <c r="ET135"/>
      <c r="EU135"/>
      <c r="EV135"/>
      <c r="EW135"/>
      <c r="EX135"/>
      <c r="EY135"/>
      <c r="EZ135"/>
      <c r="FA135"/>
      <c r="FB135"/>
      <c r="FC135"/>
      <c r="FD135"/>
      <c r="FE135"/>
      <c r="FF135"/>
      <c r="FG135"/>
      <c r="FH135"/>
      <c r="FI135"/>
      <c r="FJ135"/>
      <c r="FK135"/>
      <c r="FL135"/>
      <c r="FM135"/>
      <c r="FN135"/>
      <c r="FO135"/>
      <c r="FP135"/>
      <c r="FQ135"/>
      <c r="FR135"/>
      <c r="FS135"/>
      <c r="FT135"/>
      <c r="FU135"/>
      <c r="FV135"/>
      <c r="FW135"/>
      <c r="FX135"/>
      <c r="FY135"/>
      <c r="FZ135"/>
      <c r="GA135"/>
      <c r="GB135"/>
      <c r="GC135"/>
      <c r="GD135"/>
      <c r="GE135"/>
      <c r="GF135"/>
      <c r="GG135"/>
      <c r="GH135"/>
      <c r="GI135"/>
      <c r="GJ135"/>
      <c r="GK135"/>
      <c r="GL135"/>
      <c r="GM135"/>
      <c r="GN135"/>
      <c r="GO135"/>
      <c r="GP135"/>
      <c r="GQ135"/>
      <c r="GR135"/>
      <c r="GS135"/>
      <c r="GT135"/>
      <c r="GU135"/>
      <c r="GV135"/>
      <c r="GW135"/>
      <c r="GX135"/>
      <c r="GY135"/>
      <c r="GZ135"/>
      <c r="HA135"/>
      <c r="HB135"/>
      <c r="HC135"/>
      <c r="HD135"/>
      <c r="HE135"/>
      <c r="HF135"/>
      <c r="HG135"/>
      <c r="HH135"/>
      <c r="HI135"/>
      <c r="HJ135"/>
      <c r="HK135"/>
      <c r="HL135"/>
      <c r="HM135"/>
      <c r="HN135"/>
      <c r="HO135"/>
      <c r="HP135"/>
      <c r="HQ135"/>
      <c r="HR135"/>
      <c r="HS135"/>
      <c r="HT135"/>
      <c r="HU135"/>
      <c r="HV135"/>
      <c r="HW135"/>
      <c r="HX135"/>
      <c r="HY135"/>
      <c r="HZ135"/>
      <c r="IA135"/>
      <c r="IB135"/>
      <c r="IC135"/>
      <c r="ID135"/>
      <c r="IE135"/>
      <c r="IF135"/>
      <c r="IG135"/>
      <c r="IH135"/>
      <c r="II135"/>
      <c r="IJ135"/>
      <c r="IK135"/>
      <c r="IL135"/>
      <c r="IM135"/>
      <c r="IN135"/>
      <c r="IO135"/>
      <c r="IP135"/>
      <c r="IQ135"/>
      <c r="IR135"/>
      <c r="IS135"/>
      <c r="IT135"/>
      <c r="IU135"/>
      <c r="IV135"/>
    </row>
    <row r="136" spans="1:256" s="201" customFormat="1" ht="14.25" x14ac:dyDescent="0.2">
      <c r="A136" s="10">
        <v>3478</v>
      </c>
      <c r="B136" s="11" t="s">
        <v>512</v>
      </c>
      <c r="C136" s="105" t="s">
        <v>513</v>
      </c>
      <c r="D136" s="11" t="s">
        <v>222</v>
      </c>
      <c r="E136" s="12">
        <v>20331</v>
      </c>
      <c r="F136" s="202">
        <v>17</v>
      </c>
      <c r="G136" s="11">
        <v>120000</v>
      </c>
      <c r="H136" s="116">
        <v>0</v>
      </c>
      <c r="I136" s="192"/>
      <c r="J136" s="204"/>
      <c r="K136" s="193"/>
      <c r="L136" s="193"/>
      <c r="M136" s="193"/>
      <c r="N136" s="203">
        <f t="shared" si="112"/>
        <v>120000</v>
      </c>
      <c r="O136" s="203">
        <f t="shared" si="113"/>
        <v>120000</v>
      </c>
      <c r="P136" s="203">
        <f t="shared" si="114"/>
        <v>120000</v>
      </c>
      <c r="Q136" s="214"/>
      <c r="R136" s="219"/>
      <c r="S136" s="217">
        <v>46205</v>
      </c>
      <c r="T136" s="205"/>
      <c r="U136" s="205"/>
      <c r="V136" s="215"/>
      <c r="W136" s="212"/>
      <c r="X136" s="10">
        <v>7</v>
      </c>
      <c r="Y136" s="10">
        <v>7</v>
      </c>
      <c r="Z136" s="213">
        <f t="shared" si="115"/>
        <v>120000</v>
      </c>
      <c r="AA136" s="62"/>
      <c r="AB136" s="62"/>
      <c r="AC136" s="62"/>
      <c r="AD136" s="62"/>
      <c r="AE136" s="62"/>
      <c r="AF136" s="63"/>
      <c r="AG136" s="64"/>
      <c r="AH136" s="6">
        <v>1</v>
      </c>
      <c r="AI136">
        <f t="shared" si="116"/>
        <v>25</v>
      </c>
      <c r="AJ136">
        <f t="shared" si="117"/>
        <v>25</v>
      </c>
      <c r="AK136">
        <f t="shared" si="118"/>
        <v>0</v>
      </c>
      <c r="AL136">
        <f t="shared" si="119"/>
        <v>0</v>
      </c>
      <c r="AM136">
        <f t="shared" si="120"/>
        <v>0</v>
      </c>
      <c r="AN136">
        <f t="shared" si="121"/>
        <v>0</v>
      </c>
      <c r="AO136">
        <f t="shared" si="122"/>
        <v>0</v>
      </c>
      <c r="AP136">
        <f t="shared" si="123"/>
        <v>0</v>
      </c>
      <c r="AQ136">
        <f t="shared" si="124"/>
        <v>0</v>
      </c>
      <c r="AR136">
        <f t="shared" si="125"/>
        <v>0</v>
      </c>
      <c r="AS136">
        <f t="shared" si="126"/>
        <v>0</v>
      </c>
      <c r="AT136">
        <f t="shared" si="127"/>
        <v>0</v>
      </c>
      <c r="AU136">
        <f t="shared" si="128"/>
        <v>1</v>
      </c>
      <c r="AV136">
        <f t="shared" si="129"/>
        <v>1</v>
      </c>
      <c r="AW136">
        <f t="shared" si="130"/>
        <v>1</v>
      </c>
      <c r="AX136">
        <f t="shared" si="131"/>
        <v>1</v>
      </c>
      <c r="AY136">
        <f t="shared" si="132"/>
        <v>120000</v>
      </c>
      <c r="AZ136">
        <f t="shared" si="133"/>
        <v>120000</v>
      </c>
      <c r="BA136">
        <f t="shared" si="134"/>
        <v>0</v>
      </c>
      <c r="BB136">
        <f t="shared" si="135"/>
        <v>0</v>
      </c>
      <c r="BC136">
        <f t="shared" si="136"/>
        <v>0</v>
      </c>
      <c r="BD136">
        <f t="shared" si="137"/>
        <v>0</v>
      </c>
      <c r="BE136">
        <f t="shared" si="138"/>
        <v>0</v>
      </c>
      <c r="BF136">
        <f t="shared" si="139"/>
        <v>0</v>
      </c>
      <c r="BG136"/>
      <c r="BH136"/>
      <c r="BI136"/>
      <c r="BJ136"/>
      <c r="BK136"/>
      <c r="BL136"/>
      <c r="BM136"/>
      <c r="BN136"/>
      <c r="BO136"/>
      <c r="BP136"/>
      <c r="BQ136"/>
      <c r="BR136"/>
      <c r="BS136"/>
      <c r="BT136"/>
      <c r="BU136"/>
      <c r="BV136"/>
      <c r="BW136"/>
      <c r="BX136"/>
      <c r="BY136"/>
      <c r="BZ136"/>
      <c r="CA136"/>
      <c r="CB136"/>
      <c r="CC136"/>
      <c r="CD136"/>
      <c r="CE136"/>
      <c r="CF136"/>
      <c r="CG136"/>
      <c r="CH136"/>
      <c r="CI136"/>
      <c r="CJ136"/>
      <c r="CK136"/>
      <c r="CL136"/>
      <c r="CM136"/>
      <c r="CN136"/>
      <c r="CO136"/>
      <c r="CP136"/>
      <c r="CQ136"/>
      <c r="CR136"/>
      <c r="CS136"/>
      <c r="CT136"/>
      <c r="CU136"/>
      <c r="CV136"/>
      <c r="CW136"/>
      <c r="CX136"/>
      <c r="CY136"/>
      <c r="CZ136"/>
      <c r="DA136"/>
      <c r="DB136"/>
      <c r="DC136"/>
      <c r="DD136"/>
      <c r="DE136"/>
      <c r="DF136"/>
      <c r="DG136"/>
      <c r="DH136"/>
      <c r="DI136"/>
      <c r="DJ136"/>
      <c r="DK136"/>
      <c r="DL136"/>
      <c r="DM136"/>
      <c r="DN136"/>
      <c r="DO136"/>
      <c r="DP136"/>
      <c r="DQ136"/>
      <c r="DR136"/>
      <c r="DS136"/>
      <c r="DT136"/>
      <c r="DU136"/>
      <c r="DV136"/>
      <c r="DW136"/>
      <c r="DX136"/>
      <c r="DY136"/>
      <c r="DZ136"/>
      <c r="EA136"/>
      <c r="EB136"/>
      <c r="EC136"/>
      <c r="ED136"/>
      <c r="EE136"/>
      <c r="EF136"/>
      <c r="EG136"/>
      <c r="EH136"/>
      <c r="EI136"/>
      <c r="EJ136"/>
      <c r="EK136"/>
      <c r="EL136"/>
      <c r="EM136"/>
      <c r="EN136"/>
      <c r="EO136"/>
      <c r="EP136"/>
      <c r="EQ136"/>
      <c r="ER136"/>
      <c r="ES136"/>
      <c r="ET136"/>
      <c r="EU136"/>
      <c r="EV136"/>
      <c r="EW136"/>
      <c r="EX136"/>
      <c r="EY136"/>
      <c r="EZ136"/>
      <c r="FA136"/>
      <c r="FB136"/>
      <c r="FC136"/>
      <c r="FD136"/>
      <c r="FE136"/>
      <c r="FF136"/>
      <c r="FG136"/>
      <c r="FH136"/>
      <c r="FI136"/>
      <c r="FJ136"/>
      <c r="FK136"/>
      <c r="FL136"/>
      <c r="FM136"/>
      <c r="FN136"/>
      <c r="FO136"/>
      <c r="FP136"/>
      <c r="FQ136"/>
      <c r="FR136"/>
      <c r="FS136"/>
      <c r="FT136"/>
      <c r="FU136"/>
      <c r="FV136"/>
      <c r="FW136"/>
      <c r="FX136"/>
      <c r="FY136"/>
      <c r="FZ136"/>
      <c r="GA136"/>
      <c r="GB136"/>
      <c r="GC136"/>
      <c r="GD136"/>
      <c r="GE136"/>
      <c r="GF136"/>
      <c r="GG136"/>
      <c r="GH136"/>
      <c r="GI136"/>
      <c r="GJ136"/>
      <c r="GK136"/>
      <c r="GL136"/>
      <c r="GM136"/>
      <c r="GN136"/>
      <c r="GO136"/>
      <c r="GP136"/>
      <c r="GQ136"/>
      <c r="GR136"/>
      <c r="GS136"/>
      <c r="GT136"/>
      <c r="GU136"/>
      <c r="GV136"/>
      <c r="GW136"/>
      <c r="GX136"/>
      <c r="GY136"/>
      <c r="GZ136"/>
      <c r="HA136"/>
      <c r="HB136"/>
      <c r="HC136"/>
      <c r="HD136"/>
      <c r="HE136"/>
      <c r="HF136"/>
      <c r="HG136"/>
      <c r="HH136"/>
      <c r="HI136"/>
      <c r="HJ136"/>
      <c r="HK136"/>
      <c r="HL136"/>
      <c r="HM136"/>
      <c r="HN136"/>
      <c r="HO136"/>
      <c r="HP136"/>
      <c r="HQ136"/>
      <c r="HR136"/>
      <c r="HS136"/>
      <c r="HT136"/>
      <c r="HU136"/>
      <c r="HV136"/>
      <c r="HW136"/>
      <c r="HX136"/>
      <c r="HY136"/>
      <c r="HZ136"/>
      <c r="IA136"/>
      <c r="IB136"/>
      <c r="IC136"/>
      <c r="ID136"/>
      <c r="IE136"/>
      <c r="IF136"/>
      <c r="IG136"/>
      <c r="IH136"/>
      <c r="II136"/>
      <c r="IJ136"/>
      <c r="IK136"/>
      <c r="IL136"/>
      <c r="IM136"/>
      <c r="IN136"/>
      <c r="IO136"/>
      <c r="IP136"/>
      <c r="IQ136"/>
      <c r="IR136"/>
      <c r="IS136"/>
      <c r="IT136"/>
      <c r="IU136"/>
      <c r="IV136"/>
    </row>
    <row r="137" spans="1:256" s="201" customFormat="1" ht="14.25" x14ac:dyDescent="0.2">
      <c r="A137" s="10">
        <v>3488</v>
      </c>
      <c r="B137" s="11" t="s">
        <v>514</v>
      </c>
      <c r="C137" s="105" t="s">
        <v>515</v>
      </c>
      <c r="D137" s="11" t="s">
        <v>106</v>
      </c>
      <c r="E137" s="12">
        <v>11513</v>
      </c>
      <c r="F137" s="202">
        <v>15</v>
      </c>
      <c r="G137" s="11">
        <v>300000</v>
      </c>
      <c r="H137" s="116">
        <v>0</v>
      </c>
      <c r="I137" s="192"/>
      <c r="J137" s="204"/>
      <c r="K137" s="193"/>
      <c r="L137" s="193"/>
      <c r="M137" s="193"/>
      <c r="N137" s="203">
        <f t="shared" si="112"/>
        <v>300000</v>
      </c>
      <c r="O137" s="203">
        <f t="shared" si="113"/>
        <v>300000</v>
      </c>
      <c r="P137" s="203">
        <f t="shared" si="114"/>
        <v>300000</v>
      </c>
      <c r="Q137" s="214"/>
      <c r="R137" s="219"/>
      <c r="S137" s="217">
        <v>46213</v>
      </c>
      <c r="T137" s="205"/>
      <c r="U137" s="205"/>
      <c r="V137" s="215"/>
      <c r="W137" s="212"/>
      <c r="X137" s="10">
        <v>7</v>
      </c>
      <c r="Y137" s="10">
        <v>7</v>
      </c>
      <c r="Z137" s="213">
        <f t="shared" si="115"/>
        <v>300000</v>
      </c>
      <c r="AA137" s="62"/>
      <c r="AB137" s="62"/>
      <c r="AC137" s="62"/>
      <c r="AD137" s="62"/>
      <c r="AE137" s="62"/>
      <c r="AF137" s="63"/>
      <c r="AG137" s="64"/>
      <c r="AH137" s="6">
        <v>1</v>
      </c>
      <c r="AI137">
        <f t="shared" si="116"/>
        <v>25</v>
      </c>
      <c r="AJ137">
        <f t="shared" si="117"/>
        <v>25</v>
      </c>
      <c r="AK137">
        <f t="shared" si="118"/>
        <v>0</v>
      </c>
      <c r="AL137">
        <f t="shared" si="119"/>
        <v>0</v>
      </c>
      <c r="AM137">
        <f t="shared" si="120"/>
        <v>0</v>
      </c>
      <c r="AN137">
        <f t="shared" si="121"/>
        <v>0</v>
      </c>
      <c r="AO137">
        <f t="shared" si="122"/>
        <v>0</v>
      </c>
      <c r="AP137">
        <f t="shared" si="123"/>
        <v>0</v>
      </c>
      <c r="AQ137">
        <f t="shared" si="124"/>
        <v>0</v>
      </c>
      <c r="AR137">
        <f t="shared" si="125"/>
        <v>0</v>
      </c>
      <c r="AS137">
        <f t="shared" si="126"/>
        <v>0</v>
      </c>
      <c r="AT137">
        <f t="shared" si="127"/>
        <v>0</v>
      </c>
      <c r="AU137">
        <f t="shared" si="128"/>
        <v>1</v>
      </c>
      <c r="AV137">
        <f t="shared" si="129"/>
        <v>1</v>
      </c>
      <c r="AW137">
        <f t="shared" si="130"/>
        <v>1</v>
      </c>
      <c r="AX137">
        <f t="shared" si="131"/>
        <v>1</v>
      </c>
      <c r="AY137">
        <f t="shared" si="132"/>
        <v>300000</v>
      </c>
      <c r="AZ137">
        <f t="shared" si="133"/>
        <v>300000</v>
      </c>
      <c r="BA137">
        <f t="shared" si="134"/>
        <v>0</v>
      </c>
      <c r="BB137">
        <f t="shared" si="135"/>
        <v>0</v>
      </c>
      <c r="BC137">
        <f t="shared" si="136"/>
        <v>0</v>
      </c>
      <c r="BD137">
        <f t="shared" si="137"/>
        <v>0</v>
      </c>
      <c r="BE137">
        <f t="shared" si="138"/>
        <v>0</v>
      </c>
      <c r="BF137">
        <f t="shared" si="139"/>
        <v>0</v>
      </c>
      <c r="BG137"/>
      <c r="BH137"/>
      <c r="BI137"/>
      <c r="BJ137"/>
      <c r="BK137"/>
      <c r="BL137"/>
      <c r="BM137"/>
      <c r="BN137"/>
      <c r="BO137"/>
      <c r="BP137"/>
      <c r="BQ137"/>
      <c r="BR137"/>
      <c r="BS137"/>
      <c r="BT137"/>
      <c r="BU137"/>
      <c r="BV137"/>
      <c r="BW137"/>
      <c r="BX137"/>
      <c r="BY137"/>
      <c r="BZ137"/>
      <c r="CA137"/>
      <c r="CB137"/>
      <c r="CC137"/>
      <c r="CD137"/>
      <c r="CE137"/>
      <c r="CF137"/>
      <c r="CG137"/>
      <c r="CH137"/>
      <c r="CI137"/>
      <c r="CJ137"/>
      <c r="CK137"/>
      <c r="CL137"/>
      <c r="CM137"/>
      <c r="CN137"/>
      <c r="CO137"/>
      <c r="CP137"/>
      <c r="CQ137"/>
      <c r="CR137"/>
      <c r="CS137"/>
      <c r="CT137"/>
      <c r="CU137"/>
      <c r="CV137"/>
      <c r="CW137"/>
      <c r="CX137"/>
      <c r="CY137"/>
      <c r="CZ137"/>
      <c r="DA137"/>
      <c r="DB137"/>
      <c r="DC137"/>
      <c r="DD137"/>
      <c r="DE137"/>
      <c r="DF137"/>
      <c r="DG137"/>
      <c r="DH137"/>
      <c r="DI137"/>
      <c r="DJ137"/>
      <c r="DK137"/>
      <c r="DL137"/>
      <c r="DM137"/>
      <c r="DN137"/>
      <c r="DO137"/>
      <c r="DP137"/>
      <c r="DQ137"/>
      <c r="DR137"/>
      <c r="DS137"/>
      <c r="DT137"/>
      <c r="DU137"/>
      <c r="DV137"/>
      <c r="DW137"/>
      <c r="DX137"/>
      <c r="DY137"/>
      <c r="DZ137"/>
      <c r="EA137"/>
      <c r="EB137"/>
      <c r="EC137"/>
      <c r="ED137"/>
      <c r="EE137"/>
      <c r="EF137"/>
      <c r="EG137"/>
      <c r="EH137"/>
      <c r="EI137"/>
      <c r="EJ137"/>
      <c r="EK137"/>
      <c r="EL137"/>
      <c r="EM137"/>
      <c r="EN137"/>
      <c r="EO137"/>
      <c r="EP137"/>
      <c r="EQ137"/>
      <c r="ER137"/>
      <c r="ES137"/>
      <c r="ET137"/>
      <c r="EU137"/>
      <c r="EV137"/>
      <c r="EW137"/>
      <c r="EX137"/>
      <c r="EY137"/>
      <c r="EZ137"/>
      <c r="FA137"/>
      <c r="FB137"/>
      <c r="FC137"/>
      <c r="FD137"/>
      <c r="FE137"/>
      <c r="FF137"/>
      <c r="FG137"/>
      <c r="FH137"/>
      <c r="FI137"/>
      <c r="FJ137"/>
      <c r="FK137"/>
      <c r="FL137"/>
      <c r="FM137"/>
      <c r="FN137"/>
      <c r="FO137"/>
      <c r="FP137"/>
      <c r="FQ137"/>
      <c r="FR137"/>
      <c r="FS137"/>
      <c r="FT137"/>
      <c r="FU137"/>
      <c r="FV137"/>
      <c r="FW137"/>
      <c r="FX137"/>
      <c r="FY137"/>
      <c r="FZ137"/>
      <c r="GA137"/>
      <c r="GB137"/>
      <c r="GC137"/>
      <c r="GD137"/>
      <c r="GE137"/>
      <c r="GF137"/>
      <c r="GG137"/>
      <c r="GH137"/>
      <c r="GI137"/>
      <c r="GJ137"/>
      <c r="GK137"/>
      <c r="GL137"/>
      <c r="GM137"/>
      <c r="GN137"/>
      <c r="GO137"/>
      <c r="GP137"/>
      <c r="GQ137"/>
      <c r="GR137"/>
      <c r="GS137"/>
      <c r="GT137"/>
      <c r="GU137"/>
      <c r="GV137"/>
      <c r="GW137"/>
      <c r="GX137"/>
      <c r="GY137"/>
      <c r="GZ137"/>
      <c r="HA137"/>
      <c r="HB137"/>
      <c r="HC137"/>
      <c r="HD137"/>
      <c r="HE137"/>
      <c r="HF137"/>
      <c r="HG137"/>
      <c r="HH137"/>
      <c r="HI137"/>
      <c r="HJ137"/>
      <c r="HK137"/>
      <c r="HL137"/>
      <c r="HM137"/>
      <c r="HN137"/>
      <c r="HO137"/>
      <c r="HP137"/>
      <c r="HQ137"/>
      <c r="HR137"/>
      <c r="HS137"/>
      <c r="HT137"/>
      <c r="HU137"/>
      <c r="HV137"/>
      <c r="HW137"/>
      <c r="HX137"/>
      <c r="HY137"/>
      <c r="HZ137"/>
      <c r="IA137"/>
      <c r="IB137"/>
      <c r="IC137"/>
      <c r="ID137"/>
      <c r="IE137"/>
      <c r="IF137"/>
      <c r="IG137"/>
      <c r="IH137"/>
      <c r="II137"/>
      <c r="IJ137"/>
      <c r="IK137"/>
      <c r="IL137"/>
      <c r="IM137"/>
      <c r="IN137"/>
      <c r="IO137"/>
      <c r="IP137"/>
      <c r="IQ137"/>
      <c r="IR137"/>
      <c r="IS137"/>
      <c r="IT137"/>
      <c r="IU137"/>
      <c r="IV137"/>
    </row>
    <row r="138" spans="1:256" s="201" customFormat="1" ht="14.25" x14ac:dyDescent="0.2">
      <c r="A138" s="10">
        <v>3490</v>
      </c>
      <c r="B138" s="11" t="s">
        <v>516</v>
      </c>
      <c r="C138" s="105" t="s">
        <v>517</v>
      </c>
      <c r="D138" s="11" t="s">
        <v>144</v>
      </c>
      <c r="E138" s="12">
        <v>20351</v>
      </c>
      <c r="F138" s="202">
        <v>15</v>
      </c>
      <c r="G138" s="11">
        <v>300000</v>
      </c>
      <c r="H138" s="116">
        <v>-600000</v>
      </c>
      <c r="I138" s="192"/>
      <c r="J138" s="204"/>
      <c r="K138" s="193"/>
      <c r="L138" s="193"/>
      <c r="M138" s="193"/>
      <c r="N138" s="203">
        <f t="shared" si="112"/>
        <v>300000</v>
      </c>
      <c r="O138" s="203">
        <f t="shared" si="113"/>
        <v>-300000</v>
      </c>
      <c r="P138" s="203">
        <f t="shared" si="114"/>
        <v>0</v>
      </c>
      <c r="Q138" s="214"/>
      <c r="R138" s="219"/>
      <c r="S138" s="217">
        <v>46211</v>
      </c>
      <c r="T138" s="205"/>
      <c r="U138" s="205"/>
      <c r="V138" s="215"/>
      <c r="W138" s="212"/>
      <c r="X138" s="10">
        <v>7</v>
      </c>
      <c r="Y138" s="10">
        <v>7</v>
      </c>
      <c r="Z138" s="213">
        <f t="shared" si="115"/>
        <v>300000</v>
      </c>
      <c r="AA138" s="62"/>
      <c r="AB138" s="62"/>
      <c r="AC138" s="62"/>
      <c r="AD138" s="62"/>
      <c r="AE138" s="62"/>
      <c r="AF138" s="63"/>
      <c r="AG138" s="64"/>
      <c r="AH138" s="6">
        <v>1</v>
      </c>
      <c r="AI138">
        <f t="shared" si="116"/>
        <v>25</v>
      </c>
      <c r="AJ138">
        <f t="shared" si="117"/>
        <v>25</v>
      </c>
      <c r="AK138">
        <f t="shared" si="118"/>
        <v>0</v>
      </c>
      <c r="AL138">
        <f t="shared" si="119"/>
        <v>0</v>
      </c>
      <c r="AM138">
        <f t="shared" si="120"/>
        <v>0</v>
      </c>
      <c r="AN138">
        <f t="shared" si="121"/>
        <v>0</v>
      </c>
      <c r="AO138">
        <f t="shared" si="122"/>
        <v>0</v>
      </c>
      <c r="AP138">
        <f t="shared" si="123"/>
        <v>0</v>
      </c>
      <c r="AQ138">
        <f t="shared" si="124"/>
        <v>0</v>
      </c>
      <c r="AR138">
        <f t="shared" si="125"/>
        <v>0</v>
      </c>
      <c r="AS138">
        <f t="shared" si="126"/>
        <v>0</v>
      </c>
      <c r="AT138">
        <f t="shared" si="127"/>
        <v>0</v>
      </c>
      <c r="AU138">
        <f t="shared" si="128"/>
        <v>0</v>
      </c>
      <c r="AV138">
        <f t="shared" si="129"/>
        <v>0</v>
      </c>
      <c r="AW138">
        <f t="shared" si="130"/>
        <v>0</v>
      </c>
      <c r="AX138">
        <f t="shared" si="131"/>
        <v>0</v>
      </c>
      <c r="AY138">
        <f t="shared" si="132"/>
        <v>0</v>
      </c>
      <c r="AZ138">
        <f t="shared" si="133"/>
        <v>0</v>
      </c>
      <c r="BA138">
        <f t="shared" si="134"/>
        <v>0</v>
      </c>
      <c r="BB138">
        <f t="shared" si="135"/>
        <v>0</v>
      </c>
      <c r="BC138">
        <f t="shared" si="136"/>
        <v>0</v>
      </c>
      <c r="BD138">
        <f t="shared" si="137"/>
        <v>0</v>
      </c>
      <c r="BE138">
        <f t="shared" si="138"/>
        <v>0</v>
      </c>
      <c r="BF138">
        <f t="shared" si="139"/>
        <v>0</v>
      </c>
      <c r="BG138"/>
      <c r="BH138"/>
      <c r="BI138"/>
      <c r="BJ138"/>
      <c r="BK138"/>
      <c r="BL138"/>
      <c r="BM138"/>
      <c r="BN138"/>
      <c r="BO138"/>
      <c r="BP138"/>
      <c r="BQ138"/>
      <c r="BR138"/>
      <c r="BS138"/>
      <c r="BT138"/>
      <c r="BU138"/>
      <c r="BV138"/>
      <c r="BW138"/>
      <c r="BX138"/>
      <c r="BY138"/>
      <c r="BZ138"/>
      <c r="CA138"/>
      <c r="CB138"/>
      <c r="CC138"/>
      <c r="CD138"/>
      <c r="CE138"/>
      <c r="CF138"/>
      <c r="CG138"/>
      <c r="CH138"/>
      <c r="CI138"/>
      <c r="CJ138"/>
      <c r="CK138"/>
      <c r="CL138"/>
      <c r="CM138"/>
      <c r="CN138"/>
      <c r="CO138"/>
      <c r="CP138"/>
      <c r="CQ138"/>
      <c r="CR138"/>
      <c r="CS138"/>
      <c r="CT138"/>
      <c r="CU138"/>
      <c r="CV138"/>
      <c r="CW138"/>
      <c r="CX138"/>
      <c r="CY138"/>
      <c r="CZ138"/>
      <c r="DA138"/>
      <c r="DB138"/>
      <c r="DC138"/>
      <c r="DD138"/>
      <c r="DE138"/>
      <c r="DF138"/>
      <c r="DG138"/>
      <c r="DH138"/>
      <c r="DI138"/>
      <c r="DJ138"/>
      <c r="DK138"/>
      <c r="DL138"/>
      <c r="DM138"/>
      <c r="DN138"/>
      <c r="DO138"/>
      <c r="DP138"/>
      <c r="DQ138"/>
      <c r="DR138"/>
      <c r="DS138"/>
      <c r="DT138"/>
      <c r="DU138"/>
      <c r="DV138"/>
      <c r="DW138"/>
      <c r="DX138"/>
      <c r="DY138"/>
      <c r="DZ138"/>
      <c r="EA138"/>
      <c r="EB138"/>
      <c r="EC138"/>
      <c r="ED138"/>
      <c r="EE138"/>
      <c r="EF138"/>
      <c r="EG138"/>
      <c r="EH138"/>
      <c r="EI138"/>
      <c r="EJ138"/>
      <c r="EK138"/>
      <c r="EL138"/>
      <c r="EM138"/>
      <c r="EN138"/>
      <c r="EO138"/>
      <c r="EP138"/>
      <c r="EQ138"/>
      <c r="ER138"/>
      <c r="ES138"/>
      <c r="ET138"/>
      <c r="EU138"/>
      <c r="EV138"/>
      <c r="EW138"/>
      <c r="EX138"/>
      <c r="EY138"/>
      <c r="EZ138"/>
      <c r="FA138"/>
      <c r="FB138"/>
      <c r="FC138"/>
      <c r="FD138"/>
      <c r="FE138"/>
      <c r="FF138"/>
      <c r="FG138"/>
      <c r="FH138"/>
      <c r="FI138"/>
      <c r="FJ138"/>
      <c r="FK138"/>
      <c r="FL138"/>
      <c r="FM138"/>
      <c r="FN138"/>
      <c r="FO138"/>
      <c r="FP138"/>
      <c r="FQ138"/>
      <c r="FR138"/>
      <c r="FS138"/>
      <c r="FT138"/>
      <c r="FU138"/>
      <c r="FV138"/>
      <c r="FW138"/>
      <c r="FX138"/>
      <c r="FY138"/>
      <c r="FZ138"/>
      <c r="GA138"/>
      <c r="GB138"/>
      <c r="GC138"/>
      <c r="GD138"/>
      <c r="GE138"/>
      <c r="GF138"/>
      <c r="GG138"/>
      <c r="GH138"/>
      <c r="GI138"/>
      <c r="GJ138"/>
      <c r="GK138"/>
      <c r="GL138"/>
      <c r="GM138"/>
      <c r="GN138"/>
      <c r="GO138"/>
      <c r="GP138"/>
      <c r="GQ138"/>
      <c r="GR138"/>
      <c r="GS138"/>
      <c r="GT138"/>
      <c r="GU138"/>
      <c r="GV138"/>
      <c r="GW138"/>
      <c r="GX138"/>
      <c r="GY138"/>
      <c r="GZ138"/>
      <c r="HA138"/>
      <c r="HB138"/>
      <c r="HC138"/>
      <c r="HD138"/>
      <c r="HE138"/>
      <c r="HF138"/>
      <c r="HG138"/>
      <c r="HH138"/>
      <c r="HI138"/>
      <c r="HJ138"/>
      <c r="HK138"/>
      <c r="HL138"/>
      <c r="HM138"/>
      <c r="HN138"/>
      <c r="HO138"/>
      <c r="HP138"/>
      <c r="HQ138"/>
      <c r="HR138"/>
      <c r="HS138"/>
      <c r="HT138"/>
      <c r="HU138"/>
      <c r="HV138"/>
      <c r="HW138"/>
      <c r="HX138"/>
      <c r="HY138"/>
      <c r="HZ138"/>
      <c r="IA138"/>
      <c r="IB138"/>
      <c r="IC138"/>
      <c r="ID138"/>
      <c r="IE138"/>
      <c r="IF138"/>
      <c r="IG138"/>
      <c r="IH138"/>
      <c r="II138"/>
      <c r="IJ138"/>
      <c r="IK138"/>
      <c r="IL138"/>
      <c r="IM138"/>
      <c r="IN138"/>
      <c r="IO138"/>
      <c r="IP138"/>
      <c r="IQ138"/>
      <c r="IR138"/>
      <c r="IS138"/>
      <c r="IT138"/>
      <c r="IU138"/>
      <c r="IV138"/>
    </row>
    <row r="139" spans="1:256" s="201" customFormat="1" ht="14.25" x14ac:dyDescent="0.2">
      <c r="A139" s="10">
        <v>3491</v>
      </c>
      <c r="B139" s="11" t="s">
        <v>518</v>
      </c>
      <c r="C139" s="105" t="s">
        <v>519</v>
      </c>
      <c r="D139" s="11" t="s">
        <v>106</v>
      </c>
      <c r="E139" s="12">
        <v>20356</v>
      </c>
      <c r="F139" s="202">
        <v>15</v>
      </c>
      <c r="G139" s="11">
        <v>200000</v>
      </c>
      <c r="H139" s="116">
        <v>0</v>
      </c>
      <c r="I139" s="192"/>
      <c r="J139" s="204"/>
      <c r="K139" s="193"/>
      <c r="L139" s="193"/>
      <c r="M139" s="193"/>
      <c r="N139" s="203">
        <f t="shared" si="112"/>
        <v>200000</v>
      </c>
      <c r="O139" s="203">
        <f t="shared" si="113"/>
        <v>200000</v>
      </c>
      <c r="P139" s="203">
        <f t="shared" si="114"/>
        <v>200000</v>
      </c>
      <c r="Q139" s="214"/>
      <c r="R139" s="219"/>
      <c r="S139" s="217">
        <v>46206</v>
      </c>
      <c r="T139" s="205"/>
      <c r="U139" s="205"/>
      <c r="V139" s="215"/>
      <c r="W139" s="212"/>
      <c r="X139" s="10">
        <v>7</v>
      </c>
      <c r="Y139" s="10">
        <v>7</v>
      </c>
      <c r="Z139" s="213">
        <f t="shared" si="115"/>
        <v>200000</v>
      </c>
      <c r="AA139" s="62"/>
      <c r="AB139" s="62"/>
      <c r="AC139" s="62"/>
      <c r="AD139" s="62"/>
      <c r="AE139" s="62"/>
      <c r="AF139" s="63"/>
      <c r="AG139" s="64"/>
      <c r="AH139" s="6">
        <v>1</v>
      </c>
      <c r="AI139">
        <f t="shared" si="116"/>
        <v>25</v>
      </c>
      <c r="AJ139">
        <f t="shared" si="117"/>
        <v>25</v>
      </c>
      <c r="AK139">
        <f t="shared" si="118"/>
        <v>0</v>
      </c>
      <c r="AL139">
        <f t="shared" si="119"/>
        <v>0</v>
      </c>
      <c r="AM139">
        <f t="shared" si="120"/>
        <v>0</v>
      </c>
      <c r="AN139">
        <f t="shared" si="121"/>
        <v>0</v>
      </c>
      <c r="AO139">
        <f t="shared" si="122"/>
        <v>0</v>
      </c>
      <c r="AP139">
        <f t="shared" si="123"/>
        <v>0</v>
      </c>
      <c r="AQ139">
        <f t="shared" si="124"/>
        <v>0</v>
      </c>
      <c r="AR139">
        <f t="shared" si="125"/>
        <v>0</v>
      </c>
      <c r="AS139">
        <f t="shared" si="126"/>
        <v>0</v>
      </c>
      <c r="AT139">
        <f t="shared" si="127"/>
        <v>0</v>
      </c>
      <c r="AU139">
        <f t="shared" si="128"/>
        <v>1</v>
      </c>
      <c r="AV139">
        <f t="shared" si="129"/>
        <v>1</v>
      </c>
      <c r="AW139">
        <f t="shared" si="130"/>
        <v>1</v>
      </c>
      <c r="AX139">
        <f t="shared" si="131"/>
        <v>1</v>
      </c>
      <c r="AY139">
        <f t="shared" si="132"/>
        <v>200000</v>
      </c>
      <c r="AZ139">
        <f t="shared" si="133"/>
        <v>200000</v>
      </c>
      <c r="BA139">
        <f t="shared" si="134"/>
        <v>0</v>
      </c>
      <c r="BB139">
        <f t="shared" si="135"/>
        <v>0</v>
      </c>
      <c r="BC139">
        <f t="shared" si="136"/>
        <v>0</v>
      </c>
      <c r="BD139">
        <f t="shared" si="137"/>
        <v>0</v>
      </c>
      <c r="BE139">
        <f t="shared" si="138"/>
        <v>0</v>
      </c>
      <c r="BF139">
        <f t="shared" si="139"/>
        <v>0</v>
      </c>
      <c r="BG139"/>
      <c r="BH139"/>
      <c r="BI139"/>
      <c r="BJ139"/>
      <c r="BK139"/>
      <c r="BL139"/>
      <c r="BM139"/>
      <c r="BN139"/>
      <c r="BO139"/>
      <c r="BP139"/>
      <c r="BQ139"/>
      <c r="BR139"/>
      <c r="BS139"/>
      <c r="BT139"/>
      <c r="BU139"/>
      <c r="BV139"/>
      <c r="BW139"/>
      <c r="BX139"/>
      <c r="BY139"/>
      <c r="BZ139"/>
      <c r="CA139"/>
      <c r="CB139"/>
      <c r="CC139"/>
      <c r="CD139"/>
      <c r="CE139"/>
      <c r="CF139"/>
      <c r="CG139"/>
      <c r="CH139"/>
      <c r="CI139"/>
      <c r="CJ139"/>
      <c r="CK139"/>
      <c r="CL139"/>
      <c r="CM139"/>
      <c r="CN139"/>
      <c r="CO139"/>
      <c r="CP139"/>
      <c r="CQ139"/>
      <c r="CR139"/>
      <c r="CS139"/>
      <c r="CT139"/>
      <c r="CU139"/>
      <c r="CV139"/>
      <c r="CW139"/>
      <c r="CX139"/>
      <c r="CY139"/>
      <c r="CZ139"/>
      <c r="DA139"/>
      <c r="DB139"/>
      <c r="DC139"/>
      <c r="DD139"/>
      <c r="DE139"/>
      <c r="DF139"/>
      <c r="DG139"/>
      <c r="DH139"/>
      <c r="DI139"/>
      <c r="DJ139"/>
      <c r="DK139"/>
      <c r="DL139"/>
      <c r="DM139"/>
      <c r="DN139"/>
      <c r="DO139"/>
      <c r="DP139"/>
      <c r="DQ139"/>
      <c r="DR139"/>
      <c r="DS139"/>
      <c r="DT139"/>
      <c r="DU139"/>
      <c r="DV139"/>
      <c r="DW139"/>
      <c r="DX139"/>
      <c r="DY139"/>
      <c r="DZ139"/>
      <c r="EA139"/>
      <c r="EB139"/>
      <c r="EC139"/>
      <c r="ED139"/>
      <c r="EE139"/>
      <c r="EF139"/>
      <c r="EG139"/>
      <c r="EH139"/>
      <c r="EI139"/>
      <c r="EJ139"/>
      <c r="EK139"/>
      <c r="EL139"/>
      <c r="EM139"/>
      <c r="EN139"/>
      <c r="EO139"/>
      <c r="EP139"/>
      <c r="EQ139"/>
      <c r="ER139"/>
      <c r="ES139"/>
      <c r="ET139"/>
      <c r="EU139"/>
      <c r="EV139"/>
      <c r="EW139"/>
      <c r="EX139"/>
      <c r="EY139"/>
      <c r="EZ139"/>
      <c r="FA139"/>
      <c r="FB139"/>
      <c r="FC139"/>
      <c r="FD139"/>
      <c r="FE139"/>
      <c r="FF139"/>
      <c r="FG139"/>
      <c r="FH139"/>
      <c r="FI139"/>
      <c r="FJ139"/>
      <c r="FK139"/>
      <c r="FL139"/>
      <c r="FM139"/>
      <c r="FN139"/>
      <c r="FO139"/>
      <c r="FP139"/>
      <c r="FQ139"/>
      <c r="FR139"/>
      <c r="FS139"/>
      <c r="FT139"/>
      <c r="FU139"/>
      <c r="FV139"/>
      <c r="FW139"/>
      <c r="FX139"/>
      <c r="FY139"/>
      <c r="FZ139"/>
      <c r="GA139"/>
      <c r="GB139"/>
      <c r="GC139"/>
      <c r="GD139"/>
      <c r="GE139"/>
      <c r="GF139"/>
      <c r="GG139"/>
      <c r="GH139"/>
      <c r="GI139"/>
      <c r="GJ139"/>
      <c r="GK139"/>
      <c r="GL139"/>
      <c r="GM139"/>
      <c r="GN139"/>
      <c r="GO139"/>
      <c r="GP139"/>
      <c r="GQ139"/>
      <c r="GR139"/>
      <c r="GS139"/>
      <c r="GT139"/>
      <c r="GU139"/>
      <c r="GV139"/>
      <c r="GW139"/>
      <c r="GX139"/>
      <c r="GY139"/>
      <c r="GZ139"/>
      <c r="HA139"/>
      <c r="HB139"/>
      <c r="HC139"/>
      <c r="HD139"/>
      <c r="HE139"/>
      <c r="HF139"/>
      <c r="HG139"/>
      <c r="HH139"/>
      <c r="HI139"/>
      <c r="HJ139"/>
      <c r="HK139"/>
      <c r="HL139"/>
      <c r="HM139"/>
      <c r="HN139"/>
      <c r="HO139"/>
      <c r="HP139"/>
      <c r="HQ139"/>
      <c r="HR139"/>
      <c r="HS139"/>
      <c r="HT139"/>
      <c r="HU139"/>
      <c r="HV139"/>
      <c r="HW139"/>
      <c r="HX139"/>
      <c r="HY139"/>
      <c r="HZ139"/>
      <c r="IA139"/>
      <c r="IB139"/>
      <c r="IC139"/>
      <c r="ID139"/>
      <c r="IE139"/>
      <c r="IF139"/>
      <c r="IG139"/>
      <c r="IH139"/>
      <c r="II139"/>
      <c r="IJ139"/>
      <c r="IK139"/>
      <c r="IL139"/>
      <c r="IM139"/>
      <c r="IN139"/>
      <c r="IO139"/>
      <c r="IP139"/>
      <c r="IQ139"/>
      <c r="IR139"/>
      <c r="IS139"/>
      <c r="IT139"/>
      <c r="IU139"/>
      <c r="IV139"/>
    </row>
    <row r="140" spans="1:256" s="201" customFormat="1" ht="14.25" x14ac:dyDescent="0.2">
      <c r="A140" s="10">
        <v>3548</v>
      </c>
      <c r="B140" s="11" t="s">
        <v>246</v>
      </c>
      <c r="C140" s="105" t="s">
        <v>247</v>
      </c>
      <c r="D140" s="11" t="s">
        <v>106</v>
      </c>
      <c r="E140" s="12">
        <v>10674</v>
      </c>
      <c r="F140" s="202">
        <v>4</v>
      </c>
      <c r="G140" s="11">
        <v>100000</v>
      </c>
      <c r="H140" s="116">
        <v>0</v>
      </c>
      <c r="I140" s="192"/>
      <c r="J140" s="204"/>
      <c r="K140" s="193"/>
      <c r="L140" s="193"/>
      <c r="M140" s="193"/>
      <c r="N140" s="203">
        <f t="shared" si="112"/>
        <v>100000</v>
      </c>
      <c r="O140" s="203">
        <f t="shared" si="113"/>
        <v>100000</v>
      </c>
      <c r="P140" s="203">
        <f t="shared" si="114"/>
        <v>100000</v>
      </c>
      <c r="Q140" s="214"/>
      <c r="R140" s="219"/>
      <c r="S140" s="217">
        <v>46234</v>
      </c>
      <c r="T140" s="205"/>
      <c r="U140" s="205"/>
      <c r="V140" s="215"/>
      <c r="W140" s="212"/>
      <c r="X140" s="10">
        <v>7</v>
      </c>
      <c r="Y140" s="10">
        <v>7</v>
      </c>
      <c r="Z140" s="213">
        <f t="shared" si="115"/>
        <v>100000</v>
      </c>
      <c r="AA140" s="62"/>
      <c r="AB140" s="62"/>
      <c r="AC140" s="62"/>
      <c r="AD140" s="62"/>
      <c r="AE140" s="62"/>
      <c r="AF140" s="63"/>
      <c r="AG140" s="64"/>
      <c r="AH140" s="6">
        <v>1</v>
      </c>
      <c r="AI140">
        <f t="shared" si="116"/>
        <v>15</v>
      </c>
      <c r="AJ140">
        <f t="shared" si="117"/>
        <v>25</v>
      </c>
      <c r="AK140">
        <f t="shared" si="118"/>
        <v>0</v>
      </c>
      <c r="AL140">
        <f t="shared" si="119"/>
        <v>0</v>
      </c>
      <c r="AM140">
        <f t="shared" si="120"/>
        <v>0</v>
      </c>
      <c r="AN140">
        <f t="shared" si="121"/>
        <v>0</v>
      </c>
      <c r="AO140">
        <f t="shared" si="122"/>
        <v>0</v>
      </c>
      <c r="AP140">
        <f t="shared" si="123"/>
        <v>0</v>
      </c>
      <c r="AQ140">
        <f t="shared" si="124"/>
        <v>0</v>
      </c>
      <c r="AR140">
        <f t="shared" si="125"/>
        <v>0</v>
      </c>
      <c r="AS140">
        <f t="shared" si="126"/>
        <v>0</v>
      </c>
      <c r="AT140">
        <f t="shared" si="127"/>
        <v>0</v>
      </c>
      <c r="AU140">
        <f t="shared" si="128"/>
        <v>1</v>
      </c>
      <c r="AV140">
        <f t="shared" si="129"/>
        <v>1</v>
      </c>
      <c r="AW140">
        <f t="shared" si="130"/>
        <v>0</v>
      </c>
      <c r="AX140">
        <f t="shared" si="131"/>
        <v>0</v>
      </c>
      <c r="AY140">
        <f t="shared" si="132"/>
        <v>0</v>
      </c>
      <c r="AZ140">
        <f t="shared" si="133"/>
        <v>0</v>
      </c>
      <c r="BA140">
        <f t="shared" si="134"/>
        <v>0</v>
      </c>
      <c r="BB140">
        <f t="shared" si="135"/>
        <v>1</v>
      </c>
      <c r="BC140">
        <f t="shared" si="136"/>
        <v>1</v>
      </c>
      <c r="BD140">
        <f t="shared" si="137"/>
        <v>100000</v>
      </c>
      <c r="BE140">
        <f t="shared" si="138"/>
        <v>0</v>
      </c>
      <c r="BF140">
        <f t="shared" si="139"/>
        <v>100000</v>
      </c>
      <c r="BG140"/>
      <c r="BH140"/>
      <c r="BI140"/>
      <c r="BJ140"/>
      <c r="BK140"/>
      <c r="BL140"/>
      <c r="BM140"/>
      <c r="BN140"/>
      <c r="BO140"/>
      <c r="BP140"/>
      <c r="BQ140"/>
      <c r="BR140"/>
      <c r="BS140"/>
      <c r="BT140"/>
      <c r="BU140"/>
      <c r="BV140"/>
      <c r="BW140"/>
      <c r="BX140"/>
      <c r="BY140"/>
      <c r="BZ140"/>
      <c r="CA140"/>
      <c r="CB140"/>
      <c r="CC140"/>
      <c r="CD140"/>
      <c r="CE140"/>
      <c r="CF140"/>
      <c r="CG140"/>
      <c r="CH140"/>
      <c r="CI140"/>
      <c r="CJ140"/>
      <c r="CK140"/>
      <c r="CL140"/>
      <c r="CM140"/>
      <c r="CN140"/>
      <c r="CO140"/>
      <c r="CP140"/>
      <c r="CQ140"/>
      <c r="CR140"/>
      <c r="CS140"/>
      <c r="CT140"/>
      <c r="CU140"/>
      <c r="CV140"/>
      <c r="CW140"/>
      <c r="CX140"/>
      <c r="CY140"/>
      <c r="CZ140"/>
      <c r="DA140"/>
      <c r="DB140"/>
      <c r="DC140"/>
      <c r="DD140"/>
      <c r="DE140"/>
      <c r="DF140"/>
      <c r="DG140"/>
      <c r="DH140"/>
      <c r="DI140"/>
      <c r="DJ140"/>
      <c r="DK140"/>
      <c r="DL140"/>
      <c r="DM140"/>
      <c r="DN140"/>
      <c r="DO140"/>
      <c r="DP140"/>
      <c r="DQ140"/>
      <c r="DR140"/>
      <c r="DS140"/>
      <c r="DT140"/>
      <c r="DU140"/>
      <c r="DV140"/>
      <c r="DW140"/>
      <c r="DX140"/>
      <c r="DY140"/>
      <c r="DZ140"/>
      <c r="EA140"/>
      <c r="EB140"/>
      <c r="EC140"/>
      <c r="ED140"/>
      <c r="EE140"/>
      <c r="EF140"/>
      <c r="EG140"/>
      <c r="EH140"/>
      <c r="EI140"/>
      <c r="EJ140"/>
      <c r="EK140"/>
      <c r="EL140"/>
      <c r="EM140"/>
      <c r="EN140"/>
      <c r="EO140"/>
      <c r="EP140"/>
      <c r="EQ140"/>
      <c r="ER140"/>
      <c r="ES140"/>
      <c r="ET140"/>
      <c r="EU140"/>
      <c r="EV140"/>
      <c r="EW140"/>
      <c r="EX140"/>
      <c r="EY140"/>
      <c r="EZ140"/>
      <c r="FA140"/>
      <c r="FB140"/>
      <c r="FC140"/>
      <c r="FD140"/>
      <c r="FE140"/>
      <c r="FF140"/>
      <c r="FG140"/>
      <c r="FH140"/>
      <c r="FI140"/>
      <c r="FJ140"/>
      <c r="FK140"/>
      <c r="FL140"/>
      <c r="FM140"/>
      <c r="FN140"/>
      <c r="FO140"/>
      <c r="FP140"/>
      <c r="FQ140"/>
      <c r="FR140"/>
      <c r="FS140"/>
      <c r="FT140"/>
      <c r="FU140"/>
      <c r="FV140"/>
      <c r="FW140"/>
      <c r="FX140"/>
      <c r="FY140"/>
      <c r="FZ140"/>
      <c r="GA140"/>
      <c r="GB140"/>
      <c r="GC140"/>
      <c r="GD140"/>
      <c r="GE140"/>
      <c r="GF140"/>
      <c r="GG140"/>
      <c r="GH140"/>
      <c r="GI140"/>
      <c r="GJ140"/>
      <c r="GK140"/>
      <c r="GL140"/>
      <c r="GM140"/>
      <c r="GN140"/>
      <c r="GO140"/>
      <c r="GP140"/>
      <c r="GQ140"/>
      <c r="GR140"/>
      <c r="GS140"/>
      <c r="GT140"/>
      <c r="GU140"/>
      <c r="GV140"/>
      <c r="GW140"/>
      <c r="GX140"/>
      <c r="GY140"/>
      <c r="GZ140"/>
      <c r="HA140"/>
      <c r="HB140"/>
      <c r="HC140"/>
      <c r="HD140"/>
      <c r="HE140"/>
      <c r="HF140"/>
      <c r="HG140"/>
      <c r="HH140"/>
      <c r="HI140"/>
      <c r="HJ140"/>
      <c r="HK140"/>
      <c r="HL140"/>
      <c r="HM140"/>
      <c r="HN140"/>
      <c r="HO140"/>
      <c r="HP140"/>
      <c r="HQ140"/>
      <c r="HR140"/>
      <c r="HS140"/>
      <c r="HT140"/>
      <c r="HU140"/>
      <c r="HV140"/>
      <c r="HW140"/>
      <c r="HX140"/>
      <c r="HY140"/>
      <c r="HZ140"/>
      <c r="IA140"/>
      <c r="IB140"/>
      <c r="IC140"/>
      <c r="ID140"/>
      <c r="IE140"/>
      <c r="IF140"/>
      <c r="IG140"/>
      <c r="IH140"/>
      <c r="II140"/>
      <c r="IJ140"/>
      <c r="IK140"/>
      <c r="IL140"/>
      <c r="IM140"/>
      <c r="IN140"/>
      <c r="IO140"/>
      <c r="IP140"/>
      <c r="IQ140"/>
      <c r="IR140"/>
      <c r="IS140"/>
      <c r="IT140"/>
      <c r="IU140"/>
      <c r="IV140"/>
    </row>
    <row r="141" spans="1:256" x14ac:dyDescent="0.2">
      <c r="A141" s="10"/>
      <c r="B141" s="12" t="s">
        <v>68</v>
      </c>
      <c r="C141" s="105"/>
      <c r="D141" s="11"/>
      <c r="E141" s="12"/>
      <c r="F141" s="106"/>
      <c r="G141" s="11">
        <f>'COBRANZA SIN CUPONES'!G26</f>
        <v>0</v>
      </c>
      <c r="H141" s="107"/>
      <c r="I141" s="108">
        <f>'COBRANZA SIN CUPONES'!H26</f>
        <v>160000</v>
      </c>
      <c r="J141" s="109">
        <f>'COBRANZA SIN CUPONES'!I26</f>
        <v>0</v>
      </c>
      <c r="K141" s="108"/>
      <c r="L141" s="108"/>
      <c r="M141" s="108"/>
      <c r="N141" s="108"/>
      <c r="O141" s="14">
        <f t="shared" ref="O141" si="140">G141+H141-J141-I141-K141-L141-M141</f>
        <v>-160000</v>
      </c>
      <c r="P141" s="14"/>
      <c r="Q141" s="171"/>
      <c r="R141" s="220"/>
      <c r="S141" s="13"/>
      <c r="T141" s="81"/>
      <c r="U141" s="81"/>
      <c r="V141" s="13"/>
      <c r="W141" s="210"/>
      <c r="X141" s="10">
        <v>1</v>
      </c>
      <c r="Y141" s="10"/>
      <c r="Z141" s="13"/>
      <c r="AA141" s="62"/>
      <c r="AB141" s="62"/>
      <c r="AC141" s="62"/>
      <c r="AD141" s="62"/>
      <c r="AE141" s="62"/>
      <c r="AF141" s="63"/>
      <c r="AG141" s="64"/>
      <c r="AH141" s="6">
        <f>COUNTIF(A$4:B$140,A141)</f>
        <v>0</v>
      </c>
      <c r="AI141">
        <f t="shared" ref="AI141" si="141">IF(F141&lt;=6,15,25)</f>
        <v>15</v>
      </c>
      <c r="AJ141">
        <f t="shared" ref="AJ141" si="142">IF(O141&lt;&gt;0,25,15)</f>
        <v>25</v>
      </c>
      <c r="AK141">
        <f t="shared" ref="AK141" si="143">IF(AI141-T141=24,1,0)</f>
        <v>0</v>
      </c>
      <c r="AL141">
        <f t="shared" ref="AL141" si="144">IF(AH141-AK141=AH141,0,AH141)</f>
        <v>0</v>
      </c>
      <c r="AM141">
        <f t="shared" ref="AM141" si="145">IF(AK141&lt;&gt;0,U141,0)</f>
        <v>0</v>
      </c>
      <c r="AN141">
        <f t="shared" ref="AN141" si="146">IF(AK141=1,O141,0)</f>
        <v>0</v>
      </c>
      <c r="AO141">
        <f t="shared" ref="AO141" si="147">IF(AI141-T141=14,1,0)</f>
        <v>0</v>
      </c>
      <c r="AP141">
        <f t="shared" ref="AP141" si="148">IF(AH141-AO141=AH141,0,AH141)</f>
        <v>0</v>
      </c>
      <c r="AQ141">
        <f t="shared" ref="AQ141" si="149">IF(AO141&lt;&gt;0,U141,0)</f>
        <v>0</v>
      </c>
      <c r="AR141">
        <f t="shared" ref="AR141" si="150">IF(AO141=1,O141,0)</f>
        <v>0</v>
      </c>
      <c r="AS141">
        <f t="shared" ref="AS141" si="151">IF(SUM(I141:M141)&lt;&gt;0,1,0)</f>
        <v>1</v>
      </c>
      <c r="AT141">
        <f t="shared" ref="AT141" si="152">AS141</f>
        <v>1</v>
      </c>
      <c r="AU141">
        <f t="shared" ref="AU141" si="153">IF(O141&gt;0,1,0)</f>
        <v>0</v>
      </c>
      <c r="AV141">
        <f t="shared" ref="AV141" si="154">IF(AK141+AO141+AU141=1,AU141,0)</f>
        <v>0</v>
      </c>
      <c r="AW141">
        <f t="shared" ref="AW141" si="155">IF(AI141-AV141=24,1,0)</f>
        <v>0</v>
      </c>
      <c r="AX141">
        <f t="shared" ref="AX141" si="156">IF(AH141-AW141=AH141,0,AH141)</f>
        <v>0</v>
      </c>
      <c r="AY141">
        <f t="shared" ref="AY141" si="157">IF(AW141=1,O141,0)</f>
        <v>0</v>
      </c>
      <c r="AZ141">
        <f t="shared" ref="AZ141" si="158">IF(AY141-BA141&lt;&gt;0,AY141,0)</f>
        <v>0</v>
      </c>
      <c r="BA141">
        <f t="shared" ref="BA141" si="159">IF(AY141&lt;0,AY141,0)</f>
        <v>0</v>
      </c>
      <c r="BB141">
        <f t="shared" ref="BB141" si="160">IF(AI141-AV141=14,1,0)</f>
        <v>0</v>
      </c>
      <c r="BC141">
        <f t="shared" ref="BC141" si="161">IF(AH141-BB141=AH141,0,AH141)</f>
        <v>0</v>
      </c>
      <c r="BD141">
        <f t="shared" ref="BD141" si="162">IF(BB141=1,O141,0)</f>
        <v>0</v>
      </c>
      <c r="BE141">
        <f t="shared" ref="BE141" si="163">IF(BD141&lt;0,BD141,0)</f>
        <v>0</v>
      </c>
      <c r="BF141">
        <f t="shared" ref="BF141" si="164">IF(BD141-BE141&lt;&gt;0,BD141,0)</f>
        <v>0</v>
      </c>
    </row>
    <row r="142" spans="1:256" x14ac:dyDescent="0.2">
      <c r="I142" s="66" t="s">
        <v>51</v>
      </c>
      <c r="J142" s="67" t="s">
        <v>52</v>
      </c>
      <c r="K142" s="66" t="s">
        <v>49</v>
      </c>
      <c r="L142" s="66"/>
      <c r="M142" s="67" t="s">
        <v>50</v>
      </c>
      <c r="N142" s="67"/>
      <c r="Q142" s="122" t="s">
        <v>72</v>
      </c>
      <c r="R142" s="221"/>
      <c r="AH142" s="6">
        <f>COUNTIF(AH4:AH140,"1")</f>
        <v>137</v>
      </c>
    </row>
    <row r="143" spans="1:256" x14ac:dyDescent="0.2">
      <c r="AH143" s="6">
        <f>COUNTIFS($X$1:$X$140,$A$1,AH1:AH140,1)</f>
        <v>137</v>
      </c>
      <c r="AI143" s="22" t="s">
        <v>22</v>
      </c>
      <c r="AJ143" s="22" t="s">
        <v>22</v>
      </c>
      <c r="AK143" s="8">
        <f>SUMIF($X$4:$X$140,$A$1,AK4:AK140)</f>
        <v>0</v>
      </c>
      <c r="AL143" s="6">
        <f>COUNTIFS($X$1:$X$140,$A$1,AL1:AL140,1)</f>
        <v>0</v>
      </c>
      <c r="AM143" s="6">
        <f>COUNTIFS($X$1:$X$140,$A$1,AM1:AM140,1)</f>
        <v>0</v>
      </c>
      <c r="AN143" s="8">
        <f>SUMIF($X$4:$X$140,$A$1,AN4:AN140)</f>
        <v>0</v>
      </c>
      <c r="AO143" s="8">
        <f>SUMIF($X$4:$X$140,$A$1,AO4:AO140)</f>
        <v>0</v>
      </c>
      <c r="AP143" s="6">
        <f>COUNTIFS($X$1:$X$140,$A$1,AP1:AP140,1)</f>
        <v>0</v>
      </c>
      <c r="AQ143" s="6">
        <f>COUNTIFS($X$1:$X$140,$A$1,AQ1:AQ140,1)</f>
        <v>0</v>
      </c>
      <c r="AR143" s="8">
        <f>SUMIF($X$4:$X$140,$A$1,AR4:AR140)</f>
        <v>0</v>
      </c>
      <c r="AS143" s="8">
        <f>SUMIF($X$4:$X$140,$A$1,AS4:AS140)</f>
        <v>0</v>
      </c>
      <c r="AT143" s="6">
        <f>COUNTIFS($X$1:$X$140,$A$1,AT1:AT140,1)</f>
        <v>0</v>
      </c>
      <c r="AU143" s="8">
        <f>SUMIF($X$4:$X$140,$A$1,AU4:AU140)</f>
        <v>120</v>
      </c>
      <c r="AV143" s="6">
        <f>COUNTIFS($X$1:$X$140,$A$1,AV1:AV140,1)</f>
        <v>120</v>
      </c>
      <c r="AW143" s="8">
        <f>SUMIF($X$4:$X$140,$A$1,AW4:AW140)</f>
        <v>119</v>
      </c>
      <c r="AX143" s="6">
        <f>COUNTIFS($X$1:$X$140,$A$1,AX1:AX140,1)</f>
        <v>119</v>
      </c>
      <c r="AY143" s="8">
        <f>SUMIF($X$4:$X$140,$A$1,AY4:AY140)</f>
        <v>9428961.7699999996</v>
      </c>
      <c r="AZ143" s="8">
        <f>SUMIF($X$4:$X$140,$A$1,AZ4:AZ140)</f>
        <v>9428961.7699999996</v>
      </c>
      <c r="BA143" s="8">
        <f>SUMIF($X$4:$X$140,$A$1,BA4:BA140)</f>
        <v>0</v>
      </c>
      <c r="BB143" s="8">
        <f>SUMIF($X$4:$X$140,$A$1,BB4:BB140)</f>
        <v>1</v>
      </c>
      <c r="BC143" s="6">
        <f>COUNTIFS($X$1:$X$140,$A$1,BC1:BC140,1)</f>
        <v>1</v>
      </c>
      <c r="BD143" s="8">
        <f>SUMIF($X$4:$X$140,$A$1,BD4:BD140)</f>
        <v>100000</v>
      </c>
      <c r="BE143" s="8">
        <f>SUMIF($X$4:$X$140,$A$1,BE4:BE140)</f>
        <v>0</v>
      </c>
      <c r="BF143" s="8">
        <f>SUMIF($X$4:$X$140,$A$1,BF4:BF140)</f>
        <v>100000</v>
      </c>
    </row>
    <row r="144" spans="1:256" ht="12.75" hidden="1" customHeight="1" x14ac:dyDescent="0.2"/>
    <row r="145" spans="1:32" ht="12.75" hidden="1" customHeight="1" x14ac:dyDescent="0.2"/>
    <row r="146" spans="1:32" ht="12.75" hidden="1" customHeight="1" x14ac:dyDescent="0.2"/>
    <row r="147" spans="1:32" ht="12.75" hidden="1" customHeight="1" x14ac:dyDescent="0.2"/>
    <row r="148" spans="1:32" ht="12.75" hidden="1" customHeight="1" x14ac:dyDescent="0.2"/>
    <row r="149" spans="1:32" ht="12.75" hidden="1" customHeight="1" x14ac:dyDescent="0.2"/>
    <row r="150" spans="1:32" ht="12.75" hidden="1" customHeight="1" x14ac:dyDescent="0.2"/>
    <row r="151" spans="1:32" ht="13.5" thickBot="1" x14ac:dyDescent="0.25">
      <c r="O151" s="151"/>
      <c r="P151" s="8" t="s">
        <v>108</v>
      </c>
    </row>
    <row r="152" spans="1:32" ht="14.25" thickTop="1" thickBot="1" x14ac:dyDescent="0.25">
      <c r="A152" s="17">
        <f>COUNTIF(X4:X140,A1)</f>
        <v>137</v>
      </c>
      <c r="B152" s="123" t="s">
        <v>14</v>
      </c>
      <c r="C152" s="160" t="s">
        <v>102</v>
      </c>
      <c r="D152" s="161"/>
      <c r="E152" s="162">
        <f>I152</f>
        <v>0</v>
      </c>
      <c r="F152" s="159" t="s">
        <v>21</v>
      </c>
      <c r="G152" s="20">
        <f>SUMIF(X4:X140,A1,G4:G140)</f>
        <v>11550994.99</v>
      </c>
      <c r="H152" s="116">
        <f>SUMIF(X4:X140,A1,H4:H140)</f>
        <v>-3437050.2199999997</v>
      </c>
      <c r="I152" s="99">
        <f>SUMIF(X4:X140,A1,I4:I140)</f>
        <v>0</v>
      </c>
      <c r="J152" s="96">
        <f>SUMIF(X4:X140,A1,J4:J140)</f>
        <v>0</v>
      </c>
      <c r="K152" s="97">
        <f>SUMIF(X4:X140,A1,K4:K140)</f>
        <v>0</v>
      </c>
      <c r="L152" s="97">
        <f>SUMIF(X4:X140,A1,L4:L140)</f>
        <v>0</v>
      </c>
      <c r="M152" s="97">
        <f>SUMIF(X4:X140,A1,M4:M140)</f>
        <v>0</v>
      </c>
      <c r="N152" s="102">
        <f>SUM(N4:N141)</f>
        <v>11755994.99</v>
      </c>
      <c r="O152" s="102">
        <f>SUMIF(X4:X140,A1,O4:O140)</f>
        <v>8113944.7699999996</v>
      </c>
      <c r="P152" s="102">
        <f>SUMIF(X4:X140,A1,P4:P140)</f>
        <v>9528961.7699999996</v>
      </c>
      <c r="Q152" s="121">
        <f>P152-O152</f>
        <v>1415017</v>
      </c>
      <c r="R152" s="222"/>
      <c r="T152" s="21">
        <f>SUMIF(X4:X140,A1,T4:T140)</f>
        <v>0</v>
      </c>
      <c r="U152" s="82">
        <f>COUNTIFS(X1:X140,A1,U1:U140,"&lt;=5")</f>
        <v>0</v>
      </c>
      <c r="Z152" s="102">
        <f>SUM(Z4:Z141)</f>
        <v>11755994.99</v>
      </c>
      <c r="AA152" s="8"/>
      <c r="AB152" s="8"/>
      <c r="AC152" s="8"/>
      <c r="AD152" s="8"/>
      <c r="AE152" s="8"/>
      <c r="AF152" s="8"/>
    </row>
    <row r="153" spans="1:32" ht="14.25" thickTop="1" thickBot="1" x14ac:dyDescent="0.25">
      <c r="A153" s="128">
        <f>AH142</f>
        <v>137</v>
      </c>
      <c r="B153" s="123" t="s">
        <v>73</v>
      </c>
      <c r="C153" s="163" t="s">
        <v>126</v>
      </c>
      <c r="D153" s="8"/>
      <c r="E153" s="164">
        <f>J152</f>
        <v>0</v>
      </c>
      <c r="F153" s="142"/>
      <c r="G153" s="19"/>
      <c r="I153" s="100"/>
      <c r="J153" s="16"/>
      <c r="K153" s="16"/>
      <c r="L153" s="16"/>
      <c r="M153" s="16"/>
      <c r="N153" s="16"/>
    </row>
    <row r="154" spans="1:32" ht="15.95" customHeight="1" thickTop="1" thickBot="1" x14ac:dyDescent="0.25">
      <c r="C154" s="163" t="s">
        <v>104</v>
      </c>
      <c r="D154" s="8"/>
      <c r="E154" s="164">
        <f>L152</f>
        <v>0</v>
      </c>
    </row>
    <row r="155" spans="1:32" ht="15.95" customHeight="1" thickTop="1" thickBot="1" x14ac:dyDescent="0.25">
      <c r="C155" s="167" t="s">
        <v>103</v>
      </c>
      <c r="D155" s="168"/>
      <c r="E155" s="169">
        <f>'COBRANZA SIN CUPONES'!J26</f>
        <v>160000</v>
      </c>
      <c r="F155" s="18" t="s">
        <v>120</v>
      </c>
      <c r="I155" s="179">
        <f>E152+E153+E155</f>
        <v>160000</v>
      </c>
      <c r="J155" s="23"/>
      <c r="K155" s="24"/>
      <c r="L155" s="180" t="s">
        <v>122</v>
      </c>
      <c r="M155" s="186" t="s">
        <v>66</v>
      </c>
    </row>
    <row r="156" spans="1:32" ht="15.95" customHeight="1" thickTop="1" thickBot="1" x14ac:dyDescent="0.25">
      <c r="C156" s="167" t="s">
        <v>125</v>
      </c>
      <c r="D156" s="168"/>
      <c r="E156" s="178">
        <f>M152</f>
        <v>0</v>
      </c>
      <c r="J156" s="7" t="s">
        <v>51</v>
      </c>
      <c r="L156" s="181">
        <f>I152</f>
        <v>0</v>
      </c>
      <c r="M156" s="187">
        <f>L156*M165%</f>
        <v>0</v>
      </c>
    </row>
    <row r="157" spans="1:32" ht="15.95" customHeight="1" thickTop="1" thickBot="1" x14ac:dyDescent="0.25">
      <c r="C157" s="165" t="s">
        <v>121</v>
      </c>
      <c r="D157" s="166"/>
      <c r="E157" s="170">
        <f>SUM(E152:E156)</f>
        <v>160000</v>
      </c>
      <c r="J157" s="7" t="s">
        <v>124</v>
      </c>
      <c r="L157" s="181">
        <f>E153</f>
        <v>0</v>
      </c>
      <c r="M157" s="187">
        <f>L157*M166%</f>
        <v>0</v>
      </c>
      <c r="T157"/>
      <c r="U157"/>
    </row>
    <row r="158" spans="1:32" ht="15.95" customHeight="1" thickTop="1" x14ac:dyDescent="0.2">
      <c r="D158" s="15"/>
      <c r="E158" s="15"/>
      <c r="F158" s="15"/>
      <c r="H158"/>
      <c r="J158" s="7" t="s">
        <v>129</v>
      </c>
      <c r="L158" s="181">
        <f>E154</f>
        <v>0</v>
      </c>
      <c r="M158" s="187">
        <f>L158*M168%</f>
        <v>0</v>
      </c>
      <c r="T158"/>
      <c r="U158"/>
    </row>
    <row r="159" spans="1:32" ht="15.95" customHeight="1" x14ac:dyDescent="0.2">
      <c r="C159"/>
      <c r="F159" s="8"/>
      <c r="G159" s="8"/>
      <c r="J159" s="7" t="s">
        <v>123</v>
      </c>
      <c r="L159" s="181">
        <f>E155</f>
        <v>160000</v>
      </c>
      <c r="M159" s="187">
        <f>L159*M165%</f>
        <v>12800</v>
      </c>
      <c r="T159"/>
      <c r="U159"/>
    </row>
    <row r="160" spans="1:32" ht="15.95" customHeight="1" thickBot="1" x14ac:dyDescent="0.25">
      <c r="C160"/>
      <c r="H160"/>
      <c r="J160" s="7" t="s">
        <v>127</v>
      </c>
      <c r="L160" s="181">
        <f>E156</f>
        <v>0</v>
      </c>
      <c r="M160" s="187">
        <f>L160*M167%</f>
        <v>0</v>
      </c>
      <c r="T160"/>
      <c r="U160"/>
    </row>
    <row r="161" spans="1:23" ht="15.95" customHeight="1" thickTop="1" thickBot="1" x14ac:dyDescent="0.25">
      <c r="A161" s="23"/>
      <c r="B161" s="24"/>
      <c r="C161" s="24"/>
      <c r="D161" s="24"/>
      <c r="E161" s="25" t="s">
        <v>15</v>
      </c>
      <c r="F161" s="25" t="s">
        <v>23</v>
      </c>
      <c r="G161" s="24"/>
      <c r="H161" s="77"/>
      <c r="I161" s="9"/>
      <c r="J161" s="182" t="s">
        <v>67</v>
      </c>
      <c r="K161" s="183"/>
      <c r="L161" s="184">
        <f>SUM(L156:L160)</f>
        <v>160000</v>
      </c>
      <c r="M161" s="188">
        <f>SUM(M156:M160)</f>
        <v>12800</v>
      </c>
      <c r="T161"/>
      <c r="U161"/>
    </row>
    <row r="162" spans="1:23" ht="15.95" customHeight="1" thickTop="1" thickBot="1" x14ac:dyDescent="0.25">
      <c r="A162" s="131" t="s">
        <v>14</v>
      </c>
      <c r="B162" s="132"/>
      <c r="C162" s="132" t="s">
        <v>6</v>
      </c>
      <c r="D162" s="26" t="s">
        <v>24</v>
      </c>
      <c r="E162" s="132" t="s">
        <v>25</v>
      </c>
      <c r="F162" s="27"/>
      <c r="G162" s="27"/>
      <c r="H162" s="78"/>
      <c r="T162"/>
      <c r="U162"/>
    </row>
    <row r="163" spans="1:23" ht="15.95" customHeight="1" thickTop="1" x14ac:dyDescent="0.2">
      <c r="A163" s="28">
        <f>A152</f>
        <v>137</v>
      </c>
      <c r="B163" s="29" t="s">
        <v>26</v>
      </c>
      <c r="C163" s="30">
        <f>P152</f>
        <v>9528961.7699999996</v>
      </c>
      <c r="D163" s="31">
        <f>A152</f>
        <v>137</v>
      </c>
      <c r="E163" s="32">
        <f>C163/A163</f>
        <v>69554.465474452547</v>
      </c>
      <c r="F163" s="33">
        <f>H163-G163</f>
        <v>1</v>
      </c>
      <c r="G163" s="33">
        <f>IF(H163=100,0,SUM(F164+F167+F168+F171+F169)-1)</f>
        <v>0</v>
      </c>
      <c r="H163" s="33">
        <f>SUM(F164+F167+F168+F171+F169)</f>
        <v>1</v>
      </c>
      <c r="S163" s="136"/>
      <c r="T163"/>
      <c r="U163"/>
      <c r="W163" s="136"/>
    </row>
    <row r="164" spans="1:23" ht="15.95" customHeight="1" x14ac:dyDescent="0.2">
      <c r="A164" s="34">
        <f>A165+A166</f>
        <v>0</v>
      </c>
      <c r="B164" s="10" t="s">
        <v>27</v>
      </c>
      <c r="C164" s="35">
        <f>C165+C166</f>
        <v>0</v>
      </c>
      <c r="D164" s="36">
        <f>T152</f>
        <v>0</v>
      </c>
      <c r="E164" s="37" t="e">
        <f t="shared" ref="E164:E172" si="165">C164/D164</f>
        <v>#DIV/0!</v>
      </c>
      <c r="F164" s="38">
        <f>C164/C163</f>
        <v>0</v>
      </c>
      <c r="G164" s="11"/>
      <c r="H164" s="65"/>
      <c r="O164" s="172" t="s">
        <v>109</v>
      </c>
      <c r="P164" s="172"/>
      <c r="Q164" s="173">
        <f>SUMIF(H4:H140,"&gt;0",H4:H140)+G152</f>
        <v>11755994.99</v>
      </c>
      <c r="S164" s="136"/>
      <c r="T164"/>
      <c r="U164"/>
      <c r="W164" s="136"/>
    </row>
    <row r="165" spans="1:23" ht="20.25" x14ac:dyDescent="0.3">
      <c r="A165" s="39">
        <f>AP143</f>
        <v>0</v>
      </c>
      <c r="B165" s="10" t="s">
        <v>28</v>
      </c>
      <c r="C165" s="40">
        <f>AR143</f>
        <v>0</v>
      </c>
      <c r="D165" s="12">
        <f>AO143</f>
        <v>0</v>
      </c>
      <c r="E165" s="37" t="e">
        <f t="shared" si="165"/>
        <v>#DIV/0!</v>
      </c>
      <c r="F165" s="41">
        <f>C165/C163</f>
        <v>0</v>
      </c>
      <c r="G165" s="11"/>
      <c r="H165" s="65"/>
      <c r="J165" s="189"/>
      <c r="K165" s="189"/>
      <c r="L165" s="189" t="s">
        <v>99</v>
      </c>
      <c r="M165" s="156">
        <v>8</v>
      </c>
      <c r="N165" s="8"/>
      <c r="O165" s="172" t="s">
        <v>110</v>
      </c>
      <c r="P165" s="172"/>
      <c r="Q165" s="173">
        <f>E157</f>
        <v>160000</v>
      </c>
      <c r="U165" s="143"/>
    </row>
    <row r="166" spans="1:23" ht="21" thickBot="1" x14ac:dyDescent="0.35">
      <c r="A166" s="39">
        <f>AL143</f>
        <v>0</v>
      </c>
      <c r="B166" s="10" t="s">
        <v>29</v>
      </c>
      <c r="C166" s="40">
        <f>AN143</f>
        <v>0</v>
      </c>
      <c r="D166" s="12">
        <f>AK143</f>
        <v>0</v>
      </c>
      <c r="E166" s="37" t="e">
        <f t="shared" si="165"/>
        <v>#DIV/0!</v>
      </c>
      <c r="F166" s="41">
        <f>C166/C163</f>
        <v>0</v>
      </c>
      <c r="G166" s="11"/>
      <c r="H166" s="65"/>
      <c r="J166" s="189"/>
      <c r="K166" s="189"/>
      <c r="L166" s="189" t="s">
        <v>133</v>
      </c>
      <c r="M166" s="156">
        <v>8</v>
      </c>
      <c r="O166" s="172" t="s">
        <v>8</v>
      </c>
      <c r="P166" s="172"/>
      <c r="Q166" s="173">
        <f>Q164-Q165</f>
        <v>11595994.99</v>
      </c>
    </row>
    <row r="167" spans="1:23" ht="21.75" thickTop="1" thickBot="1" x14ac:dyDescent="0.35">
      <c r="A167" s="39">
        <f>AT143</f>
        <v>0</v>
      </c>
      <c r="B167" s="10" t="s">
        <v>17</v>
      </c>
      <c r="C167" s="42">
        <f>I152+M152+L152</f>
        <v>0</v>
      </c>
      <c r="D167" s="43">
        <f>AS143</f>
        <v>0</v>
      </c>
      <c r="E167" s="37" t="e">
        <f t="shared" si="165"/>
        <v>#DIV/0!</v>
      </c>
      <c r="F167" s="38">
        <f>C167/C163</f>
        <v>0</v>
      </c>
      <c r="G167" s="44">
        <f>C167/(C163-C164)</f>
        <v>0</v>
      </c>
      <c r="H167" s="65" t="s">
        <v>30</v>
      </c>
      <c r="J167" s="190"/>
      <c r="K167" s="190"/>
      <c r="L167" s="190" t="s">
        <v>134</v>
      </c>
      <c r="M167" s="156">
        <v>8</v>
      </c>
      <c r="O167" s="172" t="s">
        <v>111</v>
      </c>
      <c r="P167" s="172"/>
      <c r="Q167" s="174">
        <f>Q165/Q164</f>
        <v>1.3610077253018632E-2</v>
      </c>
    </row>
    <row r="168" spans="1:23" ht="21" thickTop="1" x14ac:dyDescent="0.3">
      <c r="A168" s="39"/>
      <c r="B168" s="10" t="s">
        <v>53</v>
      </c>
      <c r="C168" s="74">
        <f>J152</f>
        <v>0</v>
      </c>
      <c r="D168" s="43"/>
      <c r="E168" s="43"/>
      <c r="F168" s="33">
        <f>C168/C163</f>
        <v>0</v>
      </c>
      <c r="G168" s="98">
        <f>(I152+L152+J152+M152)/P152</f>
        <v>0</v>
      </c>
      <c r="H168" s="65" t="s">
        <v>63</v>
      </c>
      <c r="J168" s="189"/>
      <c r="K168" s="189"/>
      <c r="L168" s="189" t="s">
        <v>130</v>
      </c>
      <c r="M168" s="156">
        <v>2</v>
      </c>
      <c r="T168" s="142"/>
    </row>
    <row r="169" spans="1:23" ht="13.5" thickBot="1" x14ac:dyDescent="0.25">
      <c r="A169" s="39"/>
      <c r="B169" s="72" t="s">
        <v>64</v>
      </c>
      <c r="C169" s="74">
        <f>K152</f>
        <v>0</v>
      </c>
      <c r="D169" s="43"/>
      <c r="E169" s="43"/>
      <c r="F169" s="38">
        <f>C169/C163</f>
        <v>0</v>
      </c>
      <c r="G169" s="101"/>
      <c r="H169" s="65"/>
      <c r="O169" s="172" t="s">
        <v>135</v>
      </c>
      <c r="P169" s="206"/>
      <c r="Q169" s="173">
        <f>SUMIF(T4:T140,1,G4:G140)</f>
        <v>0</v>
      </c>
      <c r="R169" s="223" t="s">
        <v>136</v>
      </c>
    </row>
    <row r="170" spans="1:23" ht="18" customHeight="1" thickTop="1" thickBot="1" x14ac:dyDescent="0.25">
      <c r="A170" s="39"/>
      <c r="B170" s="76" t="s">
        <v>65</v>
      </c>
      <c r="C170" s="76">
        <f>C167+C168+C169</f>
        <v>0</v>
      </c>
      <c r="D170" s="73"/>
      <c r="E170" s="71"/>
      <c r="F170" s="71"/>
      <c r="G170" s="71"/>
      <c r="H170" s="79"/>
      <c r="O170" s="172" t="s">
        <v>137</v>
      </c>
      <c r="P170" s="206"/>
      <c r="Q170" s="173">
        <f>SUMIFS(H4:H140,H4:H140,"&gt;0",T4:T140,1)-SUMIF(T4:T140,1,I4:I140)</f>
        <v>0</v>
      </c>
      <c r="R170" s="223" t="s">
        <v>138</v>
      </c>
    </row>
    <row r="171" spans="1:23" ht="13.5" thickTop="1" x14ac:dyDescent="0.2">
      <c r="A171" s="39">
        <f>AV143</f>
        <v>120</v>
      </c>
      <c r="B171" s="10" t="s">
        <v>18</v>
      </c>
      <c r="C171" s="75">
        <f>C172+C173</f>
        <v>9528961.7699999996</v>
      </c>
      <c r="D171" s="43">
        <f>AV143</f>
        <v>120</v>
      </c>
      <c r="E171" s="37">
        <f t="shared" si="165"/>
        <v>79408.014750000002</v>
      </c>
      <c r="F171" s="38">
        <f>C171/C163</f>
        <v>1</v>
      </c>
      <c r="G171" s="11"/>
      <c r="H171" s="65"/>
      <c r="O171" s="206" t="s">
        <v>145</v>
      </c>
      <c r="P171" s="206"/>
      <c r="Q171" s="173">
        <f>SUMIF(T4:T140,"=1",N4:N140)</f>
        <v>0</v>
      </c>
      <c r="R171" s="223" t="s">
        <v>140</v>
      </c>
      <c r="T171"/>
      <c r="U171"/>
    </row>
    <row r="172" spans="1:23" ht="17.25" customHeight="1" x14ac:dyDescent="0.2">
      <c r="A172" s="39">
        <f>BC143</f>
        <v>1</v>
      </c>
      <c r="B172" s="10" t="s">
        <v>31</v>
      </c>
      <c r="C172" s="40">
        <f>BF143+BE143</f>
        <v>100000</v>
      </c>
      <c r="D172" s="43">
        <f>BB143</f>
        <v>1</v>
      </c>
      <c r="E172" s="37">
        <f t="shared" si="165"/>
        <v>100000</v>
      </c>
      <c r="F172" s="41">
        <f>C172/C163</f>
        <v>1.04943227199032E-2</v>
      </c>
      <c r="G172" s="11"/>
      <c r="H172" s="65"/>
      <c r="O172" s="206" t="s">
        <v>139</v>
      </c>
      <c r="P172" s="206"/>
      <c r="Q172" s="173">
        <f>Q173-Q171</f>
        <v>11755994.99</v>
      </c>
      <c r="R172" s="223" t="s">
        <v>146</v>
      </c>
      <c r="S172" s="142"/>
      <c r="T172"/>
      <c r="U172"/>
      <c r="W172" s="142"/>
    </row>
    <row r="173" spans="1:23" ht="13.5" thickBot="1" x14ac:dyDescent="0.25">
      <c r="A173" s="45">
        <f>AX143</f>
        <v>119</v>
      </c>
      <c r="B173" s="46" t="s">
        <v>32</v>
      </c>
      <c r="C173" s="47">
        <f>AZ143+BA143</f>
        <v>9428961.7699999996</v>
      </c>
      <c r="D173" s="48">
        <f>AW143</f>
        <v>119</v>
      </c>
      <c r="E173" s="49">
        <f>C173/D173</f>
        <v>79234.972857142857</v>
      </c>
      <c r="F173" s="50">
        <f>C173/C163</f>
        <v>0.98950567728009675</v>
      </c>
      <c r="G173" s="51"/>
      <c r="H173" s="80"/>
      <c r="O173" s="208" t="s">
        <v>141</v>
      </c>
      <c r="P173" s="208"/>
      <c r="Q173" s="209">
        <f>SUMIF(N4:N140,"&gt;0",N4:N140)</f>
        <v>11755994.99</v>
      </c>
      <c r="R173" s="223" t="s">
        <v>147</v>
      </c>
      <c r="T173"/>
      <c r="U173"/>
    </row>
    <row r="174" spans="1:23" ht="13.5" thickTop="1" x14ac:dyDescent="0.2">
      <c r="A174" s="120"/>
      <c r="B174" s="8"/>
      <c r="T174"/>
      <c r="U174"/>
    </row>
    <row r="175" spans="1:23" ht="13.5" thickBot="1" x14ac:dyDescent="0.25">
      <c r="O175" s="207" t="s">
        <v>142</v>
      </c>
      <c r="P175" s="207"/>
      <c r="Q175" s="207"/>
      <c r="T175"/>
      <c r="U175"/>
    </row>
    <row r="176" spans="1:23" ht="14.25" thickTop="1" thickBot="1" x14ac:dyDescent="0.25">
      <c r="A176" s="8"/>
      <c r="B176" s="8" t="s">
        <v>98</v>
      </c>
      <c r="C176"/>
      <c r="D176" s="15"/>
      <c r="E176" s="150">
        <f>G163</f>
        <v>0</v>
      </c>
      <c r="F176" s="150">
        <f>H163</f>
        <v>1</v>
      </c>
      <c r="H176" s="152"/>
      <c r="O176" s="207" t="s">
        <v>143</v>
      </c>
      <c r="P176" s="207"/>
      <c r="Q176" s="207"/>
      <c r="T176"/>
      <c r="U176"/>
    </row>
    <row r="177" spans="2:36" ht="14.25" thickTop="1" thickBot="1" x14ac:dyDescent="0.25">
      <c r="O177" s="207" t="s">
        <v>148</v>
      </c>
      <c r="P177" s="207"/>
      <c r="Q177" s="207"/>
      <c r="S177" s="142"/>
      <c r="T177"/>
      <c r="U177"/>
      <c r="V177" s="142"/>
      <c r="W177" s="142"/>
    </row>
    <row r="178" spans="2:36" ht="14.25" thickTop="1" thickBot="1" x14ac:dyDescent="0.25">
      <c r="B178" s="153" t="s">
        <v>9</v>
      </c>
      <c r="C178" s="154" t="s">
        <v>45</v>
      </c>
      <c r="O178" s="207" t="s">
        <v>149</v>
      </c>
      <c r="P178" s="207"/>
      <c r="Q178" s="207"/>
      <c r="T178"/>
      <c r="AH178" s="8"/>
    </row>
    <row r="179" spans="2:36" ht="13.5" thickTop="1" x14ac:dyDescent="0.2">
      <c r="B179" s="39">
        <v>1</v>
      </c>
      <c r="C179" s="90" t="s">
        <v>93</v>
      </c>
      <c r="E179" s="85" t="s">
        <v>59</v>
      </c>
      <c r="F179" s="83"/>
      <c r="G179" s="83"/>
      <c r="H179" s="84"/>
      <c r="I179" s="86"/>
      <c r="T179"/>
      <c r="AH179" s="8"/>
      <c r="AI179" s="69"/>
      <c r="AJ179" s="70"/>
    </row>
    <row r="180" spans="2:36" x14ac:dyDescent="0.2">
      <c r="B180" s="39">
        <v>2</v>
      </c>
      <c r="C180" s="90" t="s">
        <v>43</v>
      </c>
      <c r="E180" s="87" t="s">
        <v>60</v>
      </c>
      <c r="F180" s="88"/>
      <c r="G180" s="88"/>
      <c r="H180" s="6"/>
      <c r="I180" s="89"/>
      <c r="T180"/>
      <c r="AH180" s="8"/>
      <c r="AI180" s="69"/>
      <c r="AJ180" s="70"/>
    </row>
    <row r="181" spans="2:36" x14ac:dyDescent="0.2">
      <c r="B181" s="39">
        <v>3</v>
      </c>
      <c r="C181" s="155" t="s">
        <v>100</v>
      </c>
      <c r="E181" s="87" t="s">
        <v>58</v>
      </c>
      <c r="F181" s="6"/>
      <c r="G181" s="6"/>
      <c r="H181" s="6"/>
      <c r="I181" s="89"/>
      <c r="S181" s="8"/>
      <c r="U181" s="8"/>
      <c r="V181" s="8"/>
      <c r="W181" s="8"/>
      <c r="X181" s="8"/>
      <c r="Y181" s="8"/>
      <c r="AH181" s="8"/>
      <c r="AI181" s="69"/>
      <c r="AJ181" s="70"/>
    </row>
    <row r="182" spans="2:36" x14ac:dyDescent="0.2">
      <c r="B182" s="39">
        <v>4</v>
      </c>
      <c r="C182" s="90" t="s">
        <v>44</v>
      </c>
      <c r="E182" s="87" t="s">
        <v>61</v>
      </c>
      <c r="F182" s="88"/>
      <c r="G182" s="88"/>
      <c r="H182" s="88"/>
      <c r="I182" s="91"/>
      <c r="S182" s="8"/>
      <c r="U182" s="8"/>
      <c r="V182" s="8"/>
      <c r="W182" s="8"/>
      <c r="X182" s="8"/>
      <c r="Y182" s="8"/>
    </row>
    <row r="183" spans="2:36" ht="13.5" thickBot="1" x14ac:dyDescent="0.25">
      <c r="B183" s="39">
        <v>5</v>
      </c>
      <c r="C183" s="90" t="s">
        <v>46</v>
      </c>
      <c r="E183" s="92" t="s">
        <v>62</v>
      </c>
      <c r="F183" s="93"/>
      <c r="G183" s="93"/>
      <c r="H183" s="94"/>
      <c r="I183" s="95"/>
      <c r="S183" s="8"/>
      <c r="U183" s="8"/>
      <c r="V183" s="8"/>
      <c r="W183" s="8"/>
      <c r="X183" s="8"/>
      <c r="Y183" s="8"/>
    </row>
    <row r="184" spans="2:36" ht="13.5" thickTop="1" x14ac:dyDescent="0.2">
      <c r="S184" s="8"/>
      <c r="U184" s="8"/>
      <c r="V184" s="8"/>
      <c r="W184" s="8"/>
      <c r="X184" s="8"/>
      <c r="Y184" s="8"/>
    </row>
  </sheetData>
  <sheetProtection sheet="1" objects="1" scenarios="1"/>
  <sortState xmlns:xlrd2="http://schemas.microsoft.com/office/spreadsheetml/2017/richdata2" ref="A4:IV140">
    <sortCondition descending="1" ref="F4:F140"/>
    <sortCondition ref="A4:A140"/>
  </sortState>
  <mergeCells count="3">
    <mergeCell ref="G2:H2"/>
    <mergeCell ref="I2:M2"/>
    <mergeCell ref="Q2:S2"/>
  </mergeCells>
  <phoneticPr fontId="9" type="noConversion"/>
  <conditionalFormatting sqref="A1:A1048576">
    <cfRule type="duplicateValues" dxfId="8" priority="234"/>
  </conditionalFormatting>
  <conditionalFormatting sqref="A3 X3:Y3 X142:Y142 X144:Y147 A151:A156">
    <cfRule type="expression" dxfId="7" priority="214" stopIfTrue="1">
      <formula>COUNTIF($A$4:$A$141,A3)&gt;1</formula>
    </cfRule>
  </conditionalFormatting>
  <conditionalFormatting sqref="B152:B153 B155:B156 A161 A182">
    <cfRule type="expression" dxfId="6" priority="213" stopIfTrue="1">
      <formula>COUNTIF(#REF!,A152)&gt;1</formula>
    </cfRule>
  </conditionalFormatting>
  <conditionalFormatting sqref="C152:D154">
    <cfRule type="expression" dxfId="5" priority="172" stopIfTrue="1">
      <formula>COUNTIF(#REF!,C152)&gt;1</formula>
    </cfRule>
  </conditionalFormatting>
  <conditionalFormatting sqref="D155:D156">
    <cfRule type="expression" dxfId="4" priority="173" stopIfTrue="1">
      <formula>COUNTIF(#REF!,D155)&gt;1</formula>
    </cfRule>
  </conditionalFormatting>
  <pageMargins left="0.19685039370078741" right="0.11811023622047245" top="0.15748031496062992" bottom="0.19685039370078741" header="0" footer="0"/>
  <pageSetup paperSize="9" scale="45" fitToHeight="4" orientation="landscape" verticalDpi="30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EC9FD0-44C8-410D-B12C-776D197D83D9}">
  <dimension ref="A1:B138"/>
  <sheetViews>
    <sheetView topLeftCell="A117" workbookViewId="0">
      <selection activeCell="D135" sqref="D135"/>
    </sheetView>
  </sheetViews>
  <sheetFormatPr baseColWidth="10" defaultRowHeight="12.75" x14ac:dyDescent="0.2"/>
  <sheetData>
    <row r="1" spans="1:2" ht="14.25" thickTop="1" thickBot="1" x14ac:dyDescent="0.25">
      <c r="A1" s="2" t="s">
        <v>0</v>
      </c>
    </row>
    <row r="2" spans="1:2" ht="13.5" thickTop="1" x14ac:dyDescent="0.2">
      <c r="A2" s="10">
        <v>816</v>
      </c>
      <c r="B2">
        <v>1</v>
      </c>
    </row>
    <row r="3" spans="1:2" x14ac:dyDescent="0.2">
      <c r="A3" s="10">
        <v>823</v>
      </c>
      <c r="B3">
        <v>2</v>
      </c>
    </row>
    <row r="4" spans="1:2" x14ac:dyDescent="0.2">
      <c r="A4" s="10">
        <v>834</v>
      </c>
      <c r="B4">
        <v>3</v>
      </c>
    </row>
    <row r="5" spans="1:2" x14ac:dyDescent="0.2">
      <c r="A5" s="10">
        <v>1186</v>
      </c>
      <c r="B5">
        <v>4</v>
      </c>
    </row>
    <row r="6" spans="1:2" x14ac:dyDescent="0.2">
      <c r="A6" s="10">
        <v>1417</v>
      </c>
      <c r="B6">
        <v>5</v>
      </c>
    </row>
    <row r="7" spans="1:2" x14ac:dyDescent="0.2">
      <c r="A7" s="10">
        <v>1457</v>
      </c>
      <c r="B7">
        <v>6</v>
      </c>
    </row>
    <row r="8" spans="1:2" x14ac:dyDescent="0.2">
      <c r="A8" s="10">
        <v>1597</v>
      </c>
      <c r="B8">
        <v>7</v>
      </c>
    </row>
    <row r="9" spans="1:2" x14ac:dyDescent="0.2">
      <c r="A9" s="10">
        <v>1601</v>
      </c>
      <c r="B9">
        <v>8</v>
      </c>
    </row>
    <row r="10" spans="1:2" x14ac:dyDescent="0.2">
      <c r="A10" s="10">
        <v>1671</v>
      </c>
      <c r="B10">
        <v>9</v>
      </c>
    </row>
    <row r="11" spans="1:2" x14ac:dyDescent="0.2">
      <c r="A11" s="10">
        <v>1791</v>
      </c>
      <c r="B11">
        <v>10</v>
      </c>
    </row>
    <row r="12" spans="1:2" x14ac:dyDescent="0.2">
      <c r="A12" s="10">
        <v>1829</v>
      </c>
      <c r="B12">
        <v>11</v>
      </c>
    </row>
    <row r="13" spans="1:2" x14ac:dyDescent="0.2">
      <c r="A13" s="10">
        <v>1870</v>
      </c>
      <c r="B13">
        <v>12</v>
      </c>
    </row>
    <row r="14" spans="1:2" x14ac:dyDescent="0.2">
      <c r="A14" s="10">
        <v>1871</v>
      </c>
      <c r="B14">
        <v>13</v>
      </c>
    </row>
    <row r="15" spans="1:2" x14ac:dyDescent="0.2">
      <c r="A15" s="10">
        <v>1900</v>
      </c>
      <c r="B15">
        <v>14</v>
      </c>
    </row>
    <row r="16" spans="1:2" x14ac:dyDescent="0.2">
      <c r="A16" s="10">
        <v>1954</v>
      </c>
      <c r="B16">
        <v>15</v>
      </c>
    </row>
    <row r="17" spans="1:2" x14ac:dyDescent="0.2">
      <c r="A17" s="10">
        <v>1999</v>
      </c>
      <c r="B17">
        <v>16</v>
      </c>
    </row>
    <row r="18" spans="1:2" x14ac:dyDescent="0.2">
      <c r="A18" s="10">
        <v>2010</v>
      </c>
      <c r="B18">
        <v>17</v>
      </c>
    </row>
    <row r="19" spans="1:2" x14ac:dyDescent="0.2">
      <c r="A19" s="10">
        <v>2015</v>
      </c>
      <c r="B19">
        <v>18</v>
      </c>
    </row>
    <row r="20" spans="1:2" x14ac:dyDescent="0.2">
      <c r="A20" s="10">
        <v>2024</v>
      </c>
      <c r="B20">
        <v>19</v>
      </c>
    </row>
    <row r="21" spans="1:2" x14ac:dyDescent="0.2">
      <c r="A21" s="10">
        <v>2095</v>
      </c>
      <c r="B21">
        <v>20</v>
      </c>
    </row>
    <row r="22" spans="1:2" x14ac:dyDescent="0.2">
      <c r="A22" s="10">
        <v>2119</v>
      </c>
      <c r="B22">
        <v>21</v>
      </c>
    </row>
    <row r="23" spans="1:2" x14ac:dyDescent="0.2">
      <c r="A23" s="10">
        <v>2120</v>
      </c>
      <c r="B23">
        <v>22</v>
      </c>
    </row>
    <row r="24" spans="1:2" x14ac:dyDescent="0.2">
      <c r="A24" s="10">
        <v>2207</v>
      </c>
      <c r="B24">
        <v>23</v>
      </c>
    </row>
    <row r="25" spans="1:2" x14ac:dyDescent="0.2">
      <c r="A25" s="10">
        <v>2326</v>
      </c>
      <c r="B25">
        <v>24</v>
      </c>
    </row>
    <row r="26" spans="1:2" x14ac:dyDescent="0.2">
      <c r="A26" s="10">
        <v>2339</v>
      </c>
      <c r="B26">
        <v>25</v>
      </c>
    </row>
    <row r="27" spans="1:2" x14ac:dyDescent="0.2">
      <c r="A27" s="10">
        <v>2360</v>
      </c>
      <c r="B27">
        <v>26</v>
      </c>
    </row>
    <row r="28" spans="1:2" x14ac:dyDescent="0.2">
      <c r="A28" s="10">
        <v>2374</v>
      </c>
      <c r="B28">
        <v>27</v>
      </c>
    </row>
    <row r="29" spans="1:2" x14ac:dyDescent="0.2">
      <c r="A29" s="10">
        <v>2461</v>
      </c>
      <c r="B29">
        <v>28</v>
      </c>
    </row>
    <row r="30" spans="1:2" x14ac:dyDescent="0.2">
      <c r="A30" s="10">
        <v>2486</v>
      </c>
      <c r="B30">
        <v>29</v>
      </c>
    </row>
    <row r="31" spans="1:2" x14ac:dyDescent="0.2">
      <c r="A31" s="10">
        <v>2489</v>
      </c>
      <c r="B31">
        <v>30</v>
      </c>
    </row>
    <row r="32" spans="1:2" x14ac:dyDescent="0.2">
      <c r="A32" s="10">
        <v>2526</v>
      </c>
      <c r="B32">
        <v>31</v>
      </c>
    </row>
    <row r="33" spans="1:2" x14ac:dyDescent="0.2">
      <c r="A33" s="10">
        <v>2543</v>
      </c>
      <c r="B33">
        <v>32</v>
      </c>
    </row>
    <row r="34" spans="1:2" x14ac:dyDescent="0.2">
      <c r="A34" s="10">
        <v>2545</v>
      </c>
      <c r="B34">
        <v>33</v>
      </c>
    </row>
    <row r="35" spans="1:2" x14ac:dyDescent="0.2">
      <c r="A35" s="10">
        <v>2548</v>
      </c>
      <c r="B35">
        <v>34</v>
      </c>
    </row>
    <row r="36" spans="1:2" x14ac:dyDescent="0.2">
      <c r="A36" s="10">
        <v>2549</v>
      </c>
      <c r="B36">
        <v>35</v>
      </c>
    </row>
    <row r="37" spans="1:2" x14ac:dyDescent="0.2">
      <c r="A37" s="10">
        <v>2556</v>
      </c>
      <c r="B37">
        <v>36</v>
      </c>
    </row>
    <row r="38" spans="1:2" x14ac:dyDescent="0.2">
      <c r="A38" s="10">
        <v>2578</v>
      </c>
      <c r="B38">
        <v>37</v>
      </c>
    </row>
    <row r="39" spans="1:2" x14ac:dyDescent="0.2">
      <c r="A39" s="10">
        <v>2580</v>
      </c>
      <c r="B39">
        <v>38</v>
      </c>
    </row>
    <row r="40" spans="1:2" x14ac:dyDescent="0.2">
      <c r="A40" s="10">
        <v>2583</v>
      </c>
      <c r="B40">
        <v>39</v>
      </c>
    </row>
    <row r="41" spans="1:2" x14ac:dyDescent="0.2">
      <c r="A41" s="10">
        <v>2585</v>
      </c>
      <c r="B41">
        <v>40</v>
      </c>
    </row>
    <row r="42" spans="1:2" x14ac:dyDescent="0.2">
      <c r="A42" s="10">
        <v>2615</v>
      </c>
      <c r="B42">
        <v>41</v>
      </c>
    </row>
    <row r="43" spans="1:2" x14ac:dyDescent="0.2">
      <c r="A43" s="10">
        <v>2616</v>
      </c>
      <c r="B43">
        <v>42</v>
      </c>
    </row>
    <row r="44" spans="1:2" x14ac:dyDescent="0.2">
      <c r="A44" s="10">
        <v>2622</v>
      </c>
      <c r="B44">
        <v>43</v>
      </c>
    </row>
    <row r="45" spans="1:2" x14ac:dyDescent="0.2">
      <c r="A45" s="10">
        <v>2714</v>
      </c>
      <c r="B45">
        <v>44</v>
      </c>
    </row>
    <row r="46" spans="1:2" x14ac:dyDescent="0.2">
      <c r="A46" s="10">
        <v>2717</v>
      </c>
      <c r="B46">
        <v>45</v>
      </c>
    </row>
    <row r="47" spans="1:2" x14ac:dyDescent="0.2">
      <c r="A47" s="10">
        <v>2727</v>
      </c>
      <c r="B47">
        <v>46</v>
      </c>
    </row>
    <row r="48" spans="1:2" x14ac:dyDescent="0.2">
      <c r="A48" s="10">
        <v>2744</v>
      </c>
      <c r="B48">
        <v>47</v>
      </c>
    </row>
    <row r="49" spans="1:2" x14ac:dyDescent="0.2">
      <c r="A49" s="10">
        <v>2747</v>
      </c>
      <c r="B49">
        <v>48</v>
      </c>
    </row>
    <row r="50" spans="1:2" x14ac:dyDescent="0.2">
      <c r="A50" s="10">
        <v>2755</v>
      </c>
      <c r="B50">
        <v>49</v>
      </c>
    </row>
    <row r="51" spans="1:2" x14ac:dyDescent="0.2">
      <c r="A51" s="10">
        <v>2760</v>
      </c>
      <c r="B51">
        <v>50</v>
      </c>
    </row>
    <row r="52" spans="1:2" x14ac:dyDescent="0.2">
      <c r="A52" s="10">
        <v>2802</v>
      </c>
      <c r="B52">
        <v>51</v>
      </c>
    </row>
    <row r="53" spans="1:2" x14ac:dyDescent="0.2">
      <c r="A53" s="10">
        <v>2816</v>
      </c>
      <c r="B53">
        <v>52</v>
      </c>
    </row>
    <row r="54" spans="1:2" x14ac:dyDescent="0.2">
      <c r="A54" s="10">
        <v>2836</v>
      </c>
      <c r="B54">
        <v>53</v>
      </c>
    </row>
    <row r="55" spans="1:2" x14ac:dyDescent="0.2">
      <c r="A55" s="10">
        <v>2853</v>
      </c>
      <c r="B55">
        <v>54</v>
      </c>
    </row>
    <row r="56" spans="1:2" x14ac:dyDescent="0.2">
      <c r="A56" s="10">
        <v>2872</v>
      </c>
      <c r="B56">
        <v>55</v>
      </c>
    </row>
    <row r="57" spans="1:2" x14ac:dyDescent="0.2">
      <c r="A57" s="10">
        <v>2877</v>
      </c>
      <c r="B57">
        <v>56</v>
      </c>
    </row>
    <row r="58" spans="1:2" x14ac:dyDescent="0.2">
      <c r="A58" s="10">
        <v>2890</v>
      </c>
      <c r="B58">
        <v>57</v>
      </c>
    </row>
    <row r="59" spans="1:2" x14ac:dyDescent="0.2">
      <c r="A59" s="10">
        <v>2892</v>
      </c>
      <c r="B59">
        <v>58</v>
      </c>
    </row>
    <row r="60" spans="1:2" x14ac:dyDescent="0.2">
      <c r="A60" s="10">
        <v>2897</v>
      </c>
      <c r="B60">
        <v>59</v>
      </c>
    </row>
    <row r="61" spans="1:2" x14ac:dyDescent="0.2">
      <c r="A61" s="10">
        <v>2948</v>
      </c>
      <c r="B61">
        <v>60</v>
      </c>
    </row>
    <row r="62" spans="1:2" x14ac:dyDescent="0.2">
      <c r="A62" s="10">
        <v>2960</v>
      </c>
      <c r="B62">
        <v>61</v>
      </c>
    </row>
    <row r="63" spans="1:2" x14ac:dyDescent="0.2">
      <c r="A63" s="10">
        <v>2964</v>
      </c>
      <c r="B63">
        <v>62</v>
      </c>
    </row>
    <row r="64" spans="1:2" x14ac:dyDescent="0.2">
      <c r="A64" s="10">
        <v>2980</v>
      </c>
      <c r="B64">
        <v>63</v>
      </c>
    </row>
    <row r="65" spans="1:2" x14ac:dyDescent="0.2">
      <c r="A65" s="10">
        <v>2992</v>
      </c>
      <c r="B65">
        <v>64</v>
      </c>
    </row>
    <row r="66" spans="1:2" x14ac:dyDescent="0.2">
      <c r="A66" s="10">
        <v>2998</v>
      </c>
      <c r="B66">
        <v>65</v>
      </c>
    </row>
    <row r="67" spans="1:2" x14ac:dyDescent="0.2">
      <c r="A67" s="10">
        <v>3011</v>
      </c>
      <c r="B67">
        <v>66</v>
      </c>
    </row>
    <row r="68" spans="1:2" x14ac:dyDescent="0.2">
      <c r="A68" s="10">
        <v>3013</v>
      </c>
      <c r="B68">
        <v>67</v>
      </c>
    </row>
    <row r="69" spans="1:2" x14ac:dyDescent="0.2">
      <c r="A69" s="10">
        <v>3027</v>
      </c>
      <c r="B69">
        <v>68</v>
      </c>
    </row>
    <row r="70" spans="1:2" x14ac:dyDescent="0.2">
      <c r="A70" s="10">
        <v>3031</v>
      </c>
      <c r="B70">
        <v>69</v>
      </c>
    </row>
    <row r="71" spans="1:2" x14ac:dyDescent="0.2">
      <c r="A71" s="10">
        <v>3036</v>
      </c>
      <c r="B71">
        <v>70</v>
      </c>
    </row>
    <row r="72" spans="1:2" x14ac:dyDescent="0.2">
      <c r="A72" s="10">
        <v>3044</v>
      </c>
      <c r="B72">
        <v>71</v>
      </c>
    </row>
    <row r="73" spans="1:2" x14ac:dyDescent="0.2">
      <c r="A73" s="10">
        <v>3047</v>
      </c>
      <c r="B73">
        <v>72</v>
      </c>
    </row>
    <row r="74" spans="1:2" x14ac:dyDescent="0.2">
      <c r="A74" s="10">
        <v>3062</v>
      </c>
      <c r="B74">
        <v>73</v>
      </c>
    </row>
    <row r="75" spans="1:2" x14ac:dyDescent="0.2">
      <c r="A75" s="10">
        <v>3080</v>
      </c>
      <c r="B75">
        <v>74</v>
      </c>
    </row>
    <row r="76" spans="1:2" x14ac:dyDescent="0.2">
      <c r="A76" s="10">
        <v>3083</v>
      </c>
      <c r="B76">
        <v>75</v>
      </c>
    </row>
    <row r="77" spans="1:2" x14ac:dyDescent="0.2">
      <c r="A77" s="10">
        <v>3084</v>
      </c>
      <c r="B77">
        <v>76</v>
      </c>
    </row>
    <row r="78" spans="1:2" x14ac:dyDescent="0.2">
      <c r="A78" s="10">
        <v>3088</v>
      </c>
      <c r="B78">
        <v>77</v>
      </c>
    </row>
    <row r="79" spans="1:2" x14ac:dyDescent="0.2">
      <c r="A79" s="10">
        <v>3100</v>
      </c>
      <c r="B79">
        <v>78</v>
      </c>
    </row>
    <row r="80" spans="1:2" x14ac:dyDescent="0.2">
      <c r="A80" s="10">
        <v>3109</v>
      </c>
      <c r="B80">
        <v>79</v>
      </c>
    </row>
    <row r="81" spans="1:2" x14ac:dyDescent="0.2">
      <c r="A81" s="10">
        <v>3112</v>
      </c>
      <c r="B81">
        <v>80</v>
      </c>
    </row>
    <row r="82" spans="1:2" x14ac:dyDescent="0.2">
      <c r="A82" s="10">
        <v>3114</v>
      </c>
      <c r="B82">
        <v>81</v>
      </c>
    </row>
    <row r="83" spans="1:2" x14ac:dyDescent="0.2">
      <c r="A83" s="10">
        <v>3115</v>
      </c>
      <c r="B83">
        <v>82</v>
      </c>
    </row>
    <row r="84" spans="1:2" x14ac:dyDescent="0.2">
      <c r="A84" s="10">
        <v>3118</v>
      </c>
      <c r="B84">
        <v>83</v>
      </c>
    </row>
    <row r="85" spans="1:2" x14ac:dyDescent="0.2">
      <c r="A85" s="10">
        <v>3119</v>
      </c>
      <c r="B85">
        <v>84</v>
      </c>
    </row>
    <row r="86" spans="1:2" x14ac:dyDescent="0.2">
      <c r="A86" s="10">
        <v>3128</v>
      </c>
      <c r="B86">
        <v>85</v>
      </c>
    </row>
    <row r="87" spans="1:2" x14ac:dyDescent="0.2">
      <c r="A87" s="10">
        <v>3129</v>
      </c>
      <c r="B87">
        <v>86</v>
      </c>
    </row>
    <row r="88" spans="1:2" x14ac:dyDescent="0.2">
      <c r="A88" s="10">
        <v>3130</v>
      </c>
      <c r="B88">
        <v>87</v>
      </c>
    </row>
    <row r="89" spans="1:2" x14ac:dyDescent="0.2">
      <c r="A89" s="10">
        <v>3134</v>
      </c>
      <c r="B89">
        <v>88</v>
      </c>
    </row>
    <row r="90" spans="1:2" x14ac:dyDescent="0.2">
      <c r="A90" s="10">
        <v>3137</v>
      </c>
      <c r="B90">
        <v>89</v>
      </c>
    </row>
    <row r="91" spans="1:2" x14ac:dyDescent="0.2">
      <c r="A91" s="10">
        <v>3142</v>
      </c>
      <c r="B91">
        <v>90</v>
      </c>
    </row>
    <row r="92" spans="1:2" x14ac:dyDescent="0.2">
      <c r="A92" s="10">
        <v>3158</v>
      </c>
      <c r="B92">
        <v>91</v>
      </c>
    </row>
    <row r="93" spans="1:2" x14ac:dyDescent="0.2">
      <c r="A93" s="10">
        <v>3163</v>
      </c>
      <c r="B93">
        <v>92</v>
      </c>
    </row>
    <row r="94" spans="1:2" x14ac:dyDescent="0.2">
      <c r="A94" s="10">
        <v>3177</v>
      </c>
      <c r="B94">
        <v>93</v>
      </c>
    </row>
    <row r="95" spans="1:2" x14ac:dyDescent="0.2">
      <c r="A95" s="10">
        <v>3182</v>
      </c>
      <c r="B95">
        <v>94</v>
      </c>
    </row>
    <row r="96" spans="1:2" x14ac:dyDescent="0.2">
      <c r="A96" s="10">
        <v>3184</v>
      </c>
      <c r="B96">
        <v>95</v>
      </c>
    </row>
    <row r="97" spans="1:2" x14ac:dyDescent="0.2">
      <c r="A97" s="10">
        <v>3186</v>
      </c>
      <c r="B97">
        <v>96</v>
      </c>
    </row>
    <row r="98" spans="1:2" x14ac:dyDescent="0.2">
      <c r="A98" s="10">
        <v>3200</v>
      </c>
      <c r="B98">
        <v>97</v>
      </c>
    </row>
    <row r="99" spans="1:2" x14ac:dyDescent="0.2">
      <c r="A99" s="10">
        <v>3203</v>
      </c>
      <c r="B99">
        <v>98</v>
      </c>
    </row>
    <row r="100" spans="1:2" x14ac:dyDescent="0.2">
      <c r="A100" s="10">
        <v>3211</v>
      </c>
      <c r="B100">
        <v>99</v>
      </c>
    </row>
    <row r="101" spans="1:2" x14ac:dyDescent="0.2">
      <c r="A101" s="10">
        <v>3223</v>
      </c>
      <c r="B101">
        <v>100</v>
      </c>
    </row>
    <row r="102" spans="1:2" x14ac:dyDescent="0.2">
      <c r="A102" s="10">
        <v>3226</v>
      </c>
      <c r="B102">
        <v>101</v>
      </c>
    </row>
    <row r="103" spans="1:2" x14ac:dyDescent="0.2">
      <c r="A103" s="10">
        <v>3249</v>
      </c>
      <c r="B103">
        <v>102</v>
      </c>
    </row>
    <row r="104" spans="1:2" x14ac:dyDescent="0.2">
      <c r="A104" s="10">
        <v>3250</v>
      </c>
      <c r="B104">
        <v>103</v>
      </c>
    </row>
    <row r="105" spans="1:2" x14ac:dyDescent="0.2">
      <c r="A105" s="10">
        <v>3251</v>
      </c>
      <c r="B105">
        <v>104</v>
      </c>
    </row>
    <row r="106" spans="1:2" x14ac:dyDescent="0.2">
      <c r="A106" s="10">
        <v>3267</v>
      </c>
      <c r="B106">
        <v>105</v>
      </c>
    </row>
    <row r="107" spans="1:2" x14ac:dyDescent="0.2">
      <c r="A107" s="10">
        <v>3300</v>
      </c>
      <c r="B107">
        <v>106</v>
      </c>
    </row>
    <row r="108" spans="1:2" x14ac:dyDescent="0.2">
      <c r="A108" s="10">
        <v>3303</v>
      </c>
      <c r="B108">
        <v>107</v>
      </c>
    </row>
    <row r="109" spans="1:2" x14ac:dyDescent="0.2">
      <c r="A109" s="10">
        <v>3307</v>
      </c>
      <c r="B109">
        <v>108</v>
      </c>
    </row>
    <row r="110" spans="1:2" x14ac:dyDescent="0.2">
      <c r="A110" s="10">
        <v>3315</v>
      </c>
      <c r="B110">
        <v>109</v>
      </c>
    </row>
    <row r="111" spans="1:2" x14ac:dyDescent="0.2">
      <c r="A111" s="10">
        <v>3325</v>
      </c>
      <c r="B111">
        <v>110</v>
      </c>
    </row>
    <row r="112" spans="1:2" x14ac:dyDescent="0.2">
      <c r="A112" s="10">
        <v>3342</v>
      </c>
      <c r="B112">
        <v>111</v>
      </c>
    </row>
    <row r="113" spans="1:2" x14ac:dyDescent="0.2">
      <c r="A113" s="10">
        <v>3349</v>
      </c>
      <c r="B113">
        <v>112</v>
      </c>
    </row>
    <row r="114" spans="1:2" x14ac:dyDescent="0.2">
      <c r="A114" s="10">
        <v>3355</v>
      </c>
      <c r="B114">
        <v>113</v>
      </c>
    </row>
    <row r="115" spans="1:2" x14ac:dyDescent="0.2">
      <c r="A115" s="10">
        <v>3356</v>
      </c>
      <c r="B115">
        <v>114</v>
      </c>
    </row>
    <row r="116" spans="1:2" x14ac:dyDescent="0.2">
      <c r="A116" s="10">
        <v>3366</v>
      </c>
      <c r="B116">
        <v>115</v>
      </c>
    </row>
    <row r="117" spans="1:2" x14ac:dyDescent="0.2">
      <c r="A117" s="10">
        <v>3369</v>
      </c>
      <c r="B117">
        <v>116</v>
      </c>
    </row>
    <row r="118" spans="1:2" x14ac:dyDescent="0.2">
      <c r="A118" s="10">
        <v>3371</v>
      </c>
      <c r="B118">
        <v>117</v>
      </c>
    </row>
    <row r="119" spans="1:2" x14ac:dyDescent="0.2">
      <c r="A119" s="10">
        <v>3378</v>
      </c>
      <c r="B119">
        <v>118</v>
      </c>
    </row>
    <row r="120" spans="1:2" x14ac:dyDescent="0.2">
      <c r="A120" s="10">
        <v>3380</v>
      </c>
      <c r="B120">
        <v>119</v>
      </c>
    </row>
    <row r="121" spans="1:2" x14ac:dyDescent="0.2">
      <c r="A121" s="10">
        <v>3381</v>
      </c>
      <c r="B121">
        <v>120</v>
      </c>
    </row>
    <row r="122" spans="1:2" x14ac:dyDescent="0.2">
      <c r="A122" s="10">
        <v>3388</v>
      </c>
      <c r="B122">
        <v>121</v>
      </c>
    </row>
    <row r="123" spans="1:2" x14ac:dyDescent="0.2">
      <c r="A123" s="10">
        <v>3400</v>
      </c>
      <c r="B123">
        <v>122</v>
      </c>
    </row>
    <row r="124" spans="1:2" x14ac:dyDescent="0.2">
      <c r="A124" s="10">
        <v>3401</v>
      </c>
      <c r="B124">
        <v>123</v>
      </c>
    </row>
    <row r="125" spans="1:2" x14ac:dyDescent="0.2">
      <c r="A125" s="10">
        <v>3402</v>
      </c>
      <c r="B125">
        <v>124</v>
      </c>
    </row>
    <row r="126" spans="1:2" x14ac:dyDescent="0.2">
      <c r="A126" s="10">
        <v>3404</v>
      </c>
      <c r="B126">
        <v>125</v>
      </c>
    </row>
    <row r="127" spans="1:2" x14ac:dyDescent="0.2">
      <c r="A127" s="10">
        <v>3409</v>
      </c>
      <c r="B127">
        <v>126</v>
      </c>
    </row>
    <row r="128" spans="1:2" x14ac:dyDescent="0.2">
      <c r="A128" s="10">
        <v>3418</v>
      </c>
      <c r="B128">
        <v>127</v>
      </c>
    </row>
    <row r="129" spans="1:2" x14ac:dyDescent="0.2">
      <c r="A129" s="10">
        <v>3423</v>
      </c>
      <c r="B129">
        <v>128</v>
      </c>
    </row>
    <row r="130" spans="1:2" x14ac:dyDescent="0.2">
      <c r="A130" s="10">
        <v>3431</v>
      </c>
      <c r="B130">
        <v>129</v>
      </c>
    </row>
    <row r="131" spans="1:2" x14ac:dyDescent="0.2">
      <c r="A131" s="10">
        <v>3450</v>
      </c>
      <c r="B131">
        <v>130</v>
      </c>
    </row>
    <row r="132" spans="1:2" x14ac:dyDescent="0.2">
      <c r="A132" s="10">
        <v>3451</v>
      </c>
      <c r="B132">
        <v>131</v>
      </c>
    </row>
    <row r="133" spans="1:2" x14ac:dyDescent="0.2">
      <c r="A133" s="10">
        <v>3457</v>
      </c>
      <c r="B133">
        <v>132</v>
      </c>
    </row>
    <row r="134" spans="1:2" x14ac:dyDescent="0.2">
      <c r="A134" s="10">
        <v>3478</v>
      </c>
      <c r="B134">
        <v>133</v>
      </c>
    </row>
    <row r="135" spans="1:2" x14ac:dyDescent="0.2">
      <c r="A135" s="10">
        <v>3488</v>
      </c>
      <c r="B135">
        <v>134</v>
      </c>
    </row>
    <row r="136" spans="1:2" x14ac:dyDescent="0.2">
      <c r="A136" s="10">
        <v>3490</v>
      </c>
      <c r="B136">
        <v>135</v>
      </c>
    </row>
    <row r="137" spans="1:2" x14ac:dyDescent="0.2">
      <c r="A137" s="10">
        <v>3491</v>
      </c>
      <c r="B137">
        <v>136</v>
      </c>
    </row>
    <row r="138" spans="1:2" x14ac:dyDescent="0.2">
      <c r="A138" s="10">
        <v>3548</v>
      </c>
      <c r="B138">
        <v>137</v>
      </c>
    </row>
  </sheetData>
  <conditionalFormatting sqref="A1:A138">
    <cfRule type="duplicateValues" dxfId="1" priority="2"/>
  </conditionalFormatting>
  <conditionalFormatting sqref="A1">
    <cfRule type="expression" dxfId="0" priority="1" stopIfTrue="1">
      <formula>COUNTIF($A$4:$A$141,A1)&gt;1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Hoja6">
    <pageSetUpPr fitToPage="1"/>
  </sheetPr>
  <dimension ref="A1:N26"/>
  <sheetViews>
    <sheetView topLeftCell="A4" zoomScale="90" zoomScaleNormal="90" workbookViewId="0">
      <selection activeCell="A6" sqref="A6"/>
    </sheetView>
  </sheetViews>
  <sheetFormatPr baseColWidth="10" defaultRowHeight="12.75" x14ac:dyDescent="0.2"/>
  <cols>
    <col min="1" max="1" width="8.7109375" customWidth="1"/>
    <col min="2" max="2" width="19.42578125" customWidth="1"/>
    <col min="3" max="3" width="18.28515625" style="15" customWidth="1"/>
    <col min="4" max="4" width="12.140625" customWidth="1"/>
    <col min="6" max="6" width="10.7109375" customWidth="1"/>
    <col min="7" max="7" width="14.42578125" customWidth="1"/>
    <col min="8" max="8" width="8.5703125" style="9" customWidth="1"/>
    <col min="13" max="13" width="12.85546875" customWidth="1"/>
    <col min="14" max="14" width="49.85546875" customWidth="1"/>
  </cols>
  <sheetData>
    <row r="1" spans="1:14" ht="23.25" x14ac:dyDescent="0.35">
      <c r="A1" s="228" t="s">
        <v>76</v>
      </c>
      <c r="B1" s="228"/>
      <c r="C1" s="228"/>
      <c r="D1" s="228"/>
      <c r="E1" s="228"/>
      <c r="F1" s="228"/>
      <c r="G1" s="228"/>
      <c r="H1" s="228"/>
      <c r="I1" s="228"/>
      <c r="J1" s="228"/>
      <c r="K1" s="228"/>
      <c r="L1" s="228"/>
      <c r="M1" s="228"/>
      <c r="N1" s="228"/>
    </row>
    <row r="2" spans="1:14" ht="31.5" customHeight="1" x14ac:dyDescent="0.3">
      <c r="E2" s="1"/>
      <c r="F2" s="1"/>
      <c r="G2" s="139"/>
      <c r="H2" s="229" t="s">
        <v>48</v>
      </c>
      <c r="I2" s="229"/>
      <c r="J2" s="229"/>
      <c r="K2" s="229"/>
      <c r="L2" s="229"/>
    </row>
    <row r="3" spans="1:14" ht="33.75" customHeight="1" thickBot="1" x14ac:dyDescent="0.3">
      <c r="E3" s="1"/>
      <c r="F3" s="1"/>
      <c r="G3" s="139"/>
      <c r="H3" s="230" t="s">
        <v>92</v>
      </c>
      <c r="I3" s="230"/>
      <c r="J3" s="230"/>
      <c r="K3" s="230"/>
      <c r="L3" s="230"/>
    </row>
    <row r="4" spans="1:14" ht="14.25" thickTop="1" thickBot="1" x14ac:dyDescent="0.25">
      <c r="A4" s="111" t="s">
        <v>0</v>
      </c>
      <c r="B4" s="111" t="s">
        <v>1</v>
      </c>
      <c r="C4" s="134" t="s">
        <v>2</v>
      </c>
      <c r="D4" s="135" t="s">
        <v>3</v>
      </c>
      <c r="E4" s="111" t="s">
        <v>4</v>
      </c>
      <c r="F4" s="111" t="s">
        <v>91</v>
      </c>
      <c r="G4" s="111" t="s">
        <v>75</v>
      </c>
      <c r="H4" s="137" t="s">
        <v>7</v>
      </c>
      <c r="I4" s="138" t="s">
        <v>54</v>
      </c>
      <c r="J4" s="138" t="s">
        <v>26</v>
      </c>
      <c r="K4" s="138" t="s">
        <v>66</v>
      </c>
      <c r="L4" s="138" t="s">
        <v>74</v>
      </c>
      <c r="M4" s="2" t="s">
        <v>101</v>
      </c>
      <c r="N4" s="2" t="s">
        <v>10</v>
      </c>
    </row>
    <row r="5" spans="1:14" ht="17.100000000000001" customHeight="1" thickTop="1" x14ac:dyDescent="0.2">
      <c r="A5" s="113">
        <v>1449</v>
      </c>
      <c r="B5" s="218" t="s">
        <v>522</v>
      </c>
      <c r="C5" s="194"/>
      <c r="D5" s="192"/>
      <c r="E5" s="195">
        <v>8865</v>
      </c>
      <c r="F5" s="192"/>
      <c r="G5" s="192"/>
      <c r="H5" s="193">
        <v>160000</v>
      </c>
      <c r="I5" s="68"/>
      <c r="J5" s="109">
        <f>H5+I5</f>
        <v>160000</v>
      </c>
      <c r="K5" s="140">
        <f>J5*AUTOHOGAR!$M$165%</f>
        <v>12800</v>
      </c>
      <c r="L5" s="141">
        <f>J5-K5</f>
        <v>147200</v>
      </c>
      <c r="M5" s="158"/>
      <c r="N5" s="199"/>
    </row>
    <row r="6" spans="1:14" ht="17.100000000000001" customHeight="1" x14ac:dyDescent="0.2">
      <c r="A6" s="113"/>
      <c r="B6" s="114"/>
      <c r="C6" s="144"/>
      <c r="D6" s="114"/>
      <c r="E6" s="117"/>
      <c r="F6" s="133"/>
      <c r="G6" s="114"/>
      <c r="H6" s="13"/>
      <c r="I6" s="68"/>
      <c r="J6" s="109">
        <f t="shared" ref="J6:J17" si="0">H6+I6</f>
        <v>0</v>
      </c>
      <c r="K6" s="140">
        <f>J6*AUTOHOGAR!$M$165%</f>
        <v>0</v>
      </c>
      <c r="L6" s="141">
        <f t="shared" ref="L6:L17" si="1">J6-K6</f>
        <v>0</v>
      </c>
      <c r="M6" s="158"/>
      <c r="N6" s="104"/>
    </row>
    <row r="7" spans="1:14" ht="17.100000000000001" customHeight="1" x14ac:dyDescent="0.2">
      <c r="A7" s="113"/>
      <c r="B7" s="196"/>
      <c r="C7" s="196"/>
      <c r="D7" s="196"/>
      <c r="E7" s="197"/>
      <c r="F7" s="196"/>
      <c r="G7" s="196"/>
      <c r="H7" s="193"/>
      <c r="I7" s="68"/>
      <c r="J7" s="109">
        <f t="shared" si="0"/>
        <v>0</v>
      </c>
      <c r="K7" s="140">
        <f>J7*AUTOHOGAR!$M$165%</f>
        <v>0</v>
      </c>
      <c r="L7" s="141">
        <f t="shared" si="1"/>
        <v>0</v>
      </c>
      <c r="M7" s="158"/>
      <c r="N7" s="200"/>
    </row>
    <row r="8" spans="1:14" ht="17.100000000000001" customHeight="1" x14ac:dyDescent="0.2">
      <c r="A8" s="113"/>
      <c r="B8" s="145"/>
      <c r="C8" s="145"/>
      <c r="D8" s="145"/>
      <c r="E8" s="198"/>
      <c r="F8" s="103"/>
      <c r="G8" s="103"/>
      <c r="H8" s="13"/>
      <c r="I8" s="68"/>
      <c r="J8" s="109">
        <f t="shared" si="0"/>
        <v>0</v>
      </c>
      <c r="K8" s="140">
        <f>J8*AUTOHOGAR!$M$165%</f>
        <v>0</v>
      </c>
      <c r="L8" s="141">
        <f t="shared" si="1"/>
        <v>0</v>
      </c>
      <c r="M8" s="158"/>
      <c r="N8" s="104"/>
    </row>
    <row r="9" spans="1:14" ht="17.100000000000001" customHeight="1" x14ac:dyDescent="0.2">
      <c r="A9" s="113"/>
      <c r="B9" s="114"/>
      <c r="C9" s="144"/>
      <c r="D9" s="114"/>
      <c r="E9" s="117"/>
      <c r="F9" s="133"/>
      <c r="G9" s="114"/>
      <c r="H9" s="13"/>
      <c r="I9" s="68"/>
      <c r="J9" s="109">
        <f t="shared" si="0"/>
        <v>0</v>
      </c>
      <c r="K9" s="140">
        <f>J9*AUTOHOGAR!$M$165%</f>
        <v>0</v>
      </c>
      <c r="L9" s="141">
        <f t="shared" si="1"/>
        <v>0</v>
      </c>
      <c r="M9" s="158"/>
      <c r="N9" s="104"/>
    </row>
    <row r="10" spans="1:14" ht="17.100000000000001" customHeight="1" x14ac:dyDescent="0.2">
      <c r="A10" s="113"/>
      <c r="B10" s="103"/>
      <c r="C10" s="103"/>
      <c r="D10" s="103"/>
      <c r="E10" s="119"/>
      <c r="F10" s="103"/>
      <c r="G10" s="103"/>
      <c r="H10" s="13"/>
      <c r="I10" s="68"/>
      <c r="J10" s="109">
        <f t="shared" si="0"/>
        <v>0</v>
      </c>
      <c r="K10" s="140">
        <f>J10*AUTOHOGAR!$M$165%</f>
        <v>0</v>
      </c>
      <c r="L10" s="141">
        <f t="shared" si="1"/>
        <v>0</v>
      </c>
      <c r="M10" s="158"/>
      <c r="N10" s="104"/>
    </row>
    <row r="11" spans="1:14" ht="17.100000000000001" customHeight="1" x14ac:dyDescent="0.2">
      <c r="A11" s="113"/>
      <c r="B11" s="145"/>
      <c r="C11" s="145"/>
      <c r="D11" s="145"/>
      <c r="E11" s="119"/>
      <c r="F11" s="103"/>
      <c r="G11" s="103"/>
      <c r="H11" s="13"/>
      <c r="I11" s="68"/>
      <c r="J11" s="109">
        <f t="shared" si="0"/>
        <v>0</v>
      </c>
      <c r="K11" s="140">
        <f>J11*AUTOHOGAR!$M$165%</f>
        <v>0</v>
      </c>
      <c r="L11" s="141">
        <f t="shared" si="1"/>
        <v>0</v>
      </c>
      <c r="M11" s="158"/>
      <c r="N11" s="104"/>
    </row>
    <row r="12" spans="1:14" ht="17.100000000000001" customHeight="1" x14ac:dyDescent="0.2">
      <c r="A12" s="157"/>
      <c r="B12" s="145"/>
      <c r="C12" s="145"/>
      <c r="D12" s="145"/>
      <c r="E12" s="119"/>
      <c r="F12" s="103"/>
      <c r="G12" s="103"/>
      <c r="H12" s="13"/>
      <c r="I12" s="68"/>
      <c r="J12" s="109">
        <f t="shared" si="0"/>
        <v>0</v>
      </c>
      <c r="K12" s="140">
        <f>J12*AUTOHOGAR!$M$165%</f>
        <v>0</v>
      </c>
      <c r="L12" s="141">
        <f t="shared" si="1"/>
        <v>0</v>
      </c>
      <c r="M12" s="158"/>
      <c r="N12" s="104"/>
    </row>
    <row r="13" spans="1:14" ht="17.100000000000001" customHeight="1" x14ac:dyDescent="0.2">
      <c r="A13" s="113"/>
      <c r="B13" s="133"/>
      <c r="C13" s="144"/>
      <c r="D13" s="133"/>
      <c r="E13" s="117"/>
      <c r="F13" s="114"/>
      <c r="G13" s="114"/>
      <c r="H13" s="13"/>
      <c r="I13" s="68"/>
      <c r="J13" s="109">
        <f t="shared" si="0"/>
        <v>0</v>
      </c>
      <c r="K13" s="140">
        <f>J13*AUTOHOGAR!$M$165%</f>
        <v>0</v>
      </c>
      <c r="L13" s="141">
        <f t="shared" si="1"/>
        <v>0</v>
      </c>
      <c r="M13" s="158"/>
      <c r="N13" s="104"/>
    </row>
    <row r="14" spans="1:14" ht="17.100000000000001" customHeight="1" x14ac:dyDescent="0.2">
      <c r="A14" s="113"/>
      <c r="B14" s="145"/>
      <c r="C14" s="145"/>
      <c r="D14" s="145"/>
      <c r="E14" s="119"/>
      <c r="F14" s="103"/>
      <c r="G14" s="103"/>
      <c r="H14" s="13"/>
      <c r="I14" s="68"/>
      <c r="J14" s="109">
        <f t="shared" si="0"/>
        <v>0</v>
      </c>
      <c r="K14" s="140">
        <f>J14*AUTOHOGAR!$M$165%</f>
        <v>0</v>
      </c>
      <c r="L14" s="141">
        <f t="shared" si="1"/>
        <v>0</v>
      </c>
      <c r="M14" s="158"/>
      <c r="N14" s="104"/>
    </row>
    <row r="15" spans="1:14" ht="17.100000000000001" customHeight="1" x14ac:dyDescent="0.2">
      <c r="A15" s="113"/>
      <c r="B15" s="145"/>
      <c r="C15" s="145"/>
      <c r="D15" s="145"/>
      <c r="E15" s="119"/>
      <c r="F15" s="103"/>
      <c r="G15" s="103"/>
      <c r="H15" s="13"/>
      <c r="I15" s="68"/>
      <c r="J15" s="109">
        <f t="shared" si="0"/>
        <v>0</v>
      </c>
      <c r="K15" s="140">
        <f>J15*AUTOHOGAR!$M$165%</f>
        <v>0</v>
      </c>
      <c r="L15" s="141">
        <f t="shared" si="1"/>
        <v>0</v>
      </c>
      <c r="M15" s="158"/>
      <c r="N15" s="104"/>
    </row>
    <row r="16" spans="1:14" ht="17.100000000000001" customHeight="1" x14ac:dyDescent="0.2">
      <c r="A16" s="113"/>
      <c r="B16" s="145"/>
      <c r="C16" s="145"/>
      <c r="D16" s="145"/>
      <c r="E16" s="119"/>
      <c r="F16" s="103"/>
      <c r="G16" s="103"/>
      <c r="H16" s="13"/>
      <c r="I16" s="68"/>
      <c r="J16" s="109">
        <f t="shared" si="0"/>
        <v>0</v>
      </c>
      <c r="K16" s="140">
        <f>J16*AUTOHOGAR!$M$165%</f>
        <v>0</v>
      </c>
      <c r="L16" s="141">
        <f t="shared" si="1"/>
        <v>0</v>
      </c>
      <c r="M16" s="158"/>
      <c r="N16" s="104"/>
    </row>
    <row r="17" spans="1:14" ht="17.100000000000001" customHeight="1" x14ac:dyDescent="0.2">
      <c r="A17" s="113"/>
      <c r="B17" s="145"/>
      <c r="C17" s="145"/>
      <c r="D17" s="145"/>
      <c r="E17" s="119"/>
      <c r="F17" s="103"/>
      <c r="G17" s="103"/>
      <c r="H17" s="13"/>
      <c r="I17" s="68"/>
      <c r="J17" s="109">
        <f t="shared" si="0"/>
        <v>0</v>
      </c>
      <c r="K17" s="140">
        <f>J17*AUTOHOGAR!$M$165%</f>
        <v>0</v>
      </c>
      <c r="L17" s="141">
        <f t="shared" si="1"/>
        <v>0</v>
      </c>
      <c r="M17" s="158"/>
      <c r="N17" s="104"/>
    </row>
    <row r="18" spans="1:14" ht="17.100000000000001" customHeight="1" x14ac:dyDescent="0.2">
      <c r="A18" s="157"/>
      <c r="B18" s="145"/>
      <c r="C18" s="145"/>
      <c r="D18" s="145"/>
      <c r="E18" s="119"/>
      <c r="F18" s="103"/>
      <c r="G18" s="103"/>
      <c r="H18" s="13"/>
      <c r="I18" s="68"/>
      <c r="J18" s="109">
        <f t="shared" ref="J18:J23" si="2">H18+I18</f>
        <v>0</v>
      </c>
      <c r="K18" s="140">
        <f>J18*AUTOHOGAR!$M$165%</f>
        <v>0</v>
      </c>
      <c r="L18" s="141">
        <f t="shared" ref="L18:L23" si="3">J18-K18</f>
        <v>0</v>
      </c>
      <c r="M18" s="158"/>
      <c r="N18" s="104"/>
    </row>
    <row r="19" spans="1:14" ht="17.100000000000001" customHeight="1" x14ac:dyDescent="0.2">
      <c r="A19" s="157"/>
      <c r="B19" s="145"/>
      <c r="C19" s="145"/>
      <c r="D19" s="145"/>
      <c r="E19" s="119"/>
      <c r="F19" s="103"/>
      <c r="G19" s="103"/>
      <c r="H19" s="13"/>
      <c r="I19" s="68"/>
      <c r="J19" s="109">
        <f t="shared" si="2"/>
        <v>0</v>
      </c>
      <c r="K19" s="140">
        <f>J19*AUTOHOGAR!$M$165%</f>
        <v>0</v>
      </c>
      <c r="L19" s="141">
        <f t="shared" si="3"/>
        <v>0</v>
      </c>
      <c r="M19" s="158"/>
      <c r="N19" s="104"/>
    </row>
    <row r="20" spans="1:14" ht="17.100000000000001" customHeight="1" x14ac:dyDescent="0.2">
      <c r="A20" s="157"/>
      <c r="B20" s="145"/>
      <c r="C20" s="145"/>
      <c r="D20" s="145"/>
      <c r="E20" s="119"/>
      <c r="F20" s="103"/>
      <c r="G20" s="103"/>
      <c r="H20" s="13"/>
      <c r="I20" s="68"/>
      <c r="J20" s="109">
        <f t="shared" si="2"/>
        <v>0</v>
      </c>
      <c r="K20" s="140">
        <f>J20*AUTOHOGAR!$M$165%</f>
        <v>0</v>
      </c>
      <c r="L20" s="141">
        <f t="shared" si="3"/>
        <v>0</v>
      </c>
      <c r="M20" s="158"/>
      <c r="N20" s="104"/>
    </row>
    <row r="21" spans="1:14" ht="17.100000000000001" customHeight="1" x14ac:dyDescent="0.2">
      <c r="A21" s="157"/>
      <c r="B21" s="145"/>
      <c r="C21" s="145"/>
      <c r="D21" s="145"/>
      <c r="E21" s="119"/>
      <c r="F21" s="103"/>
      <c r="G21" s="103"/>
      <c r="H21" s="13"/>
      <c r="I21" s="68"/>
      <c r="J21" s="109">
        <f t="shared" si="2"/>
        <v>0</v>
      </c>
      <c r="K21" s="140">
        <f>J21*AUTOHOGAR!$M$165%</f>
        <v>0</v>
      </c>
      <c r="L21" s="141">
        <f t="shared" si="3"/>
        <v>0</v>
      </c>
      <c r="M21" s="158"/>
      <c r="N21" s="104"/>
    </row>
    <row r="22" spans="1:14" ht="17.100000000000001" customHeight="1" x14ac:dyDescent="0.2">
      <c r="A22" s="157"/>
      <c r="B22" s="145"/>
      <c r="C22" s="145"/>
      <c r="D22" s="145"/>
      <c r="E22" s="119"/>
      <c r="F22" s="103"/>
      <c r="G22" s="103"/>
      <c r="H22" s="13"/>
      <c r="I22" s="68"/>
      <c r="J22" s="109">
        <f t="shared" si="2"/>
        <v>0</v>
      </c>
      <c r="K22" s="140">
        <f>J22*AUTOHOGAR!$M$165%</f>
        <v>0</v>
      </c>
      <c r="L22" s="141">
        <f t="shared" si="3"/>
        <v>0</v>
      </c>
      <c r="M22" s="158"/>
      <c r="N22" s="104"/>
    </row>
    <row r="23" spans="1:14" ht="17.100000000000001" customHeight="1" x14ac:dyDescent="0.2">
      <c r="A23" s="157"/>
      <c r="B23" s="145"/>
      <c r="C23" s="145"/>
      <c r="D23" s="145"/>
      <c r="E23" s="119"/>
      <c r="F23" s="103"/>
      <c r="G23" s="103"/>
      <c r="H23" s="13"/>
      <c r="I23" s="68"/>
      <c r="J23" s="109">
        <f t="shared" si="2"/>
        <v>0</v>
      </c>
      <c r="K23" s="140">
        <f>J23*AUTOHOGAR!$M$165%</f>
        <v>0</v>
      </c>
      <c r="L23" s="141">
        <f t="shared" si="3"/>
        <v>0</v>
      </c>
      <c r="M23" s="158"/>
      <c r="N23" s="104"/>
    </row>
    <row r="24" spans="1:14" ht="17.100000000000001" customHeight="1" x14ac:dyDescent="0.2">
      <c r="A24" s="103"/>
      <c r="B24" s="145"/>
      <c r="C24" s="145"/>
      <c r="D24" s="145"/>
      <c r="E24" s="119"/>
      <c r="F24" s="103"/>
      <c r="G24" s="103"/>
      <c r="H24" s="13"/>
      <c r="I24" s="68"/>
      <c r="J24" s="109">
        <f>H24+I24</f>
        <v>0</v>
      </c>
      <c r="K24" s="140">
        <f>J24*AUTOHOGAR!$M$165%</f>
        <v>0</v>
      </c>
      <c r="L24" s="141">
        <f>J24-K24</f>
        <v>0</v>
      </c>
      <c r="M24" s="158"/>
      <c r="N24" s="104"/>
    </row>
    <row r="25" spans="1:14" ht="17.100000000000001" customHeight="1" x14ac:dyDescent="0.2">
      <c r="E25" s="16"/>
      <c r="H25" s="118"/>
      <c r="I25" s="67"/>
      <c r="J25" s="67"/>
      <c r="K25" s="67"/>
      <c r="L25" s="67"/>
      <c r="M25" s="9"/>
      <c r="N25" s="9"/>
    </row>
    <row r="26" spans="1:14" ht="17.100000000000001" customHeight="1" x14ac:dyDescent="0.2">
      <c r="A26" s="17">
        <f>COUNTA(A5:A24)</f>
        <v>1</v>
      </c>
      <c r="C26"/>
      <c r="E26" s="18"/>
      <c r="F26" s="19"/>
      <c r="G26" s="19"/>
      <c r="H26" s="97">
        <f>SUM(H5:H25)</f>
        <v>160000</v>
      </c>
      <c r="I26" s="96">
        <f>SUM(I5:I25)</f>
        <v>0</v>
      </c>
      <c r="J26" s="96">
        <f>SUM(J5:J25)</f>
        <v>160000</v>
      </c>
      <c r="K26" s="141">
        <f>SUM(K5:K25)</f>
        <v>12800</v>
      </c>
      <c r="L26" s="141">
        <f>SUM(L5:L25)</f>
        <v>147200</v>
      </c>
      <c r="M26" s="158"/>
      <c r="N26" s="104"/>
    </row>
  </sheetData>
  <sheetProtection password="CCE9" sheet="1" objects="1" scenarios="1"/>
  <mergeCells count="3">
    <mergeCell ref="A1:N1"/>
    <mergeCell ref="H2:L2"/>
    <mergeCell ref="H3:L3"/>
  </mergeCells>
  <phoneticPr fontId="9" type="noConversion"/>
  <conditionalFormatting sqref="A4 A25:A65536">
    <cfRule type="expression" dxfId="3" priority="25" stopIfTrue="1">
      <formula>COUNTIF($A$5:$A$24,A4)&gt;1</formula>
    </cfRule>
  </conditionalFormatting>
  <conditionalFormatting sqref="B26:D26">
    <cfRule type="expression" dxfId="2" priority="24" stopIfTrue="1">
      <formula>COUNTIF(#REF!,B26)&gt;1</formula>
    </cfRule>
  </conditionalFormatting>
  <pageMargins left="0.3" right="0.15" top="0.39" bottom="0.51" header="0" footer="0"/>
  <pageSetup paperSize="9" scale="52" orientation="landscape" verticalDpi="300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5"/>
  <sheetViews>
    <sheetView workbookViewId="0">
      <selection activeCell="D20" sqref="D20"/>
    </sheetView>
  </sheetViews>
  <sheetFormatPr baseColWidth="10" defaultRowHeight="12.75" x14ac:dyDescent="0.2"/>
  <cols>
    <col min="1" max="1" width="17.85546875" customWidth="1"/>
    <col min="2" max="2" width="20" bestFit="1" customWidth="1"/>
  </cols>
  <sheetData>
    <row r="1" spans="1:2" x14ac:dyDescent="0.2">
      <c r="A1" s="177" t="s">
        <v>1</v>
      </c>
      <c r="B1" t="s">
        <v>118</v>
      </c>
    </row>
    <row r="3" spans="1:2" x14ac:dyDescent="0.2">
      <c r="A3" s="177" t="s">
        <v>115</v>
      </c>
      <c r="B3" t="s">
        <v>128</v>
      </c>
    </row>
    <row r="4" spans="1:2" x14ac:dyDescent="0.2">
      <c r="A4" s="176" t="s">
        <v>116</v>
      </c>
      <c r="B4">
        <v>476000</v>
      </c>
    </row>
    <row r="5" spans="1:2" x14ac:dyDescent="0.2">
      <c r="A5" s="176" t="s">
        <v>117</v>
      </c>
      <c r="B5">
        <v>476000</v>
      </c>
    </row>
  </sheetData>
  <phoneticPr fontId="25" type="noConversion"/>
  <pageMargins left="0.7" right="0.7" top="0.75" bottom="0.75" header="0.3" footer="0.3"/>
  <pageSetup paperSize="9" orientation="portrait" horizontalDpi="300" verticalDpi="0" copies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3:V169"/>
  <sheetViews>
    <sheetView zoomScale="70" zoomScaleNormal="70" workbookViewId="0">
      <selection activeCell="F56" sqref="F56"/>
    </sheetView>
  </sheetViews>
  <sheetFormatPr baseColWidth="10" defaultColWidth="21.7109375" defaultRowHeight="12.75" x14ac:dyDescent="0.2"/>
  <cols>
    <col min="1" max="1" width="38" bestFit="1" customWidth="1"/>
    <col min="2" max="2" width="23" customWidth="1"/>
    <col min="3" max="3" width="13.140625" bestFit="1" customWidth="1"/>
    <col min="4" max="16" width="10.140625" customWidth="1"/>
    <col min="17" max="17" width="11.140625" customWidth="1"/>
    <col min="18" max="19" width="10.140625" customWidth="1"/>
    <col min="20" max="20" width="13.140625" customWidth="1"/>
    <col min="21" max="21" width="19.140625" customWidth="1"/>
    <col min="22" max="22" width="25.5703125" customWidth="1"/>
    <col min="23" max="23" width="24.5703125" customWidth="1"/>
    <col min="24" max="24" width="24" customWidth="1"/>
    <col min="25" max="25" width="26.7109375" customWidth="1"/>
    <col min="26" max="26" width="23.42578125" customWidth="1"/>
    <col min="27" max="27" width="29.140625" customWidth="1"/>
    <col min="28" max="28" width="31.5703125" customWidth="1"/>
    <col min="29" max="29" width="24.5703125" customWidth="1"/>
    <col min="30" max="30" width="20.7109375" customWidth="1"/>
    <col min="31" max="31" width="22.140625" customWidth="1"/>
    <col min="32" max="32" width="25.42578125" customWidth="1"/>
    <col min="33" max="33" width="26" customWidth="1"/>
    <col min="34" max="34" width="27.42578125" customWidth="1"/>
    <col min="35" max="35" width="26.85546875" customWidth="1"/>
    <col min="36" max="36" width="26.5703125" customWidth="1"/>
    <col min="37" max="37" width="25.42578125" customWidth="1"/>
    <col min="38" max="38" width="24.85546875" customWidth="1"/>
    <col min="39" max="39" width="39.5703125" bestFit="1" customWidth="1"/>
    <col min="40" max="40" width="14.28515625" customWidth="1"/>
    <col min="41" max="41" width="28.7109375" customWidth="1"/>
    <col min="42" max="42" width="29.28515625" customWidth="1"/>
    <col min="43" max="43" width="31.28515625" customWidth="1"/>
    <col min="44" max="44" width="28.5703125" customWidth="1"/>
    <col min="45" max="45" width="30.140625" customWidth="1"/>
    <col min="46" max="46" width="32.28515625" customWidth="1"/>
    <col min="47" max="47" width="28.28515625" customWidth="1"/>
    <col min="48" max="48" width="32.85546875" customWidth="1"/>
    <col min="49" max="49" width="28" customWidth="1"/>
    <col min="50" max="50" width="23.7109375" customWidth="1"/>
    <col min="51" max="51" width="25.85546875" customWidth="1"/>
    <col min="52" max="52" width="29.7109375" customWidth="1"/>
    <col min="53" max="53" width="24.28515625" customWidth="1"/>
    <col min="54" max="54" width="24.140625" customWidth="1"/>
    <col min="55" max="55" width="24.5703125" customWidth="1"/>
    <col min="56" max="56" width="28.28515625" customWidth="1"/>
    <col min="57" max="57" width="27.140625" customWidth="1"/>
    <col min="58" max="58" width="30.7109375" customWidth="1"/>
    <col min="59" max="59" width="20.5703125" customWidth="1"/>
    <col min="60" max="60" width="20.85546875" customWidth="1"/>
    <col min="61" max="61" width="23.85546875" customWidth="1"/>
    <col min="62" max="62" width="35" customWidth="1"/>
    <col min="63" max="63" width="26.5703125" customWidth="1"/>
    <col min="64" max="64" width="31.85546875" customWidth="1"/>
    <col min="65" max="65" width="27.5703125" customWidth="1"/>
    <col min="66" max="66" width="28.42578125" customWidth="1"/>
    <col min="67" max="67" width="27.140625" customWidth="1"/>
    <col min="68" max="68" width="24.28515625" customWidth="1"/>
    <col min="69" max="69" width="25.140625" customWidth="1"/>
    <col min="70" max="70" width="18.5703125" customWidth="1"/>
    <col min="71" max="71" width="24" customWidth="1"/>
    <col min="72" max="72" width="26.140625" customWidth="1"/>
    <col min="73" max="73" width="23.85546875" customWidth="1"/>
    <col min="74" max="74" width="24.7109375" customWidth="1"/>
    <col min="75" max="75" width="17.140625" customWidth="1"/>
    <col min="76" max="76" width="20" customWidth="1"/>
    <col min="77" max="77" width="23" customWidth="1"/>
    <col min="78" max="78" width="26.42578125" customWidth="1"/>
    <col min="79" max="79" width="22" customWidth="1"/>
    <col min="80" max="80" width="16.85546875" customWidth="1"/>
    <col min="81" max="81" width="23.7109375" customWidth="1"/>
    <col min="82" max="82" width="28.140625" customWidth="1"/>
    <col min="83" max="83" width="30.7109375" customWidth="1"/>
    <col min="84" max="84" width="25" customWidth="1"/>
    <col min="85" max="85" width="22.140625" customWidth="1"/>
    <col min="86" max="86" width="19.85546875" customWidth="1"/>
    <col min="87" max="87" width="19.5703125" customWidth="1"/>
    <col min="88" max="88" width="19.85546875" customWidth="1"/>
    <col min="89" max="89" width="20.85546875" customWidth="1"/>
    <col min="90" max="90" width="28.85546875" customWidth="1"/>
    <col min="91" max="91" width="25.42578125" customWidth="1"/>
    <col min="92" max="92" width="22.7109375" customWidth="1"/>
    <col min="93" max="93" width="25.5703125" customWidth="1"/>
    <col min="94" max="94" width="26.5703125" customWidth="1"/>
    <col min="95" max="95" width="31.7109375" customWidth="1"/>
    <col min="96" max="96" width="26.5703125" customWidth="1"/>
    <col min="97" max="97" width="21.7109375" customWidth="1"/>
    <col min="98" max="98" width="26.85546875" customWidth="1"/>
    <col min="99" max="99" width="29.42578125" customWidth="1"/>
    <col min="100" max="100" width="21.85546875" customWidth="1"/>
    <col min="101" max="101" width="23.5703125" customWidth="1"/>
    <col min="102" max="102" width="24.5703125" customWidth="1"/>
    <col min="103" max="103" width="24.140625" customWidth="1"/>
    <col min="104" max="104" width="28" customWidth="1"/>
    <col min="105" max="105" width="29.85546875" customWidth="1"/>
    <col min="106" max="106" width="33" customWidth="1"/>
    <col min="107" max="107" width="24.7109375" customWidth="1"/>
    <col min="108" max="108" width="37.42578125" customWidth="1"/>
    <col min="109" max="109" width="37.5703125" customWidth="1"/>
    <col min="110" max="110" width="28.5703125" customWidth="1"/>
    <col min="111" max="111" width="25.85546875" customWidth="1"/>
    <col min="112" max="112" width="23.28515625" customWidth="1"/>
    <col min="113" max="113" width="32.7109375" customWidth="1"/>
    <col min="114" max="114" width="34.7109375" customWidth="1"/>
    <col min="115" max="115" width="22.28515625" customWidth="1"/>
    <col min="116" max="116" width="24.140625" customWidth="1"/>
    <col min="117" max="117" width="33.5703125" customWidth="1"/>
    <col min="118" max="118" width="25.7109375" customWidth="1"/>
    <col min="119" max="119" width="22.85546875" customWidth="1"/>
    <col min="120" max="120" width="30" customWidth="1"/>
    <col min="121" max="121" width="20" customWidth="1"/>
    <col min="122" max="122" width="32.28515625" customWidth="1"/>
    <col min="123" max="123" width="28.5703125" customWidth="1"/>
    <col min="124" max="124" width="22.7109375" customWidth="1"/>
    <col min="125" max="125" width="33.140625" customWidth="1"/>
    <col min="126" max="126" width="35.28515625" customWidth="1"/>
    <col min="127" max="127" width="18" customWidth="1"/>
    <col min="128" max="128" width="25.85546875" customWidth="1"/>
    <col min="129" max="129" width="30.42578125" customWidth="1"/>
    <col min="130" max="130" width="28.7109375" customWidth="1"/>
    <col min="131" max="131" width="24.42578125" customWidth="1"/>
    <col min="132" max="132" width="26.7109375" customWidth="1"/>
    <col min="133" max="133" width="23.5703125" customWidth="1"/>
    <col min="134" max="134" width="14" customWidth="1"/>
    <col min="135" max="135" width="20.140625" customWidth="1"/>
    <col min="136" max="136" width="23.5703125" customWidth="1"/>
    <col min="137" max="137" width="23.28515625" customWidth="1"/>
    <col min="138" max="138" width="24" customWidth="1"/>
    <col min="139" max="139" width="27.7109375" customWidth="1"/>
    <col min="140" max="140" width="29.140625" customWidth="1"/>
    <col min="141" max="141" width="27.140625" customWidth="1"/>
    <col min="142" max="142" width="29.28515625" customWidth="1"/>
    <col min="143" max="143" width="24" customWidth="1"/>
    <col min="144" max="144" width="25.85546875" customWidth="1"/>
    <col min="145" max="145" width="23.28515625" customWidth="1"/>
    <col min="146" max="146" width="32.7109375" customWidth="1"/>
    <col min="147" max="147" width="28.28515625" customWidth="1"/>
    <col min="148" max="148" width="27.7109375" customWidth="1"/>
    <col min="149" max="149" width="33.42578125" customWidth="1"/>
    <col min="150" max="150" width="25.140625" customWidth="1"/>
    <col min="151" max="151" width="26.7109375" customWidth="1"/>
    <col min="152" max="152" width="33.140625" customWidth="1"/>
    <col min="153" max="153" width="35.140625" customWidth="1"/>
    <col min="154" max="154" width="28.7109375" customWidth="1"/>
    <col min="155" max="155" width="23.42578125" customWidth="1"/>
    <col min="156" max="156" width="23.7109375" customWidth="1"/>
    <col min="157" max="157" width="24.42578125" customWidth="1"/>
    <col min="158" max="158" width="23.42578125" customWidth="1"/>
    <col min="159" max="159" width="29.7109375" customWidth="1"/>
    <col min="160" max="160" width="23" customWidth="1"/>
    <col min="161" max="161" width="23.85546875" customWidth="1"/>
    <col min="162" max="162" width="36.7109375" customWidth="1"/>
    <col min="163" max="164" width="24.42578125" customWidth="1"/>
    <col min="165" max="165" width="23.140625" customWidth="1"/>
    <col min="166" max="166" width="18" customWidth="1"/>
    <col min="167" max="167" width="11.85546875" customWidth="1"/>
    <col min="168" max="168" width="32.42578125" customWidth="1"/>
    <col min="169" max="169" width="28.85546875" customWidth="1"/>
    <col min="170" max="170" width="27.5703125" customWidth="1"/>
    <col min="171" max="171" width="22.85546875" customWidth="1"/>
    <col min="172" max="172" width="23.5703125" customWidth="1"/>
    <col min="173" max="173" width="25.5703125" customWidth="1"/>
    <col min="174" max="174" width="21.42578125" customWidth="1"/>
    <col min="175" max="175" width="28" customWidth="1"/>
    <col min="176" max="176" width="30.42578125" customWidth="1"/>
    <col min="177" max="177" width="39" customWidth="1"/>
    <col min="178" max="178" width="29.7109375" customWidth="1"/>
    <col min="179" max="179" width="28.28515625" customWidth="1"/>
    <col min="180" max="180" width="21.85546875" customWidth="1"/>
    <col min="181" max="181" width="26.7109375" customWidth="1"/>
    <col min="182" max="182" width="23" customWidth="1"/>
    <col min="183" max="183" width="26.7109375" customWidth="1"/>
    <col min="184" max="184" width="24" customWidth="1"/>
    <col min="185" max="185" width="23.5703125" customWidth="1"/>
    <col min="186" max="186" width="28" customWidth="1"/>
    <col min="187" max="187" width="29.85546875" customWidth="1"/>
    <col min="188" max="188" width="23.85546875" customWidth="1"/>
    <col min="189" max="189" width="17.28515625" customWidth="1"/>
    <col min="190" max="190" width="33.5703125" customWidth="1"/>
    <col min="191" max="191" width="25.85546875" customWidth="1"/>
    <col min="192" max="192" width="27.85546875" customWidth="1"/>
    <col min="193" max="193" width="30.5703125" customWidth="1"/>
    <col min="194" max="194" width="28.85546875" customWidth="1"/>
    <col min="195" max="195" width="28.42578125" customWidth="1"/>
    <col min="196" max="196" width="27.140625" customWidth="1"/>
    <col min="197" max="197" width="25.5703125" customWidth="1"/>
    <col min="198" max="198" width="29.7109375" customWidth="1"/>
    <col min="199" max="199" width="24.140625" customWidth="1"/>
    <col min="200" max="200" width="24.7109375" customWidth="1"/>
    <col min="201" max="202" width="24.140625" customWidth="1"/>
    <col min="203" max="203" width="23.5703125" customWidth="1"/>
    <col min="204" max="204" width="34.28515625" customWidth="1"/>
    <col min="205" max="205" width="27.140625" customWidth="1"/>
    <col min="206" max="206" width="22.85546875" customWidth="1"/>
    <col min="207" max="207" width="26.7109375" customWidth="1"/>
    <col min="208" max="208" width="23.7109375" customWidth="1"/>
    <col min="209" max="209" width="24.85546875" customWidth="1"/>
    <col min="210" max="210" width="31.140625" customWidth="1"/>
    <col min="211" max="211" width="32" customWidth="1"/>
    <col min="212" max="212" width="26.5703125" customWidth="1"/>
    <col min="213" max="213" width="25.85546875" customWidth="1"/>
    <col min="214" max="214" width="26" customWidth="1"/>
    <col min="215" max="215" width="23.42578125" customWidth="1"/>
    <col min="216" max="216" width="24.7109375" customWidth="1"/>
    <col min="217" max="217" width="34.85546875" customWidth="1"/>
    <col min="218" max="218" width="20.85546875" customWidth="1"/>
    <col min="219" max="219" width="12.5703125" customWidth="1"/>
    <col min="220" max="220" width="26" customWidth="1"/>
    <col min="221" max="221" width="27.7109375" customWidth="1"/>
    <col min="222" max="222" width="25.28515625" customWidth="1"/>
    <col min="223" max="223" width="26.42578125" customWidth="1"/>
    <col min="224" max="224" width="32.42578125" customWidth="1"/>
    <col min="225" max="225" width="23.42578125" customWidth="1"/>
    <col min="226" max="226" width="25.42578125" customWidth="1"/>
    <col min="227" max="227" width="27.28515625" customWidth="1"/>
    <col min="228" max="228" width="31.28515625" customWidth="1"/>
    <col min="229" max="229" width="21.5703125" customWidth="1"/>
    <col min="230" max="230" width="34" customWidth="1"/>
    <col min="231" max="231" width="22" customWidth="1"/>
    <col min="232" max="232" width="26.140625" customWidth="1"/>
    <col min="233" max="233" width="24.42578125" customWidth="1"/>
    <col min="234" max="234" width="29.42578125" customWidth="1"/>
    <col min="235" max="235" width="25.7109375" customWidth="1"/>
    <col min="236" max="236" width="27.28515625" customWidth="1"/>
    <col min="237" max="237" width="37.42578125" customWidth="1"/>
    <col min="238" max="238" width="17.42578125" customWidth="1"/>
    <col min="239" max="239" width="28.42578125" customWidth="1"/>
    <col min="240" max="240" width="20.85546875" customWidth="1"/>
    <col min="241" max="241" width="22.42578125" customWidth="1"/>
    <col min="242" max="242" width="36.140625" customWidth="1"/>
    <col min="243" max="243" width="27" customWidth="1"/>
    <col min="244" max="244" width="37.5703125" customWidth="1"/>
    <col min="245" max="245" width="24" customWidth="1"/>
    <col min="246" max="246" width="23.140625" customWidth="1"/>
    <col min="247" max="247" width="24.7109375" customWidth="1"/>
    <col min="248" max="248" width="32.28515625" customWidth="1"/>
    <col min="249" max="249" width="26.42578125" customWidth="1"/>
    <col min="250" max="250" width="29.140625" customWidth="1"/>
    <col min="251" max="251" width="27.140625" customWidth="1"/>
    <col min="252" max="252" width="31" customWidth="1"/>
    <col min="253" max="253" width="23.85546875" customWidth="1"/>
    <col min="254" max="254" width="27.140625" customWidth="1"/>
    <col min="255" max="255" width="25.28515625" customWidth="1"/>
  </cols>
  <sheetData>
    <row r="3" spans="1:22" x14ac:dyDescent="0.2">
      <c r="A3" s="177" t="s">
        <v>128</v>
      </c>
      <c r="B3" s="177" t="s">
        <v>114</v>
      </c>
    </row>
    <row r="4" spans="1:22" x14ac:dyDescent="0.2">
      <c r="A4" s="177" t="s">
        <v>115</v>
      </c>
      <c r="B4" t="s">
        <v>116</v>
      </c>
      <c r="C4" t="s">
        <v>117</v>
      </c>
    </row>
    <row r="5" spans="1:22" x14ac:dyDescent="0.2">
      <c r="A5" s="176" t="s">
        <v>151</v>
      </c>
      <c r="B5">
        <v>11000</v>
      </c>
      <c r="C5">
        <v>11000</v>
      </c>
      <c r="R5" s="216">
        <v>45540</v>
      </c>
    </row>
    <row r="6" spans="1:22" x14ac:dyDescent="0.2">
      <c r="A6" s="176" t="s">
        <v>152</v>
      </c>
      <c r="B6">
        <v>15000</v>
      </c>
      <c r="C6">
        <v>15000</v>
      </c>
    </row>
    <row r="7" spans="1:22" x14ac:dyDescent="0.2">
      <c r="A7" s="176" t="s">
        <v>153</v>
      </c>
      <c r="B7">
        <v>10000</v>
      </c>
      <c r="C7">
        <v>10000</v>
      </c>
    </row>
    <row r="8" spans="1:22" x14ac:dyDescent="0.2">
      <c r="A8" s="176" t="s">
        <v>155</v>
      </c>
      <c r="B8">
        <v>20000</v>
      </c>
      <c r="C8">
        <v>20000</v>
      </c>
    </row>
    <row r="9" spans="1:22" x14ac:dyDescent="0.2">
      <c r="A9" s="176" t="s">
        <v>156</v>
      </c>
      <c r="B9">
        <v>4000</v>
      </c>
      <c r="C9">
        <v>4000</v>
      </c>
      <c r="M9">
        <v>30000</v>
      </c>
      <c r="Q9" s="216">
        <v>45547</v>
      </c>
      <c r="V9" t="s">
        <v>262</v>
      </c>
    </row>
    <row r="10" spans="1:22" x14ac:dyDescent="0.2">
      <c r="A10" s="176" t="s">
        <v>158</v>
      </c>
      <c r="B10">
        <v>9000</v>
      </c>
      <c r="C10">
        <v>9000</v>
      </c>
      <c r="R10" s="216">
        <v>45551</v>
      </c>
    </row>
    <row r="11" spans="1:22" x14ac:dyDescent="0.2">
      <c r="A11" s="176" t="s">
        <v>159</v>
      </c>
      <c r="B11">
        <v>12000</v>
      </c>
      <c r="C11">
        <v>12000</v>
      </c>
    </row>
    <row r="12" spans="1:22" x14ac:dyDescent="0.2">
      <c r="A12" s="176" t="s">
        <v>160</v>
      </c>
      <c r="B12">
        <v>7000</v>
      </c>
      <c r="C12">
        <v>7000</v>
      </c>
    </row>
    <row r="13" spans="1:22" x14ac:dyDescent="0.2">
      <c r="A13" s="176" t="s">
        <v>161</v>
      </c>
      <c r="B13">
        <v>10000</v>
      </c>
      <c r="C13">
        <v>10000</v>
      </c>
    </row>
    <row r="14" spans="1:22" x14ac:dyDescent="0.2">
      <c r="A14" s="176" t="s">
        <v>162</v>
      </c>
      <c r="B14">
        <v>6000</v>
      </c>
      <c r="C14">
        <v>6000</v>
      </c>
      <c r="R14" s="216">
        <v>45625</v>
      </c>
    </row>
    <row r="15" spans="1:22" x14ac:dyDescent="0.2">
      <c r="A15" s="176" t="s">
        <v>163</v>
      </c>
      <c r="B15">
        <v>7000</v>
      </c>
      <c r="C15">
        <v>7000</v>
      </c>
      <c r="R15" s="216">
        <v>45618</v>
      </c>
    </row>
    <row r="16" spans="1:22" x14ac:dyDescent="0.2">
      <c r="A16" s="176" t="s">
        <v>164</v>
      </c>
      <c r="B16">
        <v>10000</v>
      </c>
      <c r="C16">
        <v>10000</v>
      </c>
      <c r="V16" t="s">
        <v>292</v>
      </c>
    </row>
    <row r="17" spans="1:22" x14ac:dyDescent="0.2">
      <c r="A17" s="176" t="s">
        <v>165</v>
      </c>
      <c r="B17">
        <v>6000</v>
      </c>
      <c r="C17">
        <v>6000</v>
      </c>
      <c r="I17">
        <v>30000</v>
      </c>
      <c r="Q17" s="216">
        <v>45542</v>
      </c>
    </row>
    <row r="18" spans="1:22" x14ac:dyDescent="0.2">
      <c r="A18" s="176" t="s">
        <v>166</v>
      </c>
      <c r="B18">
        <v>5000</v>
      </c>
      <c r="C18">
        <v>5000</v>
      </c>
    </row>
    <row r="19" spans="1:22" x14ac:dyDescent="0.2">
      <c r="A19" s="176" t="s">
        <v>167</v>
      </c>
      <c r="B19">
        <v>10000</v>
      </c>
      <c r="C19">
        <v>10000</v>
      </c>
    </row>
    <row r="20" spans="1:22" x14ac:dyDescent="0.2">
      <c r="A20" s="176" t="s">
        <v>168</v>
      </c>
      <c r="B20">
        <v>5000</v>
      </c>
      <c r="C20">
        <v>5000</v>
      </c>
      <c r="I20">
        <v>30000</v>
      </c>
      <c r="Q20" s="216">
        <v>45545</v>
      </c>
    </row>
    <row r="21" spans="1:22" x14ac:dyDescent="0.2">
      <c r="A21" s="176" t="s">
        <v>169</v>
      </c>
      <c r="B21">
        <v>6800</v>
      </c>
      <c r="C21">
        <v>6800</v>
      </c>
      <c r="I21">
        <v>30000</v>
      </c>
      <c r="Q21" s="216">
        <v>45547</v>
      </c>
      <c r="V21" t="s">
        <v>261</v>
      </c>
    </row>
    <row r="22" spans="1:22" x14ac:dyDescent="0.2">
      <c r="A22" s="176" t="s">
        <v>171</v>
      </c>
      <c r="B22">
        <v>10000</v>
      </c>
      <c r="C22">
        <v>10000</v>
      </c>
      <c r="M22">
        <v>30000</v>
      </c>
      <c r="Q22" s="216">
        <v>45547</v>
      </c>
      <c r="R22" s="216">
        <v>45547</v>
      </c>
    </row>
    <row r="23" spans="1:22" x14ac:dyDescent="0.2">
      <c r="A23" s="176" t="s">
        <v>172</v>
      </c>
      <c r="B23">
        <v>8000</v>
      </c>
      <c r="C23">
        <v>8000</v>
      </c>
    </row>
    <row r="24" spans="1:22" x14ac:dyDescent="0.2">
      <c r="A24" s="176" t="s">
        <v>173</v>
      </c>
      <c r="B24">
        <v>4500</v>
      </c>
      <c r="C24">
        <v>4500</v>
      </c>
    </row>
    <row r="25" spans="1:22" x14ac:dyDescent="0.2">
      <c r="A25" s="176" t="s">
        <v>180</v>
      </c>
      <c r="B25">
        <v>9000</v>
      </c>
      <c r="C25">
        <v>9000</v>
      </c>
    </row>
    <row r="26" spans="1:22" x14ac:dyDescent="0.2">
      <c r="A26" s="176" t="s">
        <v>174</v>
      </c>
      <c r="B26">
        <v>3000</v>
      </c>
      <c r="C26">
        <v>3000</v>
      </c>
    </row>
    <row r="27" spans="1:22" x14ac:dyDescent="0.2">
      <c r="A27" s="176" t="s">
        <v>175</v>
      </c>
      <c r="B27">
        <v>10000</v>
      </c>
      <c r="C27">
        <v>10000</v>
      </c>
    </row>
    <row r="28" spans="1:22" x14ac:dyDescent="0.2">
      <c r="A28" s="176" t="s">
        <v>176</v>
      </c>
      <c r="B28">
        <v>8000</v>
      </c>
      <c r="C28">
        <v>8000</v>
      </c>
      <c r="R28" s="216">
        <v>45551</v>
      </c>
      <c r="V28" t="s">
        <v>288</v>
      </c>
    </row>
    <row r="29" spans="1:22" x14ac:dyDescent="0.2">
      <c r="A29" s="176" t="s">
        <v>177</v>
      </c>
      <c r="B29">
        <v>7000</v>
      </c>
      <c r="C29">
        <v>7000</v>
      </c>
    </row>
    <row r="30" spans="1:22" x14ac:dyDescent="0.2">
      <c r="A30" s="176" t="s">
        <v>178</v>
      </c>
      <c r="B30">
        <v>7000</v>
      </c>
      <c r="C30">
        <v>7000</v>
      </c>
    </row>
    <row r="31" spans="1:22" x14ac:dyDescent="0.2">
      <c r="A31" s="176" t="s">
        <v>179</v>
      </c>
      <c r="B31">
        <v>10000</v>
      </c>
      <c r="C31">
        <v>10000</v>
      </c>
    </row>
    <row r="32" spans="1:22" x14ac:dyDescent="0.2">
      <c r="A32" s="176" t="s">
        <v>181</v>
      </c>
      <c r="B32">
        <v>6000</v>
      </c>
      <c r="C32">
        <v>6000</v>
      </c>
      <c r="I32">
        <v>30000</v>
      </c>
      <c r="Q32" s="216">
        <v>45615</v>
      </c>
      <c r="R32" s="216">
        <v>45615</v>
      </c>
      <c r="V32" t="s">
        <v>288</v>
      </c>
    </row>
    <row r="33" spans="1:22" x14ac:dyDescent="0.2">
      <c r="A33" s="176" t="s">
        <v>182</v>
      </c>
      <c r="B33">
        <v>4000</v>
      </c>
      <c r="C33">
        <v>4000</v>
      </c>
    </row>
    <row r="34" spans="1:22" x14ac:dyDescent="0.2">
      <c r="A34" s="176" t="s">
        <v>183</v>
      </c>
      <c r="B34">
        <v>8500</v>
      </c>
      <c r="C34">
        <v>8500</v>
      </c>
    </row>
    <row r="35" spans="1:22" x14ac:dyDescent="0.2">
      <c r="A35" s="176" t="s">
        <v>184</v>
      </c>
      <c r="B35">
        <v>8000</v>
      </c>
      <c r="C35">
        <v>8000</v>
      </c>
    </row>
    <row r="36" spans="1:22" x14ac:dyDescent="0.2">
      <c r="A36" s="176" t="s">
        <v>185</v>
      </c>
      <c r="B36">
        <v>10000</v>
      </c>
      <c r="C36">
        <v>10000</v>
      </c>
      <c r="R36" s="216">
        <v>45551</v>
      </c>
    </row>
    <row r="37" spans="1:22" x14ac:dyDescent="0.2">
      <c r="A37" s="176" t="s">
        <v>188</v>
      </c>
      <c r="B37">
        <v>12000</v>
      </c>
      <c r="C37">
        <v>12000</v>
      </c>
      <c r="I37">
        <v>35000</v>
      </c>
      <c r="Q37" s="216">
        <v>45615</v>
      </c>
      <c r="R37" s="216">
        <v>45615</v>
      </c>
      <c r="V37" t="s">
        <v>260</v>
      </c>
    </row>
    <row r="38" spans="1:22" x14ac:dyDescent="0.2">
      <c r="A38" s="176" t="s">
        <v>189</v>
      </c>
      <c r="B38">
        <v>5000</v>
      </c>
      <c r="C38">
        <v>5000</v>
      </c>
    </row>
    <row r="39" spans="1:22" x14ac:dyDescent="0.2">
      <c r="A39" s="176" t="s">
        <v>190</v>
      </c>
      <c r="B39">
        <v>15000</v>
      </c>
      <c r="C39">
        <v>15000</v>
      </c>
      <c r="V39" t="s">
        <v>288</v>
      </c>
    </row>
    <row r="40" spans="1:22" x14ac:dyDescent="0.2">
      <c r="A40" s="176" t="s">
        <v>191</v>
      </c>
      <c r="B40">
        <v>10000</v>
      </c>
      <c r="C40">
        <v>10000</v>
      </c>
      <c r="R40" s="216">
        <v>45623</v>
      </c>
    </row>
    <row r="41" spans="1:22" x14ac:dyDescent="0.2">
      <c r="A41" s="176" t="s">
        <v>192</v>
      </c>
      <c r="B41">
        <v>9700</v>
      </c>
      <c r="C41">
        <v>9700</v>
      </c>
      <c r="R41" s="216">
        <v>45617</v>
      </c>
    </row>
    <row r="42" spans="1:22" x14ac:dyDescent="0.2">
      <c r="A42" s="176" t="s">
        <v>193</v>
      </c>
      <c r="B42">
        <v>5000</v>
      </c>
      <c r="C42">
        <v>5000</v>
      </c>
    </row>
    <row r="43" spans="1:22" x14ac:dyDescent="0.2">
      <c r="A43" s="176" t="s">
        <v>194</v>
      </c>
      <c r="B43">
        <v>10000</v>
      </c>
      <c r="C43">
        <v>10000</v>
      </c>
      <c r="V43" t="s">
        <v>288</v>
      </c>
    </row>
    <row r="44" spans="1:22" x14ac:dyDescent="0.2">
      <c r="A44" s="176" t="s">
        <v>195</v>
      </c>
      <c r="B44">
        <v>7000</v>
      </c>
      <c r="C44">
        <v>7000</v>
      </c>
      <c r="M44">
        <v>30000</v>
      </c>
      <c r="Q44" s="216">
        <v>45615</v>
      </c>
      <c r="V44" t="s">
        <v>288</v>
      </c>
    </row>
    <row r="45" spans="1:22" x14ac:dyDescent="0.2">
      <c r="A45" s="176" t="s">
        <v>196</v>
      </c>
      <c r="B45">
        <v>8000</v>
      </c>
      <c r="C45">
        <v>8000</v>
      </c>
      <c r="R45" s="216">
        <v>45551</v>
      </c>
      <c r="V45" t="s">
        <v>290</v>
      </c>
    </row>
    <row r="46" spans="1:22" x14ac:dyDescent="0.2">
      <c r="A46" s="176" t="s">
        <v>197</v>
      </c>
      <c r="B46">
        <v>12000</v>
      </c>
      <c r="C46">
        <v>12000</v>
      </c>
    </row>
    <row r="47" spans="1:22" x14ac:dyDescent="0.2">
      <c r="A47" s="176" t="s">
        <v>198</v>
      </c>
      <c r="B47">
        <v>5000</v>
      </c>
      <c r="C47">
        <v>5000</v>
      </c>
      <c r="I47">
        <v>30000</v>
      </c>
      <c r="Q47" s="216">
        <v>45614</v>
      </c>
      <c r="R47" s="216">
        <v>45614</v>
      </c>
      <c r="V47" t="s">
        <v>288</v>
      </c>
    </row>
    <row r="48" spans="1:22" x14ac:dyDescent="0.2">
      <c r="A48" s="176" t="s">
        <v>199</v>
      </c>
      <c r="B48">
        <v>5000</v>
      </c>
      <c r="C48">
        <v>5000</v>
      </c>
      <c r="I48">
        <v>30000</v>
      </c>
      <c r="Q48" s="216">
        <v>45548</v>
      </c>
      <c r="R48" s="216">
        <v>45548</v>
      </c>
      <c r="V48" t="s">
        <v>293</v>
      </c>
    </row>
    <row r="49" spans="1:22" x14ac:dyDescent="0.2">
      <c r="A49" s="176" t="s">
        <v>200</v>
      </c>
      <c r="B49">
        <v>10000</v>
      </c>
      <c r="C49">
        <v>10000</v>
      </c>
      <c r="R49" s="216">
        <v>45616</v>
      </c>
    </row>
    <row r="50" spans="1:22" x14ac:dyDescent="0.2">
      <c r="A50" s="176" t="s">
        <v>201</v>
      </c>
      <c r="B50">
        <v>12000</v>
      </c>
      <c r="C50">
        <v>12000</v>
      </c>
      <c r="V50" t="s">
        <v>288</v>
      </c>
    </row>
    <row r="51" spans="1:22" x14ac:dyDescent="0.2">
      <c r="A51" s="176" t="s">
        <v>202</v>
      </c>
      <c r="B51">
        <v>6000</v>
      </c>
      <c r="C51">
        <v>6000</v>
      </c>
      <c r="V51" t="s">
        <v>288</v>
      </c>
    </row>
    <row r="52" spans="1:22" x14ac:dyDescent="0.2">
      <c r="A52" s="176" t="s">
        <v>203</v>
      </c>
      <c r="B52">
        <v>15000</v>
      </c>
      <c r="C52">
        <v>15000</v>
      </c>
    </row>
    <row r="53" spans="1:22" x14ac:dyDescent="0.2">
      <c r="A53" s="176" t="s">
        <v>204</v>
      </c>
      <c r="B53">
        <v>8500</v>
      </c>
      <c r="C53">
        <v>8500</v>
      </c>
      <c r="R53" s="216">
        <v>45617</v>
      </c>
      <c r="V53" t="s">
        <v>308</v>
      </c>
    </row>
    <row r="54" spans="1:22" x14ac:dyDescent="0.2">
      <c r="A54" s="176" t="s">
        <v>205</v>
      </c>
      <c r="B54">
        <v>10000</v>
      </c>
      <c r="C54">
        <v>10000</v>
      </c>
      <c r="V54" t="s">
        <v>288</v>
      </c>
    </row>
    <row r="55" spans="1:22" x14ac:dyDescent="0.2">
      <c r="A55" s="176" t="s">
        <v>206</v>
      </c>
      <c r="B55">
        <v>12000</v>
      </c>
      <c r="C55">
        <v>12000</v>
      </c>
      <c r="R55" s="216">
        <v>45617</v>
      </c>
    </row>
    <row r="56" spans="1:22" x14ac:dyDescent="0.2">
      <c r="A56" s="176" t="s">
        <v>207</v>
      </c>
      <c r="B56">
        <v>5000</v>
      </c>
      <c r="C56">
        <v>5000</v>
      </c>
    </row>
    <row r="57" spans="1:22" x14ac:dyDescent="0.2">
      <c r="A57" s="176" t="s">
        <v>208</v>
      </c>
      <c r="B57">
        <v>7000</v>
      </c>
      <c r="C57">
        <v>7000</v>
      </c>
      <c r="R57" s="216">
        <v>45618</v>
      </c>
    </row>
    <row r="58" spans="1:22" x14ac:dyDescent="0.2">
      <c r="A58" s="176" t="s">
        <v>209</v>
      </c>
      <c r="B58">
        <v>10000</v>
      </c>
      <c r="C58">
        <v>10000</v>
      </c>
      <c r="I58">
        <v>30000</v>
      </c>
      <c r="Q58" s="216">
        <v>45548</v>
      </c>
      <c r="R58" s="216">
        <v>45548</v>
      </c>
    </row>
    <row r="59" spans="1:22" x14ac:dyDescent="0.2">
      <c r="A59" s="176" t="s">
        <v>210</v>
      </c>
      <c r="B59">
        <v>10000</v>
      </c>
      <c r="C59">
        <v>10000</v>
      </c>
      <c r="R59" s="216">
        <v>45624</v>
      </c>
    </row>
    <row r="60" spans="1:22" x14ac:dyDescent="0.2">
      <c r="A60" s="176" t="s">
        <v>117</v>
      </c>
      <c r="B60">
        <v>476000</v>
      </c>
      <c r="C60">
        <v>476000</v>
      </c>
      <c r="V60" t="s">
        <v>288</v>
      </c>
    </row>
    <row r="61" spans="1:22" x14ac:dyDescent="0.2">
      <c r="I61">
        <v>25000</v>
      </c>
      <c r="Q61" s="216">
        <v>45615</v>
      </c>
      <c r="R61" s="216">
        <v>45551</v>
      </c>
      <c r="V61" t="s">
        <v>288</v>
      </c>
    </row>
    <row r="62" spans="1:22" x14ac:dyDescent="0.2">
      <c r="R62" s="216">
        <v>45551</v>
      </c>
    </row>
    <row r="63" spans="1:22" x14ac:dyDescent="0.2">
      <c r="M63">
        <v>55000</v>
      </c>
      <c r="Q63" s="216">
        <v>45548</v>
      </c>
      <c r="R63" s="216">
        <v>45548</v>
      </c>
      <c r="V63" t="s">
        <v>258</v>
      </c>
    </row>
    <row r="66" spans="9:22" x14ac:dyDescent="0.2">
      <c r="R66" s="216">
        <v>45551</v>
      </c>
      <c r="V66" t="s">
        <v>294</v>
      </c>
    </row>
    <row r="68" spans="9:22" x14ac:dyDescent="0.2">
      <c r="R68" s="216">
        <v>45624</v>
      </c>
    </row>
    <row r="70" spans="9:22" x14ac:dyDescent="0.2">
      <c r="V70" t="s">
        <v>295</v>
      </c>
    </row>
    <row r="72" spans="9:22" x14ac:dyDescent="0.2">
      <c r="V72" t="s">
        <v>296</v>
      </c>
    </row>
    <row r="73" spans="9:22" x14ac:dyDescent="0.2">
      <c r="I73">
        <v>30000</v>
      </c>
      <c r="Q73" s="216">
        <v>45545</v>
      </c>
      <c r="V73" t="s">
        <v>260</v>
      </c>
    </row>
    <row r="74" spans="9:22" x14ac:dyDescent="0.2">
      <c r="V74" t="s">
        <v>288</v>
      </c>
    </row>
    <row r="75" spans="9:22" x14ac:dyDescent="0.2">
      <c r="M75">
        <v>30000</v>
      </c>
      <c r="Q75" s="216">
        <v>45547</v>
      </c>
      <c r="R75" s="216">
        <v>45547</v>
      </c>
      <c r="V75" t="s">
        <v>261</v>
      </c>
    </row>
    <row r="78" spans="9:22" x14ac:dyDescent="0.2">
      <c r="V78" t="s">
        <v>297</v>
      </c>
    </row>
    <row r="80" spans="9:22" x14ac:dyDescent="0.2">
      <c r="R80" s="216">
        <v>45551</v>
      </c>
    </row>
    <row r="85" spans="9:22" x14ac:dyDescent="0.2">
      <c r="M85">
        <v>30000</v>
      </c>
      <c r="Q85" s="216">
        <v>45548</v>
      </c>
      <c r="R85" s="216">
        <v>45548</v>
      </c>
      <c r="V85" t="s">
        <v>258</v>
      </c>
    </row>
    <row r="86" spans="9:22" x14ac:dyDescent="0.2">
      <c r="V86" t="s">
        <v>288</v>
      </c>
    </row>
    <row r="88" spans="9:22" x14ac:dyDescent="0.2">
      <c r="I88">
        <v>30000</v>
      </c>
      <c r="Q88" s="216">
        <v>45544</v>
      </c>
    </row>
    <row r="89" spans="9:22" x14ac:dyDescent="0.2">
      <c r="R89" s="216">
        <v>45551</v>
      </c>
    </row>
    <row r="90" spans="9:22" x14ac:dyDescent="0.2">
      <c r="M90">
        <v>30000</v>
      </c>
      <c r="Q90" s="216">
        <v>45615</v>
      </c>
      <c r="V90" t="s">
        <v>288</v>
      </c>
    </row>
    <row r="91" spans="9:22" x14ac:dyDescent="0.2">
      <c r="R91" s="216">
        <v>45551</v>
      </c>
      <c r="V91" t="s">
        <v>298</v>
      </c>
    </row>
    <row r="92" spans="9:22" x14ac:dyDescent="0.2">
      <c r="R92" s="216">
        <v>45551</v>
      </c>
    </row>
    <row r="93" spans="9:22" x14ac:dyDescent="0.2">
      <c r="V93" t="s">
        <v>299</v>
      </c>
    </row>
    <row r="94" spans="9:22" x14ac:dyDescent="0.2">
      <c r="V94" t="s">
        <v>300</v>
      </c>
    </row>
    <row r="95" spans="9:22" x14ac:dyDescent="0.2">
      <c r="I95">
        <v>30000</v>
      </c>
      <c r="Q95" s="216">
        <v>45615</v>
      </c>
      <c r="V95" t="s">
        <v>289</v>
      </c>
    </row>
    <row r="96" spans="9:22" x14ac:dyDescent="0.2">
      <c r="R96" s="216">
        <v>45624</v>
      </c>
    </row>
    <row r="97" spans="9:22" x14ac:dyDescent="0.2">
      <c r="I97">
        <v>40000</v>
      </c>
      <c r="Q97" s="216">
        <v>45545</v>
      </c>
      <c r="V97" t="s">
        <v>260</v>
      </c>
    </row>
    <row r="99" spans="9:22" x14ac:dyDescent="0.2">
      <c r="V99" t="s">
        <v>288</v>
      </c>
    </row>
    <row r="100" spans="9:22" x14ac:dyDescent="0.2">
      <c r="I100">
        <v>40000</v>
      </c>
      <c r="Q100" s="216">
        <v>45548</v>
      </c>
      <c r="R100" s="216">
        <v>45548</v>
      </c>
      <c r="V100" t="s">
        <v>301</v>
      </c>
    </row>
    <row r="101" spans="9:22" x14ac:dyDescent="0.2">
      <c r="R101" s="216">
        <v>45618</v>
      </c>
    </row>
    <row r="102" spans="9:22" x14ac:dyDescent="0.2">
      <c r="I102">
        <v>30000</v>
      </c>
      <c r="Q102" s="216">
        <v>45548</v>
      </c>
      <c r="R102" s="216">
        <v>45621</v>
      </c>
    </row>
    <row r="103" spans="9:22" x14ac:dyDescent="0.2">
      <c r="R103" s="216">
        <v>45551</v>
      </c>
      <c r="V103" t="s">
        <v>261</v>
      </c>
    </row>
    <row r="105" spans="9:22" x14ac:dyDescent="0.2">
      <c r="V105" t="s">
        <v>261</v>
      </c>
    </row>
    <row r="106" spans="9:22" x14ac:dyDescent="0.2">
      <c r="I106">
        <v>30000</v>
      </c>
      <c r="Q106" s="216">
        <v>45615</v>
      </c>
      <c r="T106">
        <v>1</v>
      </c>
      <c r="U106">
        <v>1</v>
      </c>
      <c r="V106" t="s">
        <v>291</v>
      </c>
    </row>
    <row r="107" spans="9:22" x14ac:dyDescent="0.2">
      <c r="I107">
        <v>30000</v>
      </c>
      <c r="Q107" s="216">
        <v>45548</v>
      </c>
      <c r="R107" s="216">
        <v>45548</v>
      </c>
      <c r="V107" t="s">
        <v>260</v>
      </c>
    </row>
    <row r="108" spans="9:22" x14ac:dyDescent="0.2">
      <c r="R108" s="216">
        <v>45618</v>
      </c>
    </row>
    <row r="109" spans="9:22" x14ac:dyDescent="0.2">
      <c r="R109" s="216">
        <v>45617</v>
      </c>
    </row>
    <row r="110" spans="9:22" x14ac:dyDescent="0.2">
      <c r="R110" s="216">
        <v>45551</v>
      </c>
      <c r="V110" t="s">
        <v>302</v>
      </c>
    </row>
    <row r="112" spans="9:22" x14ac:dyDescent="0.2">
      <c r="R112" s="216">
        <v>45551</v>
      </c>
      <c r="V112" t="s">
        <v>288</v>
      </c>
    </row>
    <row r="113" spans="9:22" x14ac:dyDescent="0.2">
      <c r="M113">
        <v>10000</v>
      </c>
      <c r="Q113" s="216">
        <v>45615</v>
      </c>
      <c r="R113" s="216">
        <v>45551</v>
      </c>
      <c r="V113" t="s">
        <v>288</v>
      </c>
    </row>
    <row r="115" spans="9:22" x14ac:dyDescent="0.2">
      <c r="I115">
        <v>30000</v>
      </c>
      <c r="Q115" s="216">
        <v>45547</v>
      </c>
    </row>
    <row r="116" spans="9:22" x14ac:dyDescent="0.2">
      <c r="R116" s="216">
        <v>45619</v>
      </c>
    </row>
    <row r="117" spans="9:22" x14ac:dyDescent="0.2">
      <c r="V117" t="s">
        <v>303</v>
      </c>
    </row>
    <row r="118" spans="9:22" x14ac:dyDescent="0.2">
      <c r="V118" t="s">
        <v>298</v>
      </c>
    </row>
    <row r="124" spans="9:22" x14ac:dyDescent="0.2">
      <c r="R124" s="216">
        <v>45551</v>
      </c>
      <c r="V124" t="s">
        <v>304</v>
      </c>
    </row>
    <row r="125" spans="9:22" x14ac:dyDescent="0.2">
      <c r="M125">
        <v>30000</v>
      </c>
      <c r="Q125" s="216">
        <v>45546</v>
      </c>
      <c r="V125" t="s">
        <v>305</v>
      </c>
    </row>
    <row r="127" spans="9:22" x14ac:dyDescent="0.2">
      <c r="R127" s="216">
        <v>45619</v>
      </c>
    </row>
    <row r="130" spans="9:22" x14ac:dyDescent="0.2">
      <c r="I130">
        <v>12000</v>
      </c>
      <c r="Q130" s="216">
        <v>45547</v>
      </c>
    </row>
    <row r="131" spans="9:22" x14ac:dyDescent="0.2">
      <c r="I131">
        <v>40000</v>
      </c>
      <c r="Q131" s="216">
        <v>45615</v>
      </c>
      <c r="R131" s="216">
        <v>45615</v>
      </c>
      <c r="V131" t="s">
        <v>288</v>
      </c>
    </row>
    <row r="134" spans="9:22" x14ac:dyDescent="0.2">
      <c r="V134" t="s">
        <v>306</v>
      </c>
    </row>
    <row r="135" spans="9:22" x14ac:dyDescent="0.2">
      <c r="I135">
        <v>40000</v>
      </c>
      <c r="Q135" s="216">
        <v>45615</v>
      </c>
      <c r="V135" t="s">
        <v>287</v>
      </c>
    </row>
    <row r="139" spans="9:22" x14ac:dyDescent="0.2">
      <c r="I139">
        <v>35000</v>
      </c>
      <c r="Q139" s="216">
        <v>45545</v>
      </c>
      <c r="V139" t="s">
        <v>260</v>
      </c>
    </row>
    <row r="140" spans="9:22" x14ac:dyDescent="0.2">
      <c r="V140" t="s">
        <v>307</v>
      </c>
    </row>
    <row r="141" spans="9:22" x14ac:dyDescent="0.2">
      <c r="R141" s="216">
        <v>45551</v>
      </c>
    </row>
    <row r="143" spans="9:22" x14ac:dyDescent="0.2">
      <c r="I143">
        <v>30000</v>
      </c>
      <c r="Q143" s="216">
        <v>45547</v>
      </c>
      <c r="V143" t="s">
        <v>260</v>
      </c>
    </row>
    <row r="145" spans="9:22" x14ac:dyDescent="0.2">
      <c r="R145" s="216">
        <v>45551</v>
      </c>
    </row>
    <row r="148" spans="9:22" x14ac:dyDescent="0.2">
      <c r="R148" s="216">
        <v>45551</v>
      </c>
    </row>
    <row r="150" spans="9:22" x14ac:dyDescent="0.2">
      <c r="I150">
        <v>30000</v>
      </c>
      <c r="Q150" s="216">
        <v>45544</v>
      </c>
    </row>
    <row r="156" spans="9:22" x14ac:dyDescent="0.2">
      <c r="R156" s="216">
        <v>45551</v>
      </c>
    </row>
    <row r="158" spans="9:22" x14ac:dyDescent="0.2">
      <c r="R158" s="216">
        <v>45551</v>
      </c>
    </row>
    <row r="159" spans="9:22" x14ac:dyDescent="0.2">
      <c r="L159">
        <v>30000</v>
      </c>
      <c r="Q159" s="216">
        <v>45547</v>
      </c>
      <c r="V159" t="s">
        <v>259</v>
      </c>
    </row>
    <row r="162" spans="9:22" x14ac:dyDescent="0.2">
      <c r="R162" s="216">
        <v>45551</v>
      </c>
    </row>
    <row r="165" spans="9:22" x14ac:dyDescent="0.2">
      <c r="L165">
        <v>30000</v>
      </c>
      <c r="Q165" s="216">
        <v>45547</v>
      </c>
      <c r="V165" t="s">
        <v>263</v>
      </c>
    </row>
    <row r="166" spans="9:22" x14ac:dyDescent="0.2">
      <c r="R166" s="216">
        <v>45551</v>
      </c>
    </row>
    <row r="169" spans="9:22" x14ac:dyDescent="0.2">
      <c r="I169">
        <v>50000</v>
      </c>
      <c r="Q169" s="216">
        <v>45544</v>
      </c>
      <c r="V169" t="s">
        <v>264</v>
      </c>
    </row>
  </sheetData>
  <phoneticPr fontId="25" type="noConversion"/>
  <pageMargins left="0.7" right="0.7" top="0.75" bottom="0.75" header="0.3" footer="0.3"/>
  <pageSetup paperSize="9" orientation="portrait" horizontalDpi="300" verticalDpi="0" copies="0"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Hoja7"/>
  <dimension ref="A1:C19"/>
  <sheetViews>
    <sheetView workbookViewId="0">
      <selection activeCell="C11" sqref="C11"/>
    </sheetView>
  </sheetViews>
  <sheetFormatPr baseColWidth="10" defaultRowHeight="12.75" x14ac:dyDescent="0.2"/>
  <cols>
    <col min="2" max="2" width="28.7109375" customWidth="1"/>
    <col min="3" max="3" width="22" bestFit="1" customWidth="1"/>
  </cols>
  <sheetData>
    <row r="1" spans="1:3" x14ac:dyDescent="0.2">
      <c r="A1" s="124">
        <v>1</v>
      </c>
      <c r="B1" s="211" t="s">
        <v>90</v>
      </c>
      <c r="C1" s="211">
        <v>1</v>
      </c>
    </row>
    <row r="2" spans="1:3" x14ac:dyDescent="0.2">
      <c r="A2" s="124">
        <v>2</v>
      </c>
      <c r="B2" s="147" t="s">
        <v>89</v>
      </c>
      <c r="C2" s="147">
        <v>3</v>
      </c>
    </row>
    <row r="3" spans="1:3" x14ac:dyDescent="0.2">
      <c r="A3" s="124">
        <v>3</v>
      </c>
      <c r="B3" s="211"/>
      <c r="C3" s="211">
        <v>1</v>
      </c>
    </row>
    <row r="4" spans="1:3" x14ac:dyDescent="0.2">
      <c r="A4" s="124">
        <v>4</v>
      </c>
      <c r="B4" s="146" t="s">
        <v>216</v>
      </c>
      <c r="C4" s="146">
        <v>2</v>
      </c>
    </row>
    <row r="5" spans="1:3" x14ac:dyDescent="0.2">
      <c r="A5" s="124">
        <v>5</v>
      </c>
      <c r="B5" s="211"/>
      <c r="C5" s="211">
        <v>1</v>
      </c>
    </row>
    <row r="6" spans="1:3" x14ac:dyDescent="0.2">
      <c r="A6" s="124">
        <v>6</v>
      </c>
      <c r="B6" s="211"/>
      <c r="C6" s="211">
        <v>1</v>
      </c>
    </row>
    <row r="7" spans="1:3" x14ac:dyDescent="0.2">
      <c r="A7" s="124">
        <v>7</v>
      </c>
      <c r="B7" s="147" t="s">
        <v>511</v>
      </c>
      <c r="C7" s="147">
        <v>3</v>
      </c>
    </row>
    <row r="8" spans="1:3" x14ac:dyDescent="0.2">
      <c r="A8" s="124">
        <v>8</v>
      </c>
      <c r="B8" s="146"/>
      <c r="C8" s="146">
        <v>2</v>
      </c>
    </row>
    <row r="9" spans="1:3" x14ac:dyDescent="0.2">
      <c r="A9" s="124">
        <v>9</v>
      </c>
      <c r="B9" s="146"/>
      <c r="C9" s="146">
        <v>2</v>
      </c>
    </row>
    <row r="14" spans="1:3" x14ac:dyDescent="0.2">
      <c r="B14" s="191" t="s">
        <v>150</v>
      </c>
      <c r="C14" s="8">
        <f>COUNTIF(C1:C9,1)</f>
        <v>4</v>
      </c>
    </row>
    <row r="15" spans="1:3" x14ac:dyDescent="0.2">
      <c r="B15" s="191" t="s">
        <v>77</v>
      </c>
      <c r="C15" s="8">
        <f>COUNTIF(C1:C9,2)</f>
        <v>3</v>
      </c>
    </row>
    <row r="16" spans="1:3" x14ac:dyDescent="0.2">
      <c r="B16" s="191" t="s">
        <v>78</v>
      </c>
      <c r="C16" s="8">
        <f>COUNTIF(C1:C9,3)</f>
        <v>2</v>
      </c>
    </row>
    <row r="17" spans="2:3" x14ac:dyDescent="0.2">
      <c r="B17" s="191" t="s">
        <v>88</v>
      </c>
      <c r="C17" s="8">
        <f>COUNTIF(C1:C9,4)</f>
        <v>0</v>
      </c>
    </row>
    <row r="19" spans="2:3" x14ac:dyDescent="0.2">
      <c r="C19" s="8">
        <f>SUM(C14:C18)</f>
        <v>9</v>
      </c>
    </row>
  </sheetData>
  <sheetProtection sheet="1" objects="1" scenarios="1"/>
  <phoneticPr fontId="25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6</vt:i4>
      </vt:variant>
      <vt:variant>
        <vt:lpstr>Rangos con nombre</vt:lpstr>
      </vt:variant>
      <vt:variant>
        <vt:i4>1</vt:i4>
      </vt:variant>
    </vt:vector>
  </HeadingPairs>
  <TitlesOfParts>
    <vt:vector size="7" baseType="lpstr">
      <vt:lpstr>AUTOHOGAR</vt:lpstr>
      <vt:lpstr>Hoja2</vt:lpstr>
      <vt:lpstr>COBRANZA SIN CUPONES</vt:lpstr>
      <vt:lpstr>PAGARA</vt:lpstr>
      <vt:lpstr>PAGARA DETALLADO</vt:lpstr>
      <vt:lpstr>COB</vt:lpstr>
      <vt:lpstr>AUTOHOGAR!Área_de_impresión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RED AGRO</dc:creator>
  <cp:lastModifiedBy>COMPAQ</cp:lastModifiedBy>
  <cp:lastPrinted>2024-02-02T09:48:04Z</cp:lastPrinted>
  <dcterms:created xsi:type="dcterms:W3CDTF">2012-03-04T17:17:47Z</dcterms:created>
  <dcterms:modified xsi:type="dcterms:W3CDTF">2026-08-08T21:34:02Z</dcterms:modified>
</cp:coreProperties>
</file>