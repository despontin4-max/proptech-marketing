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OMPAQ\Documents\RICARDO\"/>
    </mc:Choice>
  </mc:AlternateContent>
  <xr:revisionPtr revIDLastSave="0" documentId="13_ncr:1_{C27F812F-EA0E-4C86-8FB2-2B4B20C861F9}" xr6:coauthVersionLast="47" xr6:coauthVersionMax="47" xr10:uidLastSave="{00000000-0000-0000-0000-000000000000}"/>
  <bookViews>
    <workbookView xWindow="-120" yWindow="-120" windowWidth="20730" windowHeight="11160" tabRatio="905" xr2:uid="{00000000-000D-0000-FFFF-FFFF00000000}"/>
  </bookViews>
  <sheets>
    <sheet name="AUTOHOGAR" sheetId="5" r:id="rId1"/>
    <sheet name="COBRANZA SIN CUPONES" sheetId="8" r:id="rId2"/>
    <sheet name="PAGARA" sheetId="19" r:id="rId3"/>
    <sheet name="PAGARA DETALLADO" sheetId="18" r:id="rId4"/>
    <sheet name="COB" sheetId="13" r:id="rId5"/>
    <sheet name="PAGO" sheetId="20" r:id="rId6"/>
  </sheets>
  <externalReferences>
    <externalReference r:id="rId7"/>
  </externalReferences>
  <definedNames>
    <definedName name="_xlnm._FilterDatabase" localSheetId="0" hidden="1">AUTOHOGAR!$A$3:$BF$449</definedName>
    <definedName name="_xlnm._FilterDatabase" localSheetId="1" hidden="1">'COBRANZA SIN CUPONES'!$A$5:$N$17</definedName>
    <definedName name="_GoBack" localSheetId="0">AUTOHOGAR!#REF!</definedName>
    <definedName name="_xlnm.Print_Area" localSheetId="0">AUTOHOGAR!$A$1:$X$488</definedName>
    <definedName name="entrega">'[1]Sugerencia Rendiciones '!$BP$2:$BP$11</definedName>
    <definedName name="tipo">'[1]Sugerencia Rendiciones '!$D$3:$D$11</definedName>
  </definedName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P446" i="5" l="1"/>
  <c r="O446" i="5"/>
  <c r="N446" i="5"/>
  <c r="Z446" i="5" s="1"/>
  <c r="P445" i="5"/>
  <c r="O445" i="5"/>
  <c r="N445" i="5"/>
  <c r="P444" i="5"/>
  <c r="O444" i="5"/>
  <c r="AU444" i="5" s="1"/>
  <c r="N444" i="5"/>
  <c r="P443" i="5"/>
  <c r="O443" i="5"/>
  <c r="AJ443" i="5" s="1"/>
  <c r="N443" i="5"/>
  <c r="P442" i="5"/>
  <c r="O442" i="5"/>
  <c r="N442" i="5"/>
  <c r="P441" i="5"/>
  <c r="O441" i="5"/>
  <c r="N441" i="5"/>
  <c r="P440" i="5"/>
  <c r="O440" i="5"/>
  <c r="AU440" i="5" s="1"/>
  <c r="N440" i="5"/>
  <c r="Z440" i="5" s="1"/>
  <c r="P439" i="5"/>
  <c r="O439" i="5"/>
  <c r="N439" i="5"/>
  <c r="P438" i="5"/>
  <c r="O438" i="5"/>
  <c r="N438" i="5"/>
  <c r="P437" i="5"/>
  <c r="O437" i="5"/>
  <c r="AU437" i="5" s="1"/>
  <c r="N437" i="5"/>
  <c r="P436" i="5"/>
  <c r="O436" i="5"/>
  <c r="N436" i="5"/>
  <c r="P435" i="5"/>
  <c r="O435" i="5"/>
  <c r="N435" i="5"/>
  <c r="Z435" i="5" s="1"/>
  <c r="P434" i="5"/>
  <c r="O434" i="5"/>
  <c r="N434" i="5"/>
  <c r="P433" i="5"/>
  <c r="O433" i="5"/>
  <c r="N433" i="5"/>
  <c r="P432" i="5"/>
  <c r="O432" i="5"/>
  <c r="N432" i="5"/>
  <c r="Z432" i="5" s="1"/>
  <c r="P431" i="5"/>
  <c r="O431" i="5"/>
  <c r="N431" i="5"/>
  <c r="P430" i="5"/>
  <c r="O430" i="5"/>
  <c r="N430" i="5"/>
  <c r="P429" i="5"/>
  <c r="O429" i="5"/>
  <c r="N429" i="5"/>
  <c r="P428" i="5"/>
  <c r="O428" i="5"/>
  <c r="N428" i="5"/>
  <c r="P427" i="5"/>
  <c r="O427" i="5"/>
  <c r="N427" i="5"/>
  <c r="Z427" i="5" s="1"/>
  <c r="P426" i="5"/>
  <c r="O426" i="5"/>
  <c r="N426" i="5"/>
  <c r="P425" i="5"/>
  <c r="O425" i="5"/>
  <c r="N425" i="5"/>
  <c r="P424" i="5"/>
  <c r="O424" i="5"/>
  <c r="AJ424" i="5" s="1"/>
  <c r="N424" i="5"/>
  <c r="Z424" i="5" s="1"/>
  <c r="P423" i="5"/>
  <c r="O423" i="5"/>
  <c r="N423" i="5"/>
  <c r="P422" i="5"/>
  <c r="O422" i="5"/>
  <c r="N422" i="5"/>
  <c r="P421" i="5"/>
  <c r="O421" i="5"/>
  <c r="AJ421" i="5" s="1"/>
  <c r="N421" i="5"/>
  <c r="P420" i="5"/>
  <c r="O420" i="5"/>
  <c r="AJ420" i="5" s="1"/>
  <c r="N420" i="5"/>
  <c r="P419" i="5"/>
  <c r="O419" i="5"/>
  <c r="N419" i="5"/>
  <c r="Z419" i="5" s="1"/>
  <c r="P418" i="5"/>
  <c r="O418" i="5"/>
  <c r="N418" i="5"/>
  <c r="P417" i="5"/>
  <c r="O417" i="5"/>
  <c r="N417" i="5"/>
  <c r="P416" i="5"/>
  <c r="O416" i="5"/>
  <c r="N416" i="5"/>
  <c r="Z416" i="5" s="1"/>
  <c r="P415" i="5"/>
  <c r="O415" i="5"/>
  <c r="N415" i="5"/>
  <c r="Z415" i="5" s="1"/>
  <c r="P414" i="5"/>
  <c r="O414" i="5"/>
  <c r="N414" i="5"/>
  <c r="P413" i="5"/>
  <c r="O413" i="5"/>
  <c r="N413" i="5"/>
  <c r="P412" i="5"/>
  <c r="O412" i="5"/>
  <c r="AJ412" i="5" s="1"/>
  <c r="N412" i="5"/>
  <c r="P411" i="5"/>
  <c r="O411" i="5"/>
  <c r="N411" i="5"/>
  <c r="Z411" i="5" s="1"/>
  <c r="P410" i="5"/>
  <c r="O410" i="5"/>
  <c r="N410" i="5"/>
  <c r="Z410" i="5" s="1"/>
  <c r="P409" i="5"/>
  <c r="O409" i="5"/>
  <c r="N409" i="5"/>
  <c r="P408" i="5"/>
  <c r="O408" i="5"/>
  <c r="N408" i="5"/>
  <c r="Z408" i="5" s="1"/>
  <c r="P407" i="5"/>
  <c r="O407" i="5"/>
  <c r="N407" i="5"/>
  <c r="Z407" i="5" s="1"/>
  <c r="P406" i="5"/>
  <c r="O406" i="5"/>
  <c r="N406" i="5"/>
  <c r="P405" i="5"/>
  <c r="O405" i="5"/>
  <c r="N405" i="5"/>
  <c r="P404" i="5"/>
  <c r="O404" i="5"/>
  <c r="N404" i="5"/>
  <c r="P403" i="5"/>
  <c r="O403" i="5"/>
  <c r="N403" i="5"/>
  <c r="Z403" i="5" s="1"/>
  <c r="P402" i="5"/>
  <c r="O402" i="5"/>
  <c r="N402" i="5"/>
  <c r="P401" i="5"/>
  <c r="O401" i="5"/>
  <c r="N401" i="5"/>
  <c r="P400" i="5"/>
  <c r="O400" i="5"/>
  <c r="AJ400" i="5" s="1"/>
  <c r="N400" i="5"/>
  <c r="Z400" i="5" s="1"/>
  <c r="P399" i="5"/>
  <c r="O399" i="5"/>
  <c r="N399" i="5"/>
  <c r="P398" i="5"/>
  <c r="O398" i="5"/>
  <c r="N398" i="5"/>
  <c r="P397" i="5"/>
  <c r="O397" i="5"/>
  <c r="N397" i="5"/>
  <c r="P396" i="5"/>
  <c r="O396" i="5"/>
  <c r="N396" i="5"/>
  <c r="P395" i="5"/>
  <c r="O395" i="5"/>
  <c r="N395" i="5"/>
  <c r="Z395" i="5" s="1"/>
  <c r="P394" i="5"/>
  <c r="O394" i="5"/>
  <c r="N394" i="5"/>
  <c r="P393" i="5"/>
  <c r="O393" i="5"/>
  <c r="N393" i="5"/>
  <c r="P392" i="5"/>
  <c r="O392" i="5"/>
  <c r="N392" i="5"/>
  <c r="Z392" i="5" s="1"/>
  <c r="P391" i="5"/>
  <c r="O391" i="5"/>
  <c r="N391" i="5"/>
  <c r="P390" i="5"/>
  <c r="O390" i="5"/>
  <c r="N390" i="5"/>
  <c r="P389" i="5"/>
  <c r="O389" i="5"/>
  <c r="N389" i="5"/>
  <c r="P388" i="5"/>
  <c r="O388" i="5"/>
  <c r="N388" i="5"/>
  <c r="P387" i="5"/>
  <c r="O387" i="5"/>
  <c r="N387" i="5"/>
  <c r="Z387" i="5" s="1"/>
  <c r="P386" i="5"/>
  <c r="O386" i="5"/>
  <c r="N386" i="5"/>
  <c r="P385" i="5"/>
  <c r="O385" i="5"/>
  <c r="N385" i="5"/>
  <c r="P384" i="5"/>
  <c r="O384" i="5"/>
  <c r="N384" i="5"/>
  <c r="Z384" i="5" s="1"/>
  <c r="P383" i="5"/>
  <c r="O383" i="5"/>
  <c r="N383" i="5"/>
  <c r="P382" i="5"/>
  <c r="O382" i="5"/>
  <c r="N382" i="5"/>
  <c r="P381" i="5"/>
  <c r="O381" i="5"/>
  <c r="N381" i="5"/>
  <c r="P380" i="5"/>
  <c r="O380" i="5"/>
  <c r="N380" i="5"/>
  <c r="P379" i="5"/>
  <c r="O379" i="5"/>
  <c r="N379" i="5"/>
  <c r="Z379" i="5" s="1"/>
  <c r="P378" i="5"/>
  <c r="O378" i="5"/>
  <c r="N378" i="5"/>
  <c r="P377" i="5"/>
  <c r="O377" i="5"/>
  <c r="N377" i="5"/>
  <c r="P376" i="5"/>
  <c r="O376" i="5"/>
  <c r="AU376" i="5" s="1"/>
  <c r="N376" i="5"/>
  <c r="Z376" i="5" s="1"/>
  <c r="P375" i="5"/>
  <c r="O375" i="5"/>
  <c r="N375" i="5"/>
  <c r="P374" i="5"/>
  <c r="O374" i="5"/>
  <c r="N374" i="5"/>
  <c r="P373" i="5"/>
  <c r="O373" i="5"/>
  <c r="AJ373" i="5" s="1"/>
  <c r="N373" i="5"/>
  <c r="P372" i="5"/>
  <c r="O372" i="5"/>
  <c r="N372" i="5"/>
  <c r="P371" i="5"/>
  <c r="O371" i="5"/>
  <c r="N371" i="5"/>
  <c r="P370" i="5"/>
  <c r="O370" i="5"/>
  <c r="N370" i="5"/>
  <c r="P369" i="5"/>
  <c r="O369" i="5"/>
  <c r="N369" i="5"/>
  <c r="P368" i="5"/>
  <c r="O368" i="5"/>
  <c r="AU368" i="5" s="1"/>
  <c r="N368" i="5"/>
  <c r="Z368" i="5" s="1"/>
  <c r="P367" i="5"/>
  <c r="O367" i="5"/>
  <c r="AU367" i="5" s="1"/>
  <c r="N367" i="5"/>
  <c r="Z367" i="5" s="1"/>
  <c r="P366" i="5"/>
  <c r="O366" i="5"/>
  <c r="N366" i="5"/>
  <c r="P365" i="5"/>
  <c r="O365" i="5"/>
  <c r="N365" i="5"/>
  <c r="P364" i="5"/>
  <c r="O364" i="5"/>
  <c r="N364" i="5"/>
  <c r="P363" i="5"/>
  <c r="O363" i="5"/>
  <c r="N363" i="5"/>
  <c r="Z363" i="5" s="1"/>
  <c r="P362" i="5"/>
  <c r="O362" i="5"/>
  <c r="N362" i="5"/>
  <c r="P361" i="5"/>
  <c r="O361" i="5"/>
  <c r="N361" i="5"/>
  <c r="P360" i="5"/>
  <c r="O360" i="5"/>
  <c r="AU360" i="5" s="1"/>
  <c r="N360" i="5"/>
  <c r="Z360" i="5" s="1"/>
  <c r="P359" i="5"/>
  <c r="O359" i="5"/>
  <c r="N359" i="5"/>
  <c r="P358" i="5"/>
  <c r="O358" i="5"/>
  <c r="N358" i="5"/>
  <c r="P357" i="5"/>
  <c r="O357" i="5"/>
  <c r="N357" i="5"/>
  <c r="P356" i="5"/>
  <c r="O356" i="5"/>
  <c r="N356" i="5"/>
  <c r="P355" i="5"/>
  <c r="O355" i="5"/>
  <c r="N355" i="5"/>
  <c r="Z355" i="5" s="1"/>
  <c r="P354" i="5"/>
  <c r="O354" i="5"/>
  <c r="N354" i="5"/>
  <c r="P353" i="5"/>
  <c r="O353" i="5"/>
  <c r="N353" i="5"/>
  <c r="P352" i="5"/>
  <c r="O352" i="5"/>
  <c r="N352" i="5"/>
  <c r="Z352" i="5" s="1"/>
  <c r="P351" i="5"/>
  <c r="O351" i="5"/>
  <c r="N351" i="5"/>
  <c r="P350" i="5"/>
  <c r="O350" i="5"/>
  <c r="N350" i="5"/>
  <c r="P349" i="5"/>
  <c r="O349" i="5"/>
  <c r="AJ349" i="5" s="1"/>
  <c r="N349" i="5"/>
  <c r="P348" i="5"/>
  <c r="O348" i="5"/>
  <c r="N348" i="5"/>
  <c r="P347" i="5"/>
  <c r="O347" i="5"/>
  <c r="N347" i="5"/>
  <c r="Z347" i="5" s="1"/>
  <c r="P346" i="5"/>
  <c r="O346" i="5"/>
  <c r="N346" i="5"/>
  <c r="P345" i="5"/>
  <c r="O345" i="5"/>
  <c r="N345" i="5"/>
  <c r="P344" i="5"/>
  <c r="O344" i="5"/>
  <c r="N344" i="5"/>
  <c r="Z344" i="5" s="1"/>
  <c r="P343" i="5"/>
  <c r="O343" i="5"/>
  <c r="N343" i="5"/>
  <c r="P342" i="5"/>
  <c r="O342" i="5"/>
  <c r="N342" i="5"/>
  <c r="P341" i="5"/>
  <c r="O341" i="5"/>
  <c r="AU341" i="5" s="1"/>
  <c r="N341" i="5"/>
  <c r="P340" i="5"/>
  <c r="O340" i="5"/>
  <c r="N340" i="5"/>
  <c r="P339" i="5"/>
  <c r="O339" i="5"/>
  <c r="N339" i="5"/>
  <c r="Z339" i="5" s="1"/>
  <c r="P338" i="5"/>
  <c r="O338" i="5"/>
  <c r="N338" i="5"/>
  <c r="P337" i="5"/>
  <c r="O337" i="5"/>
  <c r="N337" i="5"/>
  <c r="P336" i="5"/>
  <c r="O336" i="5"/>
  <c r="AJ336" i="5" s="1"/>
  <c r="N336" i="5"/>
  <c r="Z336" i="5" s="1"/>
  <c r="P335" i="5"/>
  <c r="O335" i="5"/>
  <c r="N335" i="5"/>
  <c r="P334" i="5"/>
  <c r="O334" i="5"/>
  <c r="N334" i="5"/>
  <c r="P333" i="5"/>
  <c r="O333" i="5"/>
  <c r="N333" i="5"/>
  <c r="P332" i="5"/>
  <c r="O332" i="5"/>
  <c r="N332" i="5"/>
  <c r="P331" i="5"/>
  <c r="O331" i="5"/>
  <c r="N331" i="5"/>
  <c r="Z331" i="5" s="1"/>
  <c r="P330" i="5"/>
  <c r="O330" i="5"/>
  <c r="N330" i="5"/>
  <c r="P329" i="5"/>
  <c r="O329" i="5"/>
  <c r="N329" i="5"/>
  <c r="P328" i="5"/>
  <c r="O328" i="5"/>
  <c r="AU328" i="5" s="1"/>
  <c r="N328" i="5"/>
  <c r="Z328" i="5" s="1"/>
  <c r="P327" i="5"/>
  <c r="O327" i="5"/>
  <c r="N327" i="5"/>
  <c r="P326" i="5"/>
  <c r="O326" i="5"/>
  <c r="N326" i="5"/>
  <c r="P325" i="5"/>
  <c r="O325" i="5"/>
  <c r="N325" i="5"/>
  <c r="P324" i="5"/>
  <c r="O324" i="5"/>
  <c r="N324" i="5"/>
  <c r="P323" i="5"/>
  <c r="O323" i="5"/>
  <c r="N323" i="5"/>
  <c r="Z323" i="5" s="1"/>
  <c r="P322" i="5"/>
  <c r="O322" i="5"/>
  <c r="N322" i="5"/>
  <c r="P321" i="5"/>
  <c r="O321" i="5"/>
  <c r="N321" i="5"/>
  <c r="P320" i="5"/>
  <c r="O320" i="5"/>
  <c r="N320" i="5"/>
  <c r="Z320" i="5" s="1"/>
  <c r="P319" i="5"/>
  <c r="O319" i="5"/>
  <c r="N319" i="5"/>
  <c r="P318" i="5"/>
  <c r="O318" i="5"/>
  <c r="N318" i="5"/>
  <c r="P317" i="5"/>
  <c r="O317" i="5"/>
  <c r="AJ317" i="5" s="1"/>
  <c r="N317" i="5"/>
  <c r="P316" i="5"/>
  <c r="O316" i="5"/>
  <c r="N316" i="5"/>
  <c r="P315" i="5"/>
  <c r="O315" i="5"/>
  <c r="N315" i="5"/>
  <c r="Z315" i="5" s="1"/>
  <c r="P314" i="5"/>
  <c r="O314" i="5"/>
  <c r="N314" i="5"/>
  <c r="P313" i="5"/>
  <c r="O313" i="5"/>
  <c r="N313" i="5"/>
  <c r="P312" i="5"/>
  <c r="O312" i="5"/>
  <c r="N312" i="5"/>
  <c r="Z312" i="5" s="1"/>
  <c r="P311" i="5"/>
  <c r="O311" i="5"/>
  <c r="N311" i="5"/>
  <c r="P310" i="5"/>
  <c r="O310" i="5"/>
  <c r="N310" i="5"/>
  <c r="P309" i="5"/>
  <c r="O309" i="5"/>
  <c r="N309" i="5"/>
  <c r="P308" i="5"/>
  <c r="O308" i="5"/>
  <c r="N308" i="5"/>
  <c r="P307" i="5"/>
  <c r="O307" i="5"/>
  <c r="N307" i="5"/>
  <c r="Z307" i="5" s="1"/>
  <c r="P306" i="5"/>
  <c r="O306" i="5"/>
  <c r="N306" i="5"/>
  <c r="P305" i="5"/>
  <c r="O305" i="5"/>
  <c r="N305" i="5"/>
  <c r="P304" i="5"/>
  <c r="O304" i="5"/>
  <c r="N304" i="5"/>
  <c r="Z304" i="5" s="1"/>
  <c r="P303" i="5"/>
  <c r="O303" i="5"/>
  <c r="N303" i="5"/>
  <c r="P302" i="5"/>
  <c r="O302" i="5"/>
  <c r="N302" i="5"/>
  <c r="P301" i="5"/>
  <c r="O301" i="5"/>
  <c r="AU301" i="5" s="1"/>
  <c r="N301" i="5"/>
  <c r="P300" i="5"/>
  <c r="O300" i="5"/>
  <c r="N300" i="5"/>
  <c r="P299" i="5"/>
  <c r="O299" i="5"/>
  <c r="N299" i="5"/>
  <c r="Z299" i="5" s="1"/>
  <c r="P298" i="5"/>
  <c r="O298" i="5"/>
  <c r="N298" i="5"/>
  <c r="P297" i="5"/>
  <c r="O297" i="5"/>
  <c r="N297" i="5"/>
  <c r="P296" i="5"/>
  <c r="O296" i="5"/>
  <c r="AU296" i="5" s="1"/>
  <c r="N296" i="5"/>
  <c r="Z296" i="5" s="1"/>
  <c r="P295" i="5"/>
  <c r="O295" i="5"/>
  <c r="N295" i="5"/>
  <c r="P294" i="5"/>
  <c r="O294" i="5"/>
  <c r="N294" i="5"/>
  <c r="P293" i="5"/>
  <c r="O293" i="5"/>
  <c r="N293" i="5"/>
  <c r="P292" i="5"/>
  <c r="O292" i="5"/>
  <c r="N292" i="5"/>
  <c r="P291" i="5"/>
  <c r="O291" i="5"/>
  <c r="N291" i="5"/>
  <c r="Z291" i="5" s="1"/>
  <c r="P290" i="5"/>
  <c r="O290" i="5"/>
  <c r="N290" i="5"/>
  <c r="P289" i="5"/>
  <c r="O289" i="5"/>
  <c r="N289" i="5"/>
  <c r="P288" i="5"/>
  <c r="O288" i="5"/>
  <c r="AJ288" i="5" s="1"/>
  <c r="N288" i="5"/>
  <c r="Z288" i="5" s="1"/>
  <c r="P287" i="5"/>
  <c r="O287" i="5"/>
  <c r="N287" i="5"/>
  <c r="P286" i="5"/>
  <c r="O286" i="5"/>
  <c r="N286" i="5"/>
  <c r="P285" i="5"/>
  <c r="O285" i="5"/>
  <c r="AU285" i="5" s="1"/>
  <c r="N285" i="5"/>
  <c r="P284" i="5"/>
  <c r="O284" i="5"/>
  <c r="N284" i="5"/>
  <c r="P283" i="5"/>
  <c r="O283" i="5"/>
  <c r="N283" i="5"/>
  <c r="Z283" i="5" s="1"/>
  <c r="P282" i="5"/>
  <c r="O282" i="5"/>
  <c r="N282" i="5"/>
  <c r="P281" i="5"/>
  <c r="O281" i="5"/>
  <c r="N281" i="5"/>
  <c r="P280" i="5"/>
  <c r="O280" i="5"/>
  <c r="AU280" i="5" s="1"/>
  <c r="N280" i="5"/>
  <c r="Z280" i="5" s="1"/>
  <c r="P279" i="5"/>
  <c r="O279" i="5"/>
  <c r="N279" i="5"/>
  <c r="P278" i="5"/>
  <c r="O278" i="5"/>
  <c r="N278" i="5"/>
  <c r="P277" i="5"/>
  <c r="O277" i="5"/>
  <c r="N277" i="5"/>
  <c r="P276" i="5"/>
  <c r="O276" i="5"/>
  <c r="N276" i="5"/>
  <c r="P275" i="5"/>
  <c r="O275" i="5"/>
  <c r="N275" i="5"/>
  <c r="Z275" i="5" s="1"/>
  <c r="P274" i="5"/>
  <c r="O274" i="5"/>
  <c r="N274" i="5"/>
  <c r="P273" i="5"/>
  <c r="O273" i="5"/>
  <c r="N273" i="5"/>
  <c r="P272" i="5"/>
  <c r="O272" i="5"/>
  <c r="AJ272" i="5" s="1"/>
  <c r="N272" i="5"/>
  <c r="Z272" i="5" s="1"/>
  <c r="P271" i="5"/>
  <c r="O271" i="5"/>
  <c r="N271" i="5"/>
  <c r="P270" i="5"/>
  <c r="O270" i="5"/>
  <c r="N270" i="5"/>
  <c r="P269" i="5"/>
  <c r="O269" i="5"/>
  <c r="N269" i="5"/>
  <c r="P268" i="5"/>
  <c r="O268" i="5"/>
  <c r="N268" i="5"/>
  <c r="P267" i="5"/>
  <c r="O267" i="5"/>
  <c r="N267" i="5"/>
  <c r="Z267" i="5" s="1"/>
  <c r="P266" i="5"/>
  <c r="O266" i="5"/>
  <c r="N266" i="5"/>
  <c r="P265" i="5"/>
  <c r="O265" i="5"/>
  <c r="N265" i="5"/>
  <c r="P264" i="5"/>
  <c r="O264" i="5"/>
  <c r="AJ264" i="5" s="1"/>
  <c r="N264" i="5"/>
  <c r="Z264" i="5" s="1"/>
  <c r="P263" i="5"/>
  <c r="O263" i="5"/>
  <c r="N263" i="5"/>
  <c r="P262" i="5"/>
  <c r="O262" i="5"/>
  <c r="N262" i="5"/>
  <c r="P261" i="5"/>
  <c r="O261" i="5"/>
  <c r="N261" i="5"/>
  <c r="P260" i="5"/>
  <c r="O260" i="5"/>
  <c r="N260" i="5"/>
  <c r="P259" i="5"/>
  <c r="O259" i="5"/>
  <c r="N259" i="5"/>
  <c r="Z259" i="5" s="1"/>
  <c r="P258" i="5"/>
  <c r="O258" i="5"/>
  <c r="AJ258" i="5" s="1"/>
  <c r="N258" i="5"/>
  <c r="P257" i="5"/>
  <c r="O257" i="5"/>
  <c r="N257" i="5"/>
  <c r="P256" i="5"/>
  <c r="O256" i="5"/>
  <c r="AU256" i="5" s="1"/>
  <c r="N256" i="5"/>
  <c r="Z256" i="5" s="1"/>
  <c r="P255" i="5"/>
  <c r="O255" i="5"/>
  <c r="N255" i="5"/>
  <c r="P254" i="5"/>
  <c r="O254" i="5"/>
  <c r="N254" i="5"/>
  <c r="P253" i="5"/>
  <c r="O253" i="5"/>
  <c r="AJ253" i="5" s="1"/>
  <c r="N253" i="5"/>
  <c r="P252" i="5"/>
  <c r="O252" i="5"/>
  <c r="N252" i="5"/>
  <c r="P251" i="5"/>
  <c r="O251" i="5"/>
  <c r="N251" i="5"/>
  <c r="Z251" i="5" s="1"/>
  <c r="P250" i="5"/>
  <c r="O250" i="5"/>
  <c r="N250" i="5"/>
  <c r="P249" i="5"/>
  <c r="O249" i="5"/>
  <c r="N249" i="5"/>
  <c r="P248" i="5"/>
  <c r="O248" i="5"/>
  <c r="AJ248" i="5" s="1"/>
  <c r="N248" i="5"/>
  <c r="Z248" i="5" s="1"/>
  <c r="P247" i="5"/>
  <c r="O247" i="5"/>
  <c r="N247" i="5"/>
  <c r="P246" i="5"/>
  <c r="O246" i="5"/>
  <c r="N246" i="5"/>
  <c r="P245" i="5"/>
  <c r="O245" i="5"/>
  <c r="N245" i="5"/>
  <c r="P244" i="5"/>
  <c r="O244" i="5"/>
  <c r="N244" i="5"/>
  <c r="P243" i="5"/>
  <c r="O243" i="5"/>
  <c r="N243" i="5"/>
  <c r="Z243" i="5" s="1"/>
  <c r="P242" i="5"/>
  <c r="O242" i="5"/>
  <c r="N242" i="5"/>
  <c r="P241" i="5"/>
  <c r="O241" i="5"/>
  <c r="N241" i="5"/>
  <c r="P240" i="5"/>
  <c r="O240" i="5"/>
  <c r="AU240" i="5" s="1"/>
  <c r="N240" i="5"/>
  <c r="Z240" i="5" s="1"/>
  <c r="P239" i="5"/>
  <c r="O239" i="5"/>
  <c r="N239" i="5"/>
  <c r="P238" i="5"/>
  <c r="O238" i="5"/>
  <c r="N238" i="5"/>
  <c r="P237" i="5"/>
  <c r="O237" i="5"/>
  <c r="AJ237" i="5" s="1"/>
  <c r="N237" i="5"/>
  <c r="P236" i="5"/>
  <c r="O236" i="5"/>
  <c r="N236" i="5"/>
  <c r="P235" i="5"/>
  <c r="O235" i="5"/>
  <c r="N235" i="5"/>
  <c r="Z235" i="5" s="1"/>
  <c r="P234" i="5"/>
  <c r="O234" i="5"/>
  <c r="N234" i="5"/>
  <c r="P233" i="5"/>
  <c r="O233" i="5"/>
  <c r="N233" i="5"/>
  <c r="P232" i="5"/>
  <c r="O232" i="5"/>
  <c r="AU232" i="5" s="1"/>
  <c r="N232" i="5"/>
  <c r="Z232" i="5" s="1"/>
  <c r="P231" i="5"/>
  <c r="O231" i="5"/>
  <c r="N231" i="5"/>
  <c r="P230" i="5"/>
  <c r="O230" i="5"/>
  <c r="N230" i="5"/>
  <c r="P229" i="5"/>
  <c r="O229" i="5"/>
  <c r="AJ229" i="5" s="1"/>
  <c r="N229" i="5"/>
  <c r="P228" i="5"/>
  <c r="O228" i="5"/>
  <c r="N228" i="5"/>
  <c r="P227" i="5"/>
  <c r="O227" i="5"/>
  <c r="N227" i="5"/>
  <c r="Z227" i="5" s="1"/>
  <c r="P226" i="5"/>
  <c r="O226" i="5"/>
  <c r="N226" i="5"/>
  <c r="P225" i="5"/>
  <c r="O225" i="5"/>
  <c r="N225" i="5"/>
  <c r="P224" i="5"/>
  <c r="O224" i="5"/>
  <c r="AJ224" i="5" s="1"/>
  <c r="N224" i="5"/>
  <c r="Z224" i="5" s="1"/>
  <c r="P223" i="5"/>
  <c r="O223" i="5"/>
  <c r="N223" i="5"/>
  <c r="P222" i="5"/>
  <c r="O222" i="5"/>
  <c r="N222" i="5"/>
  <c r="P221" i="5"/>
  <c r="O221" i="5"/>
  <c r="AU221" i="5" s="1"/>
  <c r="N221" i="5"/>
  <c r="P220" i="5"/>
  <c r="O220" i="5"/>
  <c r="N220" i="5"/>
  <c r="P219" i="5"/>
  <c r="O219" i="5"/>
  <c r="N219" i="5"/>
  <c r="P218" i="5"/>
  <c r="O218" i="5"/>
  <c r="N218" i="5"/>
  <c r="P217" i="5"/>
  <c r="O217" i="5"/>
  <c r="N217" i="5"/>
  <c r="P216" i="5"/>
  <c r="O216" i="5"/>
  <c r="N216" i="5"/>
  <c r="Z216" i="5" s="1"/>
  <c r="P215" i="5"/>
  <c r="O215" i="5"/>
  <c r="N215" i="5"/>
  <c r="P214" i="5"/>
  <c r="O214" i="5"/>
  <c r="N214" i="5"/>
  <c r="P213" i="5"/>
  <c r="O213" i="5"/>
  <c r="AJ213" i="5" s="1"/>
  <c r="N213" i="5"/>
  <c r="P212" i="5"/>
  <c r="O212" i="5"/>
  <c r="N212" i="5"/>
  <c r="P211" i="5"/>
  <c r="O211" i="5"/>
  <c r="N211" i="5"/>
  <c r="P210" i="5"/>
  <c r="O210" i="5"/>
  <c r="N210" i="5"/>
  <c r="P209" i="5"/>
  <c r="O209" i="5"/>
  <c r="N209" i="5"/>
  <c r="P208" i="5"/>
  <c r="O208" i="5"/>
  <c r="AJ208" i="5" s="1"/>
  <c r="N208" i="5"/>
  <c r="Z208" i="5" s="1"/>
  <c r="P207" i="5"/>
  <c r="O207" i="5"/>
  <c r="N207" i="5"/>
  <c r="P206" i="5"/>
  <c r="O206" i="5"/>
  <c r="N206" i="5"/>
  <c r="P205" i="5"/>
  <c r="O205" i="5"/>
  <c r="AU205" i="5" s="1"/>
  <c r="N205" i="5"/>
  <c r="P204" i="5"/>
  <c r="O204" i="5"/>
  <c r="N204" i="5"/>
  <c r="P203" i="5"/>
  <c r="O203" i="5"/>
  <c r="N203" i="5"/>
  <c r="P202" i="5"/>
  <c r="O202" i="5"/>
  <c r="N202" i="5"/>
  <c r="P201" i="5"/>
  <c r="O201" i="5"/>
  <c r="N201" i="5"/>
  <c r="P200" i="5"/>
  <c r="O200" i="5"/>
  <c r="AU200" i="5" s="1"/>
  <c r="N200" i="5"/>
  <c r="Z200" i="5" s="1"/>
  <c r="P199" i="5"/>
  <c r="O199" i="5"/>
  <c r="N199" i="5"/>
  <c r="P198" i="5"/>
  <c r="O198" i="5"/>
  <c r="N198" i="5"/>
  <c r="P197" i="5"/>
  <c r="O197" i="5"/>
  <c r="AJ197" i="5" s="1"/>
  <c r="N197" i="5"/>
  <c r="P196" i="5"/>
  <c r="O196" i="5"/>
  <c r="N196" i="5"/>
  <c r="P195" i="5"/>
  <c r="O195" i="5"/>
  <c r="N195" i="5"/>
  <c r="Z195" i="5" s="1"/>
  <c r="P194" i="5"/>
  <c r="O194" i="5"/>
  <c r="N194" i="5"/>
  <c r="P193" i="5"/>
  <c r="O193" i="5"/>
  <c r="N193" i="5"/>
  <c r="P192" i="5"/>
  <c r="O192" i="5"/>
  <c r="AU192" i="5" s="1"/>
  <c r="N192" i="5"/>
  <c r="Z192" i="5" s="1"/>
  <c r="P191" i="5"/>
  <c r="O191" i="5"/>
  <c r="N191" i="5"/>
  <c r="P190" i="5"/>
  <c r="O190" i="5"/>
  <c r="N190" i="5"/>
  <c r="P189" i="5"/>
  <c r="O189" i="5"/>
  <c r="AU189" i="5" s="1"/>
  <c r="N189" i="5"/>
  <c r="P188" i="5"/>
  <c r="O188" i="5"/>
  <c r="N188" i="5"/>
  <c r="P187" i="5"/>
  <c r="O187" i="5"/>
  <c r="N187" i="5"/>
  <c r="P186" i="5"/>
  <c r="O186" i="5"/>
  <c r="N186" i="5"/>
  <c r="P185" i="5"/>
  <c r="O185" i="5"/>
  <c r="N185" i="5"/>
  <c r="P184" i="5"/>
  <c r="O184" i="5"/>
  <c r="AJ184" i="5" s="1"/>
  <c r="N184" i="5"/>
  <c r="Z184" i="5" s="1"/>
  <c r="P183" i="5"/>
  <c r="O183" i="5"/>
  <c r="N183" i="5"/>
  <c r="P182" i="5"/>
  <c r="O182" i="5"/>
  <c r="N182" i="5"/>
  <c r="P181" i="5"/>
  <c r="O181" i="5"/>
  <c r="AJ181" i="5" s="1"/>
  <c r="N181" i="5"/>
  <c r="P180" i="5"/>
  <c r="O180" i="5"/>
  <c r="N180" i="5"/>
  <c r="P179" i="5"/>
  <c r="O179" i="5"/>
  <c r="N179" i="5"/>
  <c r="Z179" i="5" s="1"/>
  <c r="P178" i="5"/>
  <c r="O178" i="5"/>
  <c r="N178" i="5"/>
  <c r="P177" i="5"/>
  <c r="O177" i="5"/>
  <c r="N177" i="5"/>
  <c r="P176" i="5"/>
  <c r="O176" i="5"/>
  <c r="AJ176" i="5" s="1"/>
  <c r="N176" i="5"/>
  <c r="Z176" i="5" s="1"/>
  <c r="P175" i="5"/>
  <c r="O175" i="5"/>
  <c r="N175" i="5"/>
  <c r="P174" i="5"/>
  <c r="O174" i="5"/>
  <c r="N174" i="5"/>
  <c r="P173" i="5"/>
  <c r="O173" i="5"/>
  <c r="AJ173" i="5" s="1"/>
  <c r="N173" i="5"/>
  <c r="P172" i="5"/>
  <c r="O172" i="5"/>
  <c r="N172" i="5"/>
  <c r="P171" i="5"/>
  <c r="O171" i="5"/>
  <c r="N171" i="5"/>
  <c r="P170" i="5"/>
  <c r="O170" i="5"/>
  <c r="N170" i="5"/>
  <c r="P169" i="5"/>
  <c r="O169" i="5"/>
  <c r="N169" i="5"/>
  <c r="P168" i="5"/>
  <c r="O168" i="5"/>
  <c r="AJ168" i="5" s="1"/>
  <c r="N168" i="5"/>
  <c r="Z168" i="5" s="1"/>
  <c r="P167" i="5"/>
  <c r="O167" i="5"/>
  <c r="N167" i="5"/>
  <c r="P166" i="5"/>
  <c r="O166" i="5"/>
  <c r="N166" i="5"/>
  <c r="P165" i="5"/>
  <c r="O165" i="5"/>
  <c r="AJ165" i="5" s="1"/>
  <c r="N165" i="5"/>
  <c r="P164" i="5"/>
  <c r="O164" i="5"/>
  <c r="N164" i="5"/>
  <c r="P163" i="5"/>
  <c r="O163" i="5"/>
  <c r="N163" i="5"/>
  <c r="Z163" i="5" s="1"/>
  <c r="P162" i="5"/>
  <c r="O162" i="5"/>
  <c r="N162" i="5"/>
  <c r="P161" i="5"/>
  <c r="O161" i="5"/>
  <c r="N161" i="5"/>
  <c r="P160" i="5"/>
  <c r="O160" i="5"/>
  <c r="AJ160" i="5" s="1"/>
  <c r="N160" i="5"/>
  <c r="Z160" i="5" s="1"/>
  <c r="P159" i="5"/>
  <c r="O159" i="5"/>
  <c r="N159" i="5"/>
  <c r="Z159" i="5" s="1"/>
  <c r="P158" i="5"/>
  <c r="O158" i="5"/>
  <c r="N158" i="5"/>
  <c r="P157" i="5"/>
  <c r="O157" i="5"/>
  <c r="N157" i="5"/>
  <c r="P156" i="5"/>
  <c r="O156" i="5"/>
  <c r="N156" i="5"/>
  <c r="P155" i="5"/>
  <c r="O155" i="5"/>
  <c r="N155" i="5"/>
  <c r="P154" i="5"/>
  <c r="O154" i="5"/>
  <c r="N154" i="5"/>
  <c r="P153" i="5"/>
  <c r="O153" i="5"/>
  <c r="N153" i="5"/>
  <c r="P152" i="5"/>
  <c r="O152" i="5"/>
  <c r="AJ152" i="5" s="1"/>
  <c r="N152" i="5"/>
  <c r="Z152" i="5" s="1"/>
  <c r="P151" i="5"/>
  <c r="O151" i="5"/>
  <c r="N151" i="5"/>
  <c r="P150" i="5"/>
  <c r="O150" i="5"/>
  <c r="N150" i="5"/>
  <c r="P149" i="5"/>
  <c r="O149" i="5"/>
  <c r="AU149" i="5" s="1"/>
  <c r="N149" i="5"/>
  <c r="P148" i="5"/>
  <c r="O148" i="5"/>
  <c r="N148" i="5"/>
  <c r="P147" i="5"/>
  <c r="O147" i="5"/>
  <c r="N147" i="5"/>
  <c r="Z147" i="5" s="1"/>
  <c r="P146" i="5"/>
  <c r="O146" i="5"/>
  <c r="N146" i="5"/>
  <c r="P145" i="5"/>
  <c r="O145" i="5"/>
  <c r="N145" i="5"/>
  <c r="P144" i="5"/>
  <c r="O144" i="5"/>
  <c r="AU144" i="5" s="1"/>
  <c r="N144" i="5"/>
  <c r="Z144" i="5" s="1"/>
  <c r="P143" i="5"/>
  <c r="O143" i="5"/>
  <c r="N143" i="5"/>
  <c r="P142" i="5"/>
  <c r="O142" i="5"/>
  <c r="N142" i="5"/>
  <c r="P141" i="5"/>
  <c r="O141" i="5"/>
  <c r="AJ141" i="5" s="1"/>
  <c r="N141" i="5"/>
  <c r="P140" i="5"/>
  <c r="O140" i="5"/>
  <c r="N140" i="5"/>
  <c r="P139" i="5"/>
  <c r="O139" i="5"/>
  <c r="N139" i="5"/>
  <c r="Z139" i="5" s="1"/>
  <c r="P138" i="5"/>
  <c r="O138" i="5"/>
  <c r="N138" i="5"/>
  <c r="P137" i="5"/>
  <c r="O137" i="5"/>
  <c r="N137" i="5"/>
  <c r="P136" i="5"/>
  <c r="O136" i="5"/>
  <c r="N136" i="5"/>
  <c r="Z136" i="5" s="1"/>
  <c r="P135" i="5"/>
  <c r="O135" i="5"/>
  <c r="N135" i="5"/>
  <c r="P134" i="5"/>
  <c r="O134" i="5"/>
  <c r="N134" i="5"/>
  <c r="P133" i="5"/>
  <c r="O133" i="5"/>
  <c r="AJ133" i="5" s="1"/>
  <c r="N133" i="5"/>
  <c r="P132" i="5"/>
  <c r="O132" i="5"/>
  <c r="N132" i="5"/>
  <c r="P131" i="5"/>
  <c r="O131" i="5"/>
  <c r="N131" i="5"/>
  <c r="Z131" i="5" s="1"/>
  <c r="P130" i="5"/>
  <c r="O130" i="5"/>
  <c r="N130" i="5"/>
  <c r="P129" i="5"/>
  <c r="O129" i="5"/>
  <c r="N129" i="5"/>
  <c r="P128" i="5"/>
  <c r="O128" i="5"/>
  <c r="N128" i="5"/>
  <c r="Z128" i="5" s="1"/>
  <c r="P127" i="5"/>
  <c r="O127" i="5"/>
  <c r="N127" i="5"/>
  <c r="P126" i="5"/>
  <c r="O126" i="5"/>
  <c r="N126" i="5"/>
  <c r="P125" i="5"/>
  <c r="O125" i="5"/>
  <c r="AJ125" i="5" s="1"/>
  <c r="N125" i="5"/>
  <c r="P124" i="5"/>
  <c r="O124" i="5"/>
  <c r="N124" i="5"/>
  <c r="P123" i="5"/>
  <c r="O123" i="5"/>
  <c r="N123" i="5"/>
  <c r="Z123" i="5" s="1"/>
  <c r="P122" i="5"/>
  <c r="O122" i="5"/>
  <c r="N122" i="5"/>
  <c r="P121" i="5"/>
  <c r="O121" i="5"/>
  <c r="N121" i="5"/>
  <c r="P120" i="5"/>
  <c r="O120" i="5"/>
  <c r="N120" i="5"/>
  <c r="Z120" i="5" s="1"/>
  <c r="P119" i="5"/>
  <c r="O119" i="5"/>
  <c r="N119" i="5"/>
  <c r="P118" i="5"/>
  <c r="O118" i="5"/>
  <c r="N118" i="5"/>
  <c r="P117" i="5"/>
  <c r="O117" i="5"/>
  <c r="AU117" i="5" s="1"/>
  <c r="N117" i="5"/>
  <c r="P116" i="5"/>
  <c r="O116" i="5"/>
  <c r="N116" i="5"/>
  <c r="P115" i="5"/>
  <c r="O115" i="5"/>
  <c r="N115" i="5"/>
  <c r="Z115" i="5" s="1"/>
  <c r="P114" i="5"/>
  <c r="O114" i="5"/>
  <c r="N114" i="5"/>
  <c r="P113" i="5"/>
  <c r="O113" i="5"/>
  <c r="N113" i="5"/>
  <c r="P112" i="5"/>
  <c r="O112" i="5"/>
  <c r="N112" i="5"/>
  <c r="Z112" i="5" s="1"/>
  <c r="P111" i="5"/>
  <c r="O111" i="5"/>
  <c r="N111" i="5"/>
  <c r="P110" i="5"/>
  <c r="O110" i="5"/>
  <c r="N110" i="5"/>
  <c r="P109" i="5"/>
  <c r="O109" i="5"/>
  <c r="AU109" i="5" s="1"/>
  <c r="N109" i="5"/>
  <c r="P108" i="5"/>
  <c r="O108" i="5"/>
  <c r="N108" i="5"/>
  <c r="P107" i="5"/>
  <c r="O107" i="5"/>
  <c r="N107" i="5"/>
  <c r="Z107" i="5" s="1"/>
  <c r="P106" i="5"/>
  <c r="O106" i="5"/>
  <c r="N106" i="5"/>
  <c r="P105" i="5"/>
  <c r="O105" i="5"/>
  <c r="N105" i="5"/>
  <c r="P104" i="5"/>
  <c r="O104" i="5"/>
  <c r="AJ104" i="5" s="1"/>
  <c r="N104" i="5"/>
  <c r="Z104" i="5" s="1"/>
  <c r="P103" i="5"/>
  <c r="O103" i="5"/>
  <c r="N103" i="5"/>
  <c r="P102" i="5"/>
  <c r="O102" i="5"/>
  <c r="N102" i="5"/>
  <c r="P101" i="5"/>
  <c r="O101" i="5"/>
  <c r="N101" i="5"/>
  <c r="P100" i="5"/>
  <c r="O100" i="5"/>
  <c r="N100" i="5"/>
  <c r="P99" i="5"/>
  <c r="O99" i="5"/>
  <c r="N99" i="5"/>
  <c r="Z99" i="5" s="1"/>
  <c r="P98" i="5"/>
  <c r="O98" i="5"/>
  <c r="N98" i="5"/>
  <c r="P97" i="5"/>
  <c r="O97" i="5"/>
  <c r="N97" i="5"/>
  <c r="P96" i="5"/>
  <c r="O96" i="5"/>
  <c r="AJ96" i="5" s="1"/>
  <c r="N96" i="5"/>
  <c r="Z96" i="5" s="1"/>
  <c r="P95" i="5"/>
  <c r="O95" i="5"/>
  <c r="N95" i="5"/>
  <c r="P94" i="5"/>
  <c r="O94" i="5"/>
  <c r="N94" i="5"/>
  <c r="P93" i="5"/>
  <c r="O93" i="5"/>
  <c r="AJ93" i="5" s="1"/>
  <c r="N93" i="5"/>
  <c r="P92" i="5"/>
  <c r="O92" i="5"/>
  <c r="N92" i="5"/>
  <c r="P91" i="5"/>
  <c r="O91" i="5"/>
  <c r="N91" i="5"/>
  <c r="P90" i="5"/>
  <c r="O90" i="5"/>
  <c r="N90" i="5"/>
  <c r="P89" i="5"/>
  <c r="O89" i="5"/>
  <c r="N89" i="5"/>
  <c r="P88" i="5"/>
  <c r="O88" i="5"/>
  <c r="AJ88" i="5" s="1"/>
  <c r="N88" i="5"/>
  <c r="Z88" i="5" s="1"/>
  <c r="P87" i="5"/>
  <c r="O87" i="5"/>
  <c r="N87" i="5"/>
  <c r="P86" i="5"/>
  <c r="O86" i="5"/>
  <c r="N86" i="5"/>
  <c r="P85" i="5"/>
  <c r="O85" i="5"/>
  <c r="N85" i="5"/>
  <c r="P84" i="5"/>
  <c r="O84" i="5"/>
  <c r="N84" i="5"/>
  <c r="P83" i="5"/>
  <c r="O83" i="5"/>
  <c r="N83" i="5"/>
  <c r="Z83" i="5" s="1"/>
  <c r="P82" i="5"/>
  <c r="O82" i="5"/>
  <c r="N82" i="5"/>
  <c r="P81" i="5"/>
  <c r="O81" i="5"/>
  <c r="N81" i="5"/>
  <c r="P80" i="5"/>
  <c r="O80" i="5"/>
  <c r="AJ80" i="5" s="1"/>
  <c r="N80" i="5"/>
  <c r="Z80" i="5" s="1"/>
  <c r="P79" i="5"/>
  <c r="O79" i="5"/>
  <c r="N79" i="5"/>
  <c r="P78" i="5"/>
  <c r="O78" i="5"/>
  <c r="N78" i="5"/>
  <c r="P77" i="5"/>
  <c r="O77" i="5"/>
  <c r="N77" i="5"/>
  <c r="P76" i="5"/>
  <c r="O76" i="5"/>
  <c r="N76" i="5"/>
  <c r="P75" i="5"/>
  <c r="O75" i="5"/>
  <c r="N75" i="5"/>
  <c r="P74" i="5"/>
  <c r="O74" i="5"/>
  <c r="N74" i="5"/>
  <c r="P73" i="5"/>
  <c r="O73" i="5"/>
  <c r="N73" i="5"/>
  <c r="P72" i="5"/>
  <c r="O72" i="5"/>
  <c r="AJ72" i="5" s="1"/>
  <c r="N72" i="5"/>
  <c r="Z72" i="5" s="1"/>
  <c r="P71" i="5"/>
  <c r="O71" i="5"/>
  <c r="N71" i="5"/>
  <c r="P70" i="5"/>
  <c r="O70" i="5"/>
  <c r="N70" i="5"/>
  <c r="P69" i="5"/>
  <c r="O69" i="5"/>
  <c r="AU69" i="5" s="1"/>
  <c r="N69" i="5"/>
  <c r="P68" i="5"/>
  <c r="O68" i="5"/>
  <c r="N68" i="5"/>
  <c r="P67" i="5"/>
  <c r="O67" i="5"/>
  <c r="N67" i="5"/>
  <c r="Z67" i="5" s="1"/>
  <c r="P66" i="5"/>
  <c r="O66" i="5"/>
  <c r="N66" i="5"/>
  <c r="P65" i="5"/>
  <c r="O65" i="5"/>
  <c r="N65" i="5"/>
  <c r="P64" i="5"/>
  <c r="O64" i="5"/>
  <c r="AU64" i="5" s="1"/>
  <c r="N64" i="5"/>
  <c r="Z64" i="5" s="1"/>
  <c r="P63" i="5"/>
  <c r="O63" i="5"/>
  <c r="N63" i="5"/>
  <c r="P62" i="5"/>
  <c r="O62" i="5"/>
  <c r="N62" i="5"/>
  <c r="P61" i="5"/>
  <c r="O61" i="5"/>
  <c r="AJ61" i="5" s="1"/>
  <c r="N61" i="5"/>
  <c r="P60" i="5"/>
  <c r="O60" i="5"/>
  <c r="N60" i="5"/>
  <c r="P59" i="5"/>
  <c r="O59" i="5"/>
  <c r="N59" i="5"/>
  <c r="Z59" i="5" s="1"/>
  <c r="P58" i="5"/>
  <c r="O58" i="5"/>
  <c r="N58" i="5"/>
  <c r="P57" i="5"/>
  <c r="O57" i="5"/>
  <c r="N57" i="5"/>
  <c r="P56" i="5"/>
  <c r="O56" i="5"/>
  <c r="AU56" i="5" s="1"/>
  <c r="N56" i="5"/>
  <c r="Z56" i="5" s="1"/>
  <c r="P55" i="5"/>
  <c r="O55" i="5"/>
  <c r="N55" i="5"/>
  <c r="P54" i="5"/>
  <c r="O54" i="5"/>
  <c r="N54" i="5"/>
  <c r="P53" i="5"/>
  <c r="O53" i="5"/>
  <c r="AU53" i="5" s="1"/>
  <c r="N53" i="5"/>
  <c r="P52" i="5"/>
  <c r="O52" i="5"/>
  <c r="N52" i="5"/>
  <c r="P51" i="5"/>
  <c r="O51" i="5"/>
  <c r="N51" i="5"/>
  <c r="Z51" i="5" s="1"/>
  <c r="P50" i="5"/>
  <c r="O50" i="5"/>
  <c r="N50" i="5"/>
  <c r="P49" i="5"/>
  <c r="O49" i="5"/>
  <c r="AJ49" i="5" s="1"/>
  <c r="N49" i="5"/>
  <c r="Z49" i="5" s="1"/>
  <c r="P48" i="5"/>
  <c r="O48" i="5"/>
  <c r="AJ48" i="5" s="1"/>
  <c r="N48" i="5"/>
  <c r="Z48" i="5" s="1"/>
  <c r="P47" i="5"/>
  <c r="O47" i="5"/>
  <c r="N47" i="5"/>
  <c r="P46" i="5"/>
  <c r="O46" i="5"/>
  <c r="N46" i="5"/>
  <c r="P45" i="5"/>
  <c r="O45" i="5"/>
  <c r="AU45" i="5" s="1"/>
  <c r="N45" i="5"/>
  <c r="P44" i="5"/>
  <c r="O44" i="5"/>
  <c r="N44" i="5"/>
  <c r="P43" i="5"/>
  <c r="O43" i="5"/>
  <c r="N43" i="5"/>
  <c r="P42" i="5"/>
  <c r="O42" i="5"/>
  <c r="N42" i="5"/>
  <c r="P41" i="5"/>
  <c r="O41" i="5"/>
  <c r="N41" i="5"/>
  <c r="P40" i="5"/>
  <c r="O40" i="5"/>
  <c r="AJ40" i="5" s="1"/>
  <c r="N40" i="5"/>
  <c r="Z40" i="5" s="1"/>
  <c r="P39" i="5"/>
  <c r="O39" i="5"/>
  <c r="N39" i="5"/>
  <c r="P38" i="5"/>
  <c r="O38" i="5"/>
  <c r="N38" i="5"/>
  <c r="P37" i="5"/>
  <c r="O37" i="5"/>
  <c r="AJ37" i="5" s="1"/>
  <c r="N37" i="5"/>
  <c r="P36" i="5"/>
  <c r="O36" i="5"/>
  <c r="N36" i="5"/>
  <c r="P35" i="5"/>
  <c r="O35" i="5"/>
  <c r="N35" i="5"/>
  <c r="Z35" i="5" s="1"/>
  <c r="P34" i="5"/>
  <c r="O34" i="5"/>
  <c r="N34" i="5"/>
  <c r="P33" i="5"/>
  <c r="O33" i="5"/>
  <c r="N33" i="5"/>
  <c r="P32" i="5"/>
  <c r="O32" i="5"/>
  <c r="AU32" i="5" s="1"/>
  <c r="N32" i="5"/>
  <c r="Z32" i="5" s="1"/>
  <c r="P31" i="5"/>
  <c r="O31" i="5"/>
  <c r="N31" i="5"/>
  <c r="P30" i="5"/>
  <c r="O30" i="5"/>
  <c r="N30" i="5"/>
  <c r="P29" i="5"/>
  <c r="O29" i="5"/>
  <c r="AJ29" i="5" s="1"/>
  <c r="N29" i="5"/>
  <c r="P28" i="5"/>
  <c r="O28" i="5"/>
  <c r="N28" i="5"/>
  <c r="P27" i="5"/>
  <c r="O27" i="5"/>
  <c r="N27" i="5"/>
  <c r="Z27" i="5" s="1"/>
  <c r="P26" i="5"/>
  <c r="O26" i="5"/>
  <c r="N26" i="5"/>
  <c r="P25" i="5"/>
  <c r="O25" i="5"/>
  <c r="N25" i="5"/>
  <c r="P24" i="5"/>
  <c r="O24" i="5"/>
  <c r="AU24" i="5" s="1"/>
  <c r="N24" i="5"/>
  <c r="Z24" i="5" s="1"/>
  <c r="P23" i="5"/>
  <c r="O23" i="5"/>
  <c r="N23" i="5"/>
  <c r="P22" i="5"/>
  <c r="O22" i="5"/>
  <c r="N22" i="5"/>
  <c r="P21" i="5"/>
  <c r="O21" i="5"/>
  <c r="AU21" i="5" s="1"/>
  <c r="N21" i="5"/>
  <c r="P20" i="5"/>
  <c r="O20" i="5"/>
  <c r="N20" i="5"/>
  <c r="P19" i="5"/>
  <c r="O19" i="5"/>
  <c r="N19" i="5"/>
  <c r="Z19" i="5" s="1"/>
  <c r="P18" i="5"/>
  <c r="O18" i="5"/>
  <c r="N18" i="5"/>
  <c r="P17" i="5"/>
  <c r="O17" i="5"/>
  <c r="N17" i="5"/>
  <c r="P16" i="5"/>
  <c r="O16" i="5"/>
  <c r="AU16" i="5" s="1"/>
  <c r="N16" i="5"/>
  <c r="Z16" i="5" s="1"/>
  <c r="P15" i="5"/>
  <c r="O15" i="5"/>
  <c r="N15" i="5"/>
  <c r="P14" i="5"/>
  <c r="O14" i="5"/>
  <c r="N14" i="5"/>
  <c r="P13" i="5"/>
  <c r="O13" i="5"/>
  <c r="AU13" i="5" s="1"/>
  <c r="N13" i="5"/>
  <c r="P12" i="5"/>
  <c r="O12" i="5"/>
  <c r="N12" i="5"/>
  <c r="P11" i="5"/>
  <c r="O11" i="5"/>
  <c r="N11" i="5"/>
  <c r="Z11" i="5" s="1"/>
  <c r="P10" i="5"/>
  <c r="O10" i="5"/>
  <c r="N10" i="5"/>
  <c r="P9" i="5"/>
  <c r="O9" i="5"/>
  <c r="N9" i="5"/>
  <c r="P8" i="5"/>
  <c r="O8" i="5"/>
  <c r="AJ8" i="5" s="1"/>
  <c r="N8" i="5"/>
  <c r="Z8" i="5" s="1"/>
  <c r="P7" i="5"/>
  <c r="O7" i="5"/>
  <c r="N7" i="5"/>
  <c r="P6" i="5"/>
  <c r="O6" i="5"/>
  <c r="N6" i="5"/>
  <c r="P5" i="5"/>
  <c r="O5" i="5"/>
  <c r="AU5" i="5" s="1"/>
  <c r="N5" i="5"/>
  <c r="P4" i="5"/>
  <c r="O4" i="5"/>
  <c r="N4" i="5"/>
  <c r="AU446" i="5"/>
  <c r="AS446" i="5"/>
  <c r="AT446" i="5" s="1"/>
  <c r="AJ446" i="5"/>
  <c r="AI446" i="5"/>
  <c r="AU445" i="5"/>
  <c r="AS445" i="5"/>
  <c r="AT445" i="5" s="1"/>
  <c r="AJ445" i="5"/>
  <c r="AI445" i="5"/>
  <c r="Z445" i="5"/>
  <c r="AS444" i="5"/>
  <c r="AT444" i="5" s="1"/>
  <c r="AI444" i="5"/>
  <c r="AK444" i="5" s="1"/>
  <c r="Z444" i="5"/>
  <c r="AS443" i="5"/>
  <c r="AT443" i="5" s="1"/>
  <c r="AI443" i="5"/>
  <c r="AK443" i="5" s="1"/>
  <c r="Z443" i="5"/>
  <c r="AU442" i="5"/>
  <c r="AS442" i="5"/>
  <c r="AT442" i="5" s="1"/>
  <c r="AJ442" i="5"/>
  <c r="AI442" i="5"/>
  <c r="AO442" i="5" s="1"/>
  <c r="AR442" i="5" s="1"/>
  <c r="Z442" i="5"/>
  <c r="AU441" i="5"/>
  <c r="AS441" i="5"/>
  <c r="AT441" i="5" s="1"/>
  <c r="AJ441" i="5"/>
  <c r="AI441" i="5"/>
  <c r="AK441" i="5" s="1"/>
  <c r="Z441" i="5"/>
  <c r="AS440" i="5"/>
  <c r="AT440" i="5" s="1"/>
  <c r="AI440" i="5"/>
  <c r="AO440" i="5" s="1"/>
  <c r="AU439" i="5"/>
  <c r="AS439" i="5"/>
  <c r="AT439" i="5" s="1"/>
  <c r="AJ439" i="5"/>
  <c r="AI439" i="5"/>
  <c r="Z439" i="5"/>
  <c r="AU438" i="5"/>
  <c r="AS438" i="5"/>
  <c r="AT438" i="5" s="1"/>
  <c r="AJ438" i="5"/>
  <c r="AI438" i="5"/>
  <c r="Z438" i="5"/>
  <c r="AS437" i="5"/>
  <c r="AT437" i="5" s="1"/>
  <c r="AI437" i="5"/>
  <c r="AK437" i="5" s="1"/>
  <c r="Z437" i="5"/>
  <c r="AU436" i="5"/>
  <c r="AS436" i="5"/>
  <c r="AT436" i="5" s="1"/>
  <c r="AJ436" i="5"/>
  <c r="AI436" i="5"/>
  <c r="AK436" i="5" s="1"/>
  <c r="Z436" i="5"/>
  <c r="AU435" i="5"/>
  <c r="AS435" i="5"/>
  <c r="AT435" i="5" s="1"/>
  <c r="AJ435" i="5"/>
  <c r="AI435" i="5"/>
  <c r="AO435" i="5" s="1"/>
  <c r="AQ435" i="5" s="1"/>
  <c r="AU434" i="5"/>
  <c r="AS434" i="5"/>
  <c r="AT434" i="5" s="1"/>
  <c r="AJ434" i="5"/>
  <c r="AI434" i="5"/>
  <c r="AO434" i="5" s="1"/>
  <c r="AR434" i="5" s="1"/>
  <c r="Z434" i="5"/>
  <c r="AU433" i="5"/>
  <c r="AS433" i="5"/>
  <c r="AT433" i="5" s="1"/>
  <c r="AJ433" i="5"/>
  <c r="AI433" i="5"/>
  <c r="AK433" i="5" s="1"/>
  <c r="Z433" i="5"/>
  <c r="AS432" i="5"/>
  <c r="AT432" i="5" s="1"/>
  <c r="AI432" i="5"/>
  <c r="AO432" i="5" s="1"/>
  <c r="AU431" i="5"/>
  <c r="AS431" i="5"/>
  <c r="AT431" i="5" s="1"/>
  <c r="AJ431" i="5"/>
  <c r="AI431" i="5"/>
  <c r="Z431" i="5"/>
  <c r="AU430" i="5"/>
  <c r="AS430" i="5"/>
  <c r="AT430" i="5" s="1"/>
  <c r="AJ430" i="5"/>
  <c r="AI430" i="5"/>
  <c r="Z430" i="5"/>
  <c r="AS429" i="5"/>
  <c r="AT429" i="5" s="1"/>
  <c r="AI429" i="5"/>
  <c r="AK429" i="5" s="1"/>
  <c r="Z429" i="5"/>
  <c r="AU428" i="5"/>
  <c r="AS428" i="5"/>
  <c r="AT428" i="5" s="1"/>
  <c r="AJ428" i="5"/>
  <c r="AI428" i="5"/>
  <c r="AK428" i="5" s="1"/>
  <c r="Z428" i="5"/>
  <c r="AU427" i="5"/>
  <c r="AS427" i="5"/>
  <c r="AT427" i="5" s="1"/>
  <c r="AJ427" i="5"/>
  <c r="AI427" i="5"/>
  <c r="AO427" i="5" s="1"/>
  <c r="AQ427" i="5" s="1"/>
  <c r="AU426" i="5"/>
  <c r="AS426" i="5"/>
  <c r="AT426" i="5" s="1"/>
  <c r="AJ426" i="5"/>
  <c r="AI426" i="5"/>
  <c r="AO426" i="5" s="1"/>
  <c r="AR426" i="5" s="1"/>
  <c r="Z426" i="5"/>
  <c r="AU425" i="5"/>
  <c r="AS425" i="5"/>
  <c r="AT425" i="5" s="1"/>
  <c r="AJ425" i="5"/>
  <c r="AI425" i="5"/>
  <c r="AK425" i="5" s="1"/>
  <c r="AN425" i="5" s="1"/>
  <c r="Z425" i="5"/>
  <c r="AS424" i="5"/>
  <c r="AT424" i="5" s="1"/>
  <c r="AI424" i="5"/>
  <c r="AO424" i="5" s="1"/>
  <c r="AU423" i="5"/>
  <c r="AS423" i="5"/>
  <c r="AT423" i="5" s="1"/>
  <c r="AJ423" i="5"/>
  <c r="AI423" i="5"/>
  <c r="Z423" i="5"/>
  <c r="AU422" i="5"/>
  <c r="AS422" i="5"/>
  <c r="AT422" i="5" s="1"/>
  <c r="AJ422" i="5"/>
  <c r="AI422" i="5"/>
  <c r="Z422" i="5"/>
  <c r="AS421" i="5"/>
  <c r="AT421" i="5" s="1"/>
  <c r="AI421" i="5"/>
  <c r="AK421" i="5" s="1"/>
  <c r="Z421" i="5"/>
  <c r="AU420" i="5"/>
  <c r="AS420" i="5"/>
  <c r="AT420" i="5" s="1"/>
  <c r="AI420" i="5"/>
  <c r="AK420" i="5" s="1"/>
  <c r="AL420" i="5" s="1"/>
  <c r="Z420" i="5"/>
  <c r="AU419" i="5"/>
  <c r="AS419" i="5"/>
  <c r="AT419" i="5" s="1"/>
  <c r="AJ419" i="5"/>
  <c r="AI419" i="5"/>
  <c r="AK419" i="5" s="1"/>
  <c r="AU418" i="5"/>
  <c r="AS418" i="5"/>
  <c r="AT418" i="5" s="1"/>
  <c r="AJ418" i="5"/>
  <c r="AI418" i="5"/>
  <c r="Z418" i="5"/>
  <c r="AU417" i="5"/>
  <c r="AS417" i="5"/>
  <c r="AT417" i="5" s="1"/>
  <c r="AJ417" i="5"/>
  <c r="AI417" i="5"/>
  <c r="AK417" i="5" s="1"/>
  <c r="AN417" i="5" s="1"/>
  <c r="Z417" i="5"/>
  <c r="AS416" i="5"/>
  <c r="AT416" i="5" s="1"/>
  <c r="AI416" i="5"/>
  <c r="AO416" i="5" s="1"/>
  <c r="AP416" i="5" s="1"/>
  <c r="AU415" i="5"/>
  <c r="AS415" i="5"/>
  <c r="AT415" i="5" s="1"/>
  <c r="AJ415" i="5"/>
  <c r="AI415" i="5"/>
  <c r="AU414" i="5"/>
  <c r="AS414" i="5"/>
  <c r="AT414" i="5" s="1"/>
  <c r="AJ414" i="5"/>
  <c r="AI414" i="5"/>
  <c r="Z414" i="5"/>
  <c r="AS413" i="5"/>
  <c r="AT413" i="5" s="1"/>
  <c r="AI413" i="5"/>
  <c r="AK413" i="5" s="1"/>
  <c r="Z413" i="5"/>
  <c r="AU412" i="5"/>
  <c r="AS412" i="5"/>
  <c r="AT412" i="5" s="1"/>
  <c r="AI412" i="5"/>
  <c r="AK412" i="5" s="1"/>
  <c r="AL412" i="5" s="1"/>
  <c r="Z412" i="5"/>
  <c r="AU411" i="5"/>
  <c r="AS411" i="5"/>
  <c r="AT411" i="5" s="1"/>
  <c r="AJ411" i="5"/>
  <c r="AI411" i="5"/>
  <c r="AK411" i="5" s="1"/>
  <c r="AL411" i="5" s="1"/>
  <c r="AU410" i="5"/>
  <c r="AS410" i="5"/>
  <c r="AT410" i="5" s="1"/>
  <c r="AJ410" i="5"/>
  <c r="AI410" i="5"/>
  <c r="AK410" i="5" s="1"/>
  <c r="AU409" i="5"/>
  <c r="AS409" i="5"/>
  <c r="AT409" i="5" s="1"/>
  <c r="AJ409" i="5"/>
  <c r="AI409" i="5"/>
  <c r="AK409" i="5" s="1"/>
  <c r="Z409" i="5"/>
  <c r="AS408" i="5"/>
  <c r="AT408" i="5" s="1"/>
  <c r="AI408" i="5"/>
  <c r="AO408" i="5" s="1"/>
  <c r="AU407" i="5"/>
  <c r="AS407" i="5"/>
  <c r="AT407" i="5" s="1"/>
  <c r="AJ407" i="5"/>
  <c r="AI407" i="5"/>
  <c r="AU406" i="5"/>
  <c r="AS406" i="5"/>
  <c r="AT406" i="5" s="1"/>
  <c r="AJ406" i="5"/>
  <c r="AI406" i="5"/>
  <c r="Z406" i="5"/>
  <c r="AS405" i="5"/>
  <c r="AT405" i="5" s="1"/>
  <c r="AI405" i="5"/>
  <c r="AK405" i="5" s="1"/>
  <c r="Z405" i="5"/>
  <c r="AU404" i="5"/>
  <c r="AS404" i="5"/>
  <c r="AT404" i="5" s="1"/>
  <c r="AJ404" i="5"/>
  <c r="AI404" i="5"/>
  <c r="AK404" i="5" s="1"/>
  <c r="Z404" i="5"/>
  <c r="AU403" i="5"/>
  <c r="AS403" i="5"/>
  <c r="AT403" i="5" s="1"/>
  <c r="AJ403" i="5"/>
  <c r="AI403" i="5"/>
  <c r="AO403" i="5" s="1"/>
  <c r="AU402" i="5"/>
  <c r="AS402" i="5"/>
  <c r="AT402" i="5" s="1"/>
  <c r="AJ402" i="5"/>
  <c r="AI402" i="5"/>
  <c r="AO402" i="5" s="1"/>
  <c r="AR402" i="5" s="1"/>
  <c r="Z402" i="5"/>
  <c r="AU401" i="5"/>
  <c r="AS401" i="5"/>
  <c r="AT401" i="5" s="1"/>
  <c r="AJ401" i="5"/>
  <c r="AI401" i="5"/>
  <c r="AK401" i="5" s="1"/>
  <c r="Z401" i="5"/>
  <c r="AS400" i="5"/>
  <c r="AT400" i="5" s="1"/>
  <c r="AI400" i="5"/>
  <c r="AO400" i="5" s="1"/>
  <c r="AR400" i="5" s="1"/>
  <c r="AU399" i="5"/>
  <c r="AS399" i="5"/>
  <c r="AT399" i="5" s="1"/>
  <c r="AJ399" i="5"/>
  <c r="AI399" i="5"/>
  <c r="Z399" i="5"/>
  <c r="AU398" i="5"/>
  <c r="AS398" i="5"/>
  <c r="AT398" i="5" s="1"/>
  <c r="AJ398" i="5"/>
  <c r="AI398" i="5"/>
  <c r="AK398" i="5" s="1"/>
  <c r="Z398" i="5"/>
  <c r="AS397" i="5"/>
  <c r="AT397" i="5" s="1"/>
  <c r="AI397" i="5"/>
  <c r="AK397" i="5" s="1"/>
  <c r="AL397" i="5" s="1"/>
  <c r="Z397" i="5"/>
  <c r="AU396" i="5"/>
  <c r="AS396" i="5"/>
  <c r="AT396" i="5" s="1"/>
  <c r="AJ396" i="5"/>
  <c r="AI396" i="5"/>
  <c r="AK396" i="5" s="1"/>
  <c r="Z396" i="5"/>
  <c r="AU395" i="5"/>
  <c r="AS395" i="5"/>
  <c r="AT395" i="5" s="1"/>
  <c r="AJ395" i="5"/>
  <c r="AI395" i="5"/>
  <c r="AK395" i="5" s="1"/>
  <c r="AU394" i="5"/>
  <c r="AS394" i="5"/>
  <c r="AT394" i="5" s="1"/>
  <c r="AJ394" i="5"/>
  <c r="AI394" i="5"/>
  <c r="AO394" i="5" s="1"/>
  <c r="Z394" i="5"/>
  <c r="AU393" i="5"/>
  <c r="AS393" i="5"/>
  <c r="AT393" i="5" s="1"/>
  <c r="AJ393" i="5"/>
  <c r="AI393" i="5"/>
  <c r="AK393" i="5" s="1"/>
  <c r="Z393" i="5"/>
  <c r="AS392" i="5"/>
  <c r="AT392" i="5" s="1"/>
  <c r="AI392" i="5"/>
  <c r="AO392" i="5" s="1"/>
  <c r="AR392" i="5" s="1"/>
  <c r="AU391" i="5"/>
  <c r="AS391" i="5"/>
  <c r="AT391" i="5" s="1"/>
  <c r="AJ391" i="5"/>
  <c r="AI391" i="5"/>
  <c r="Z391" i="5"/>
  <c r="AU390" i="5"/>
  <c r="AS390" i="5"/>
  <c r="AT390" i="5" s="1"/>
  <c r="AJ390" i="5"/>
  <c r="AI390" i="5"/>
  <c r="Z390" i="5"/>
  <c r="AS389" i="5"/>
  <c r="AT389" i="5" s="1"/>
  <c r="AI389" i="5"/>
  <c r="AK389" i="5" s="1"/>
  <c r="Z389" i="5"/>
  <c r="AU388" i="5"/>
  <c r="AS388" i="5"/>
  <c r="AT388" i="5" s="1"/>
  <c r="AJ388" i="5"/>
  <c r="AI388" i="5"/>
  <c r="AK388" i="5" s="1"/>
  <c r="AM388" i="5" s="1"/>
  <c r="Z388" i="5"/>
  <c r="AU387" i="5"/>
  <c r="AS387" i="5"/>
  <c r="AT387" i="5" s="1"/>
  <c r="AJ387" i="5"/>
  <c r="AI387" i="5"/>
  <c r="AK387" i="5" s="1"/>
  <c r="AN387" i="5" s="1"/>
  <c r="AU386" i="5"/>
  <c r="AS386" i="5"/>
  <c r="AT386" i="5" s="1"/>
  <c r="AJ386" i="5"/>
  <c r="AI386" i="5"/>
  <c r="AO386" i="5" s="1"/>
  <c r="Z386" i="5"/>
  <c r="AU385" i="5"/>
  <c r="AS385" i="5"/>
  <c r="AT385" i="5" s="1"/>
  <c r="AJ385" i="5"/>
  <c r="AI385" i="5"/>
  <c r="AO385" i="5" s="1"/>
  <c r="Z385" i="5"/>
  <c r="AS384" i="5"/>
  <c r="AT384" i="5" s="1"/>
  <c r="AI384" i="5"/>
  <c r="AO384" i="5" s="1"/>
  <c r="AU383" i="5"/>
  <c r="AS383" i="5"/>
  <c r="AT383" i="5" s="1"/>
  <c r="AJ383" i="5"/>
  <c r="AI383" i="5"/>
  <c r="Z383" i="5"/>
  <c r="AU382" i="5"/>
  <c r="AS382" i="5"/>
  <c r="AT382" i="5" s="1"/>
  <c r="AJ382" i="5"/>
  <c r="AI382" i="5"/>
  <c r="AK382" i="5" s="1"/>
  <c r="Z382" i="5"/>
  <c r="AS381" i="5"/>
  <c r="AT381" i="5" s="1"/>
  <c r="AI381" i="5"/>
  <c r="AO381" i="5" s="1"/>
  <c r="Z381" i="5"/>
  <c r="AU380" i="5"/>
  <c r="AS380" i="5"/>
  <c r="AT380" i="5" s="1"/>
  <c r="AJ380" i="5"/>
  <c r="AI380" i="5"/>
  <c r="AK380" i="5" s="1"/>
  <c r="AM380" i="5" s="1"/>
  <c r="Z380" i="5"/>
  <c r="AU379" i="5"/>
  <c r="AS379" i="5"/>
  <c r="AT379" i="5" s="1"/>
  <c r="AJ379" i="5"/>
  <c r="AI379" i="5"/>
  <c r="AK379" i="5" s="1"/>
  <c r="AN379" i="5" s="1"/>
  <c r="AU378" i="5"/>
  <c r="AS378" i="5"/>
  <c r="AT378" i="5" s="1"/>
  <c r="AJ378" i="5"/>
  <c r="AI378" i="5"/>
  <c r="AO378" i="5" s="1"/>
  <c r="Z378" i="5"/>
  <c r="AU377" i="5"/>
  <c r="AS377" i="5"/>
  <c r="AT377" i="5" s="1"/>
  <c r="AJ377" i="5"/>
  <c r="AI377" i="5"/>
  <c r="AO377" i="5" s="1"/>
  <c r="AP377" i="5" s="1"/>
  <c r="Z377" i="5"/>
  <c r="AS376" i="5"/>
  <c r="AT376" i="5" s="1"/>
  <c r="AI376" i="5"/>
  <c r="AO376" i="5" s="1"/>
  <c r="AR376" i="5" s="1"/>
  <c r="AU375" i="5"/>
  <c r="AS375" i="5"/>
  <c r="AT375" i="5" s="1"/>
  <c r="AJ375" i="5"/>
  <c r="AI375" i="5"/>
  <c r="Z375" i="5"/>
  <c r="AU374" i="5"/>
  <c r="AS374" i="5"/>
  <c r="AT374" i="5" s="1"/>
  <c r="AJ374" i="5"/>
  <c r="AI374" i="5"/>
  <c r="AK374" i="5" s="1"/>
  <c r="Z374" i="5"/>
  <c r="AS373" i="5"/>
  <c r="AT373" i="5" s="1"/>
  <c r="AI373" i="5"/>
  <c r="AO373" i="5" s="1"/>
  <c r="Z373" i="5"/>
  <c r="AU372" i="5"/>
  <c r="AS372" i="5"/>
  <c r="AT372" i="5" s="1"/>
  <c r="AJ372" i="5"/>
  <c r="AI372" i="5"/>
  <c r="AK372" i="5" s="1"/>
  <c r="AM372" i="5" s="1"/>
  <c r="Z372" i="5"/>
  <c r="AU371" i="5"/>
  <c r="AS371" i="5"/>
  <c r="AT371" i="5" s="1"/>
  <c r="AJ371" i="5"/>
  <c r="AI371" i="5"/>
  <c r="AK371" i="5" s="1"/>
  <c r="AN371" i="5" s="1"/>
  <c r="Z371" i="5"/>
  <c r="AU370" i="5"/>
  <c r="AS370" i="5"/>
  <c r="AT370" i="5" s="1"/>
  <c r="AJ370" i="5"/>
  <c r="AI370" i="5"/>
  <c r="AO370" i="5" s="1"/>
  <c r="Z370" i="5"/>
  <c r="AU369" i="5"/>
  <c r="AS369" i="5"/>
  <c r="AT369" i="5" s="1"/>
  <c r="AJ369" i="5"/>
  <c r="AI369" i="5"/>
  <c r="Z369" i="5"/>
  <c r="AS368" i="5"/>
  <c r="AT368" i="5" s="1"/>
  <c r="AI368" i="5"/>
  <c r="AO368" i="5" s="1"/>
  <c r="AS367" i="5"/>
  <c r="AT367" i="5" s="1"/>
  <c r="AI367" i="5"/>
  <c r="AU366" i="5"/>
  <c r="AS366" i="5"/>
  <c r="AT366" i="5" s="1"/>
  <c r="AJ366" i="5"/>
  <c r="AI366" i="5"/>
  <c r="Z366" i="5"/>
  <c r="AS365" i="5"/>
  <c r="AT365" i="5" s="1"/>
  <c r="AI365" i="5"/>
  <c r="AO365" i="5" s="1"/>
  <c r="AQ365" i="5" s="1"/>
  <c r="Z365" i="5"/>
  <c r="AU364" i="5"/>
  <c r="AS364" i="5"/>
  <c r="AT364" i="5" s="1"/>
  <c r="AJ364" i="5"/>
  <c r="AI364" i="5"/>
  <c r="AO364" i="5" s="1"/>
  <c r="AP364" i="5" s="1"/>
  <c r="Z364" i="5"/>
  <c r="AU363" i="5"/>
  <c r="AS363" i="5"/>
  <c r="AT363" i="5" s="1"/>
  <c r="AJ363" i="5"/>
  <c r="AI363" i="5"/>
  <c r="AU362" i="5"/>
  <c r="AS362" i="5"/>
  <c r="AT362" i="5" s="1"/>
  <c r="AJ362" i="5"/>
  <c r="AI362" i="5"/>
  <c r="Z362" i="5"/>
  <c r="AU361" i="5"/>
  <c r="AS361" i="5"/>
  <c r="AT361" i="5" s="1"/>
  <c r="AJ361" i="5"/>
  <c r="AI361" i="5"/>
  <c r="AK361" i="5" s="1"/>
  <c r="Z361" i="5"/>
  <c r="AS360" i="5"/>
  <c r="AT360" i="5" s="1"/>
  <c r="AJ360" i="5"/>
  <c r="AI360" i="5"/>
  <c r="AO360" i="5" s="1"/>
  <c r="AU359" i="5"/>
  <c r="AS359" i="5"/>
  <c r="AT359" i="5" s="1"/>
  <c r="AJ359" i="5"/>
  <c r="AI359" i="5"/>
  <c r="Z359" i="5"/>
  <c r="AU358" i="5"/>
  <c r="AS358" i="5"/>
  <c r="AT358" i="5" s="1"/>
  <c r="AJ358" i="5"/>
  <c r="AI358" i="5"/>
  <c r="Z358" i="5"/>
  <c r="AS357" i="5"/>
  <c r="AT357" i="5" s="1"/>
  <c r="AI357" i="5"/>
  <c r="AK357" i="5" s="1"/>
  <c r="Z357" i="5"/>
  <c r="AU356" i="5"/>
  <c r="AS356" i="5"/>
  <c r="AT356" i="5" s="1"/>
  <c r="AJ356" i="5"/>
  <c r="AI356" i="5"/>
  <c r="AO356" i="5" s="1"/>
  <c r="AR356" i="5" s="1"/>
  <c r="Z356" i="5"/>
  <c r="AU355" i="5"/>
  <c r="AS355" i="5"/>
  <c r="AT355" i="5" s="1"/>
  <c r="AJ355" i="5"/>
  <c r="AI355" i="5"/>
  <c r="AK355" i="5" s="1"/>
  <c r="AL355" i="5" s="1"/>
  <c r="AU354" i="5"/>
  <c r="AS354" i="5"/>
  <c r="AT354" i="5" s="1"/>
  <c r="AJ354" i="5"/>
  <c r="AI354" i="5"/>
  <c r="Z354" i="5"/>
  <c r="AU353" i="5"/>
  <c r="AS353" i="5"/>
  <c r="AT353" i="5" s="1"/>
  <c r="AJ353" i="5"/>
  <c r="AI353" i="5"/>
  <c r="AO353" i="5" s="1"/>
  <c r="AR353" i="5" s="1"/>
  <c r="Z353" i="5"/>
  <c r="AS352" i="5"/>
  <c r="AT352" i="5" s="1"/>
  <c r="AI352" i="5"/>
  <c r="AO352" i="5" s="1"/>
  <c r="AU351" i="5"/>
  <c r="AS351" i="5"/>
  <c r="AT351" i="5" s="1"/>
  <c r="AJ351" i="5"/>
  <c r="AI351" i="5"/>
  <c r="Z351" i="5"/>
  <c r="AU350" i="5"/>
  <c r="AS350" i="5"/>
  <c r="AT350" i="5" s="1"/>
  <c r="AJ350" i="5"/>
  <c r="AI350" i="5"/>
  <c r="Z350" i="5"/>
  <c r="AS349" i="5"/>
  <c r="AT349" i="5" s="1"/>
  <c r="AI349" i="5"/>
  <c r="AO349" i="5" s="1"/>
  <c r="AR349" i="5" s="1"/>
  <c r="Z349" i="5"/>
  <c r="AU348" i="5"/>
  <c r="AS348" i="5"/>
  <c r="AT348" i="5" s="1"/>
  <c r="AJ348" i="5"/>
  <c r="AI348" i="5"/>
  <c r="AO348" i="5" s="1"/>
  <c r="AR348" i="5" s="1"/>
  <c r="Z348" i="5"/>
  <c r="AU347" i="5"/>
  <c r="AS347" i="5"/>
  <c r="AT347" i="5" s="1"/>
  <c r="AJ347" i="5"/>
  <c r="AI347" i="5"/>
  <c r="AK347" i="5" s="1"/>
  <c r="AU346" i="5"/>
  <c r="AS346" i="5"/>
  <c r="AT346" i="5" s="1"/>
  <c r="AJ346" i="5"/>
  <c r="AI346" i="5"/>
  <c r="Z346" i="5"/>
  <c r="AU345" i="5"/>
  <c r="AS345" i="5"/>
  <c r="AT345" i="5" s="1"/>
  <c r="AJ345" i="5"/>
  <c r="AI345" i="5"/>
  <c r="AK345" i="5" s="1"/>
  <c r="Z345" i="5"/>
  <c r="AS344" i="5"/>
  <c r="AT344" i="5" s="1"/>
  <c r="AI344" i="5"/>
  <c r="AK344" i="5" s="1"/>
  <c r="AU343" i="5"/>
  <c r="AS343" i="5"/>
  <c r="AT343" i="5" s="1"/>
  <c r="AJ343" i="5"/>
  <c r="AI343" i="5"/>
  <c r="Z343" i="5"/>
  <c r="AU342" i="5"/>
  <c r="AS342" i="5"/>
  <c r="AT342" i="5" s="1"/>
  <c r="AJ342" i="5"/>
  <c r="AI342" i="5"/>
  <c r="Z342" i="5"/>
  <c r="AS341" i="5"/>
  <c r="AT341" i="5" s="1"/>
  <c r="AI341" i="5"/>
  <c r="AK341" i="5" s="1"/>
  <c r="Z341" i="5"/>
  <c r="AU340" i="5"/>
  <c r="AS340" i="5"/>
  <c r="AT340" i="5" s="1"/>
  <c r="AJ340" i="5"/>
  <c r="AI340" i="5"/>
  <c r="AK340" i="5" s="1"/>
  <c r="AL340" i="5" s="1"/>
  <c r="Z340" i="5"/>
  <c r="AU339" i="5"/>
  <c r="AS339" i="5"/>
  <c r="AT339" i="5" s="1"/>
  <c r="AJ339" i="5"/>
  <c r="AI339" i="5"/>
  <c r="AK339" i="5" s="1"/>
  <c r="AU338" i="5"/>
  <c r="AS338" i="5"/>
  <c r="AT338" i="5" s="1"/>
  <c r="AJ338" i="5"/>
  <c r="AI338" i="5"/>
  <c r="Z338" i="5"/>
  <c r="AU337" i="5"/>
  <c r="AS337" i="5"/>
  <c r="AT337" i="5" s="1"/>
  <c r="AJ337" i="5"/>
  <c r="AI337" i="5"/>
  <c r="AO337" i="5" s="1"/>
  <c r="Z337" i="5"/>
  <c r="AS336" i="5"/>
  <c r="AT336" i="5" s="1"/>
  <c r="AI336" i="5"/>
  <c r="AO336" i="5" s="1"/>
  <c r="AP336" i="5" s="1"/>
  <c r="AU335" i="5"/>
  <c r="AS335" i="5"/>
  <c r="AT335" i="5" s="1"/>
  <c r="AJ335" i="5"/>
  <c r="AI335" i="5"/>
  <c r="Z335" i="5"/>
  <c r="AU334" i="5"/>
  <c r="AS334" i="5"/>
  <c r="AT334" i="5" s="1"/>
  <c r="AJ334" i="5"/>
  <c r="AI334" i="5"/>
  <c r="Z334" i="5"/>
  <c r="AS333" i="5"/>
  <c r="AT333" i="5" s="1"/>
  <c r="AI333" i="5"/>
  <c r="Z333" i="5"/>
  <c r="AU332" i="5"/>
  <c r="AS332" i="5"/>
  <c r="AT332" i="5" s="1"/>
  <c r="AJ332" i="5"/>
  <c r="AI332" i="5"/>
  <c r="Z332" i="5"/>
  <c r="AU331" i="5"/>
  <c r="AS331" i="5"/>
  <c r="AT331" i="5" s="1"/>
  <c r="AJ331" i="5"/>
  <c r="AI331" i="5"/>
  <c r="AK331" i="5" s="1"/>
  <c r="AU330" i="5"/>
  <c r="AS330" i="5"/>
  <c r="AT330" i="5" s="1"/>
  <c r="AJ330" i="5"/>
  <c r="AI330" i="5"/>
  <c r="Z330" i="5"/>
  <c r="AU329" i="5"/>
  <c r="AS329" i="5"/>
  <c r="AT329" i="5" s="1"/>
  <c r="AJ329" i="5"/>
  <c r="AI329" i="5"/>
  <c r="AO329" i="5" s="1"/>
  <c r="Z329" i="5"/>
  <c r="AS328" i="5"/>
  <c r="AT328" i="5" s="1"/>
  <c r="AI328" i="5"/>
  <c r="AU327" i="5"/>
  <c r="AS327" i="5"/>
  <c r="AT327" i="5" s="1"/>
  <c r="AJ327" i="5"/>
  <c r="AI327" i="5"/>
  <c r="Z327" i="5"/>
  <c r="AU326" i="5"/>
  <c r="AS326" i="5"/>
  <c r="AT326" i="5" s="1"/>
  <c r="AJ326" i="5"/>
  <c r="AI326" i="5"/>
  <c r="Z326" i="5"/>
  <c r="AS325" i="5"/>
  <c r="AT325" i="5" s="1"/>
  <c r="AI325" i="5"/>
  <c r="AO325" i="5" s="1"/>
  <c r="Z325" i="5"/>
  <c r="AU324" i="5"/>
  <c r="AS324" i="5"/>
  <c r="AT324" i="5" s="1"/>
  <c r="AJ324" i="5"/>
  <c r="AI324" i="5"/>
  <c r="AO324" i="5" s="1"/>
  <c r="AR324" i="5" s="1"/>
  <c r="Z324" i="5"/>
  <c r="AU323" i="5"/>
  <c r="AS323" i="5"/>
  <c r="AT323" i="5" s="1"/>
  <c r="AJ323" i="5"/>
  <c r="AI323" i="5"/>
  <c r="AK323" i="5" s="1"/>
  <c r="AU322" i="5"/>
  <c r="AS322" i="5"/>
  <c r="AT322" i="5" s="1"/>
  <c r="AJ322" i="5"/>
  <c r="AI322" i="5"/>
  <c r="Z322" i="5"/>
  <c r="AU321" i="5"/>
  <c r="AS321" i="5"/>
  <c r="AT321" i="5" s="1"/>
  <c r="AJ321" i="5"/>
  <c r="AI321" i="5"/>
  <c r="AO321" i="5" s="1"/>
  <c r="Z321" i="5"/>
  <c r="AS320" i="5"/>
  <c r="AT320" i="5" s="1"/>
  <c r="AI320" i="5"/>
  <c r="AO320" i="5" s="1"/>
  <c r="AP320" i="5" s="1"/>
  <c r="AU319" i="5"/>
  <c r="AS319" i="5"/>
  <c r="AT319" i="5" s="1"/>
  <c r="AJ319" i="5"/>
  <c r="AI319" i="5"/>
  <c r="Z319" i="5"/>
  <c r="AU318" i="5"/>
  <c r="AS318" i="5"/>
  <c r="AT318" i="5" s="1"/>
  <c r="AJ318" i="5"/>
  <c r="AI318" i="5"/>
  <c r="Z318" i="5"/>
  <c r="AS317" i="5"/>
  <c r="AT317" i="5" s="1"/>
  <c r="AI317" i="5"/>
  <c r="AO317" i="5" s="1"/>
  <c r="AR317" i="5" s="1"/>
  <c r="Z317" i="5"/>
  <c r="AU316" i="5"/>
  <c r="AS316" i="5"/>
  <c r="AT316" i="5" s="1"/>
  <c r="AJ316" i="5"/>
  <c r="AI316" i="5"/>
  <c r="AO316" i="5" s="1"/>
  <c r="AR316" i="5" s="1"/>
  <c r="Z316" i="5"/>
  <c r="AU315" i="5"/>
  <c r="AS315" i="5"/>
  <c r="AT315" i="5" s="1"/>
  <c r="AJ315" i="5"/>
  <c r="AI315" i="5"/>
  <c r="AK315" i="5" s="1"/>
  <c r="AU314" i="5"/>
  <c r="AS314" i="5"/>
  <c r="AT314" i="5" s="1"/>
  <c r="AJ314" i="5"/>
  <c r="AI314" i="5"/>
  <c r="Z314" i="5"/>
  <c r="AU313" i="5"/>
  <c r="AS313" i="5"/>
  <c r="AT313" i="5" s="1"/>
  <c r="AJ313" i="5"/>
  <c r="AI313" i="5"/>
  <c r="AO313" i="5" s="1"/>
  <c r="Z313" i="5"/>
  <c r="AS312" i="5"/>
  <c r="AT312" i="5" s="1"/>
  <c r="AI312" i="5"/>
  <c r="AK312" i="5" s="1"/>
  <c r="AU311" i="5"/>
  <c r="AS311" i="5"/>
  <c r="AT311" i="5" s="1"/>
  <c r="AJ311" i="5"/>
  <c r="AI311" i="5"/>
  <c r="Z311" i="5"/>
  <c r="AU310" i="5"/>
  <c r="AS310" i="5"/>
  <c r="AT310" i="5" s="1"/>
  <c r="AJ310" i="5"/>
  <c r="AI310" i="5"/>
  <c r="Z310" i="5"/>
  <c r="AS309" i="5"/>
  <c r="AT309" i="5" s="1"/>
  <c r="AI309" i="5"/>
  <c r="AK309" i="5" s="1"/>
  <c r="Z309" i="5"/>
  <c r="AU308" i="5"/>
  <c r="AS308" i="5"/>
  <c r="AT308" i="5" s="1"/>
  <c r="AJ308" i="5"/>
  <c r="AI308" i="5"/>
  <c r="AO308" i="5" s="1"/>
  <c r="AR308" i="5" s="1"/>
  <c r="Z308" i="5"/>
  <c r="AU307" i="5"/>
  <c r="AS307" i="5"/>
  <c r="AT307" i="5" s="1"/>
  <c r="AJ307" i="5"/>
  <c r="AI307" i="5"/>
  <c r="AK307" i="5" s="1"/>
  <c r="AM307" i="5" s="1"/>
  <c r="AU306" i="5"/>
  <c r="AS306" i="5"/>
  <c r="AT306" i="5" s="1"/>
  <c r="AJ306" i="5"/>
  <c r="AI306" i="5"/>
  <c r="Z306" i="5"/>
  <c r="AU305" i="5"/>
  <c r="AS305" i="5"/>
  <c r="AT305" i="5" s="1"/>
  <c r="AJ305" i="5"/>
  <c r="AI305" i="5"/>
  <c r="AO305" i="5" s="1"/>
  <c r="Z305" i="5"/>
  <c r="AS304" i="5"/>
  <c r="AT304" i="5" s="1"/>
  <c r="AI304" i="5"/>
  <c r="AU303" i="5"/>
  <c r="AS303" i="5"/>
  <c r="AT303" i="5" s="1"/>
  <c r="AJ303" i="5"/>
  <c r="AI303" i="5"/>
  <c r="Z303" i="5"/>
  <c r="AU302" i="5"/>
  <c r="AS302" i="5"/>
  <c r="AT302" i="5" s="1"/>
  <c r="AJ302" i="5"/>
  <c r="AI302" i="5"/>
  <c r="Z302" i="5"/>
  <c r="AS301" i="5"/>
  <c r="AT301" i="5" s="1"/>
  <c r="AI301" i="5"/>
  <c r="AK301" i="5" s="1"/>
  <c r="Z301" i="5"/>
  <c r="AU300" i="5"/>
  <c r="AS300" i="5"/>
  <c r="AT300" i="5" s="1"/>
  <c r="AJ300" i="5"/>
  <c r="AI300" i="5"/>
  <c r="AO300" i="5" s="1"/>
  <c r="AR300" i="5" s="1"/>
  <c r="Z300" i="5"/>
  <c r="AU299" i="5"/>
  <c r="AS299" i="5"/>
  <c r="AT299" i="5" s="1"/>
  <c r="AJ299" i="5"/>
  <c r="AI299" i="5"/>
  <c r="AK299" i="5" s="1"/>
  <c r="AU298" i="5"/>
  <c r="AS298" i="5"/>
  <c r="AT298" i="5" s="1"/>
  <c r="AJ298" i="5"/>
  <c r="AI298" i="5"/>
  <c r="Z298" i="5"/>
  <c r="AU297" i="5"/>
  <c r="AS297" i="5"/>
  <c r="AT297" i="5" s="1"/>
  <c r="AJ297" i="5"/>
  <c r="AI297" i="5"/>
  <c r="AK297" i="5" s="1"/>
  <c r="AM297" i="5" s="1"/>
  <c r="Z297" i="5"/>
  <c r="AS296" i="5"/>
  <c r="AT296" i="5" s="1"/>
  <c r="AI296" i="5"/>
  <c r="AO296" i="5" s="1"/>
  <c r="AU295" i="5"/>
  <c r="AS295" i="5"/>
  <c r="AT295" i="5" s="1"/>
  <c r="AJ295" i="5"/>
  <c r="AI295" i="5"/>
  <c r="Z295" i="5"/>
  <c r="AU294" i="5"/>
  <c r="AS294" i="5"/>
  <c r="AT294" i="5" s="1"/>
  <c r="AJ294" i="5"/>
  <c r="AI294" i="5"/>
  <c r="Z294" i="5"/>
  <c r="AS293" i="5"/>
  <c r="AT293" i="5" s="1"/>
  <c r="AI293" i="5"/>
  <c r="AK293" i="5" s="1"/>
  <c r="Z293" i="5"/>
  <c r="AU292" i="5"/>
  <c r="AS292" i="5"/>
  <c r="AT292" i="5" s="1"/>
  <c r="AJ292" i="5"/>
  <c r="AI292" i="5"/>
  <c r="AO292" i="5" s="1"/>
  <c r="AR292" i="5" s="1"/>
  <c r="Z292" i="5"/>
  <c r="AU291" i="5"/>
  <c r="AS291" i="5"/>
  <c r="AT291" i="5" s="1"/>
  <c r="AJ291" i="5"/>
  <c r="AI291" i="5"/>
  <c r="AK291" i="5" s="1"/>
  <c r="AM291" i="5" s="1"/>
  <c r="AU290" i="5"/>
  <c r="AS290" i="5"/>
  <c r="AT290" i="5" s="1"/>
  <c r="AJ290" i="5"/>
  <c r="AI290" i="5"/>
  <c r="Z290" i="5"/>
  <c r="AU289" i="5"/>
  <c r="AS289" i="5"/>
  <c r="AT289" i="5" s="1"/>
  <c r="AJ289" i="5"/>
  <c r="AI289" i="5"/>
  <c r="AO289" i="5" s="1"/>
  <c r="Z289" i="5"/>
  <c r="AS288" i="5"/>
  <c r="AT288" i="5" s="1"/>
  <c r="AI288" i="5"/>
  <c r="AO288" i="5" s="1"/>
  <c r="AU287" i="5"/>
  <c r="AS287" i="5"/>
  <c r="AT287" i="5" s="1"/>
  <c r="AJ287" i="5"/>
  <c r="AI287" i="5"/>
  <c r="Z287" i="5"/>
  <c r="AU286" i="5"/>
  <c r="AS286" i="5"/>
  <c r="AT286" i="5" s="1"/>
  <c r="AJ286" i="5"/>
  <c r="AI286" i="5"/>
  <c r="Z286" i="5"/>
  <c r="AS285" i="5"/>
  <c r="AT285" i="5" s="1"/>
  <c r="AI285" i="5"/>
  <c r="AK285" i="5" s="1"/>
  <c r="Z285" i="5"/>
  <c r="AU284" i="5"/>
  <c r="AS284" i="5"/>
  <c r="AT284" i="5" s="1"/>
  <c r="AJ284" i="5"/>
  <c r="AI284" i="5"/>
  <c r="AO284" i="5" s="1"/>
  <c r="AR284" i="5" s="1"/>
  <c r="Z284" i="5"/>
  <c r="AU283" i="5"/>
  <c r="AS283" i="5"/>
  <c r="AT283" i="5" s="1"/>
  <c r="AJ283" i="5"/>
  <c r="AI283" i="5"/>
  <c r="AK283" i="5" s="1"/>
  <c r="AM283" i="5" s="1"/>
  <c r="AU282" i="5"/>
  <c r="AS282" i="5"/>
  <c r="AT282" i="5" s="1"/>
  <c r="AJ282" i="5"/>
  <c r="AI282" i="5"/>
  <c r="Z282" i="5"/>
  <c r="AU281" i="5"/>
  <c r="AS281" i="5"/>
  <c r="AT281" i="5" s="1"/>
  <c r="AJ281" i="5"/>
  <c r="AI281" i="5"/>
  <c r="AK281" i="5" s="1"/>
  <c r="AL281" i="5" s="1"/>
  <c r="Z281" i="5"/>
  <c r="AS280" i="5"/>
  <c r="AT280" i="5" s="1"/>
  <c r="AJ280" i="5"/>
  <c r="AI280" i="5"/>
  <c r="AO280" i="5" s="1"/>
  <c r="AU279" i="5"/>
  <c r="AS279" i="5"/>
  <c r="AT279" i="5" s="1"/>
  <c r="AJ279" i="5"/>
  <c r="AI279" i="5"/>
  <c r="Z279" i="5"/>
  <c r="AU278" i="5"/>
  <c r="AS278" i="5"/>
  <c r="AT278" i="5" s="1"/>
  <c r="AJ278" i="5"/>
  <c r="AI278" i="5"/>
  <c r="Z278" i="5"/>
  <c r="AS277" i="5"/>
  <c r="AT277" i="5" s="1"/>
  <c r="AI277" i="5"/>
  <c r="AO277" i="5" s="1"/>
  <c r="Z277" i="5"/>
  <c r="AU276" i="5"/>
  <c r="AS276" i="5"/>
  <c r="AT276" i="5" s="1"/>
  <c r="AJ276" i="5"/>
  <c r="AI276" i="5"/>
  <c r="AO276" i="5" s="1"/>
  <c r="AR276" i="5" s="1"/>
  <c r="Z276" i="5"/>
  <c r="AU275" i="5"/>
  <c r="AS275" i="5"/>
  <c r="AT275" i="5" s="1"/>
  <c r="AJ275" i="5"/>
  <c r="AI275" i="5"/>
  <c r="AK275" i="5" s="1"/>
  <c r="AM275" i="5" s="1"/>
  <c r="AU274" i="5"/>
  <c r="AS274" i="5"/>
  <c r="AT274" i="5" s="1"/>
  <c r="AJ274" i="5"/>
  <c r="AI274" i="5"/>
  <c r="Z274" i="5"/>
  <c r="AU273" i="5"/>
  <c r="AS273" i="5"/>
  <c r="AT273" i="5" s="1"/>
  <c r="AJ273" i="5"/>
  <c r="AI273" i="5"/>
  <c r="Z273" i="5"/>
  <c r="AU272" i="5"/>
  <c r="AS272" i="5"/>
  <c r="AT272" i="5" s="1"/>
  <c r="AI272" i="5"/>
  <c r="AO272" i="5" s="1"/>
  <c r="AP272" i="5" s="1"/>
  <c r="AU271" i="5"/>
  <c r="AS271" i="5"/>
  <c r="AT271" i="5" s="1"/>
  <c r="AJ271" i="5"/>
  <c r="AI271" i="5"/>
  <c r="Z271" i="5"/>
  <c r="AU270" i="5"/>
  <c r="AS270" i="5"/>
  <c r="AT270" i="5" s="1"/>
  <c r="AJ270" i="5"/>
  <c r="AI270" i="5"/>
  <c r="Z270" i="5"/>
  <c r="AS269" i="5"/>
  <c r="AT269" i="5" s="1"/>
  <c r="AI269" i="5"/>
  <c r="Z269" i="5"/>
  <c r="AU268" i="5"/>
  <c r="AS268" i="5"/>
  <c r="AT268" i="5" s="1"/>
  <c r="AJ268" i="5"/>
  <c r="AI268" i="5"/>
  <c r="Z268" i="5"/>
  <c r="AU267" i="5"/>
  <c r="AS267" i="5"/>
  <c r="AT267" i="5" s="1"/>
  <c r="AJ267" i="5"/>
  <c r="AI267" i="5"/>
  <c r="AK267" i="5" s="1"/>
  <c r="AU266" i="5"/>
  <c r="AS266" i="5"/>
  <c r="AT266" i="5" s="1"/>
  <c r="AJ266" i="5"/>
  <c r="AI266" i="5"/>
  <c r="Z266" i="5"/>
  <c r="AU265" i="5"/>
  <c r="AS265" i="5"/>
  <c r="AT265" i="5" s="1"/>
  <c r="AJ265" i="5"/>
  <c r="AI265" i="5"/>
  <c r="AO265" i="5" s="1"/>
  <c r="Z265" i="5"/>
  <c r="AS264" i="5"/>
  <c r="AT264" i="5" s="1"/>
  <c r="AI264" i="5"/>
  <c r="AU263" i="5"/>
  <c r="AS263" i="5"/>
  <c r="AT263" i="5" s="1"/>
  <c r="AJ263" i="5"/>
  <c r="AI263" i="5"/>
  <c r="Z263" i="5"/>
  <c r="AU262" i="5"/>
  <c r="AS262" i="5"/>
  <c r="AT262" i="5" s="1"/>
  <c r="AJ262" i="5"/>
  <c r="AI262" i="5"/>
  <c r="AK262" i="5" s="1"/>
  <c r="Z262" i="5"/>
  <c r="AS261" i="5"/>
  <c r="AT261" i="5" s="1"/>
  <c r="AI261" i="5"/>
  <c r="AK261" i="5" s="1"/>
  <c r="Z261" i="5"/>
  <c r="AU260" i="5"/>
  <c r="AS260" i="5"/>
  <c r="AT260" i="5" s="1"/>
  <c r="AJ260" i="5"/>
  <c r="AI260" i="5"/>
  <c r="AO260" i="5" s="1"/>
  <c r="AR260" i="5" s="1"/>
  <c r="Z260" i="5"/>
  <c r="AU259" i="5"/>
  <c r="AS259" i="5"/>
  <c r="AT259" i="5" s="1"/>
  <c r="AJ259" i="5"/>
  <c r="AI259" i="5"/>
  <c r="AS258" i="5"/>
  <c r="AT258" i="5" s="1"/>
  <c r="AI258" i="5"/>
  <c r="AO258" i="5" s="1"/>
  <c r="Z258" i="5"/>
  <c r="AU257" i="5"/>
  <c r="AS257" i="5"/>
  <c r="AT257" i="5" s="1"/>
  <c r="AJ257" i="5"/>
  <c r="AI257" i="5"/>
  <c r="AK257" i="5" s="1"/>
  <c r="Z257" i="5"/>
  <c r="AS256" i="5"/>
  <c r="AT256" i="5" s="1"/>
  <c r="AI256" i="5"/>
  <c r="AU255" i="5"/>
  <c r="AS255" i="5"/>
  <c r="AT255" i="5" s="1"/>
  <c r="AJ255" i="5"/>
  <c r="AI255" i="5"/>
  <c r="Z255" i="5"/>
  <c r="AU254" i="5"/>
  <c r="AS254" i="5"/>
  <c r="AT254" i="5" s="1"/>
  <c r="AJ254" i="5"/>
  <c r="AI254" i="5"/>
  <c r="AK254" i="5" s="1"/>
  <c r="AN254" i="5" s="1"/>
  <c r="Z254" i="5"/>
  <c r="AS253" i="5"/>
  <c r="AT253" i="5" s="1"/>
  <c r="AI253" i="5"/>
  <c r="AO253" i="5" s="1"/>
  <c r="Z253" i="5"/>
  <c r="AU252" i="5"/>
  <c r="AS252" i="5"/>
  <c r="AT252" i="5" s="1"/>
  <c r="AJ252" i="5"/>
  <c r="AI252" i="5"/>
  <c r="Z252" i="5"/>
  <c r="AU251" i="5"/>
  <c r="AS251" i="5"/>
  <c r="AT251" i="5" s="1"/>
  <c r="AJ251" i="5"/>
  <c r="AI251" i="5"/>
  <c r="AU250" i="5"/>
  <c r="AS250" i="5"/>
  <c r="AT250" i="5" s="1"/>
  <c r="AJ250" i="5"/>
  <c r="AI250" i="5"/>
  <c r="AO250" i="5" s="1"/>
  <c r="Z250" i="5"/>
  <c r="AU249" i="5"/>
  <c r="AS249" i="5"/>
  <c r="AT249" i="5" s="1"/>
  <c r="AJ249" i="5"/>
  <c r="AI249" i="5"/>
  <c r="AO249" i="5" s="1"/>
  <c r="Z249" i="5"/>
  <c r="AS248" i="5"/>
  <c r="AT248" i="5" s="1"/>
  <c r="AI248" i="5"/>
  <c r="AU247" i="5"/>
  <c r="AS247" i="5"/>
  <c r="AT247" i="5" s="1"/>
  <c r="AJ247" i="5"/>
  <c r="AI247" i="5"/>
  <c r="Z247" i="5"/>
  <c r="AU246" i="5"/>
  <c r="AS246" i="5"/>
  <c r="AT246" i="5" s="1"/>
  <c r="AJ246" i="5"/>
  <c r="AI246" i="5"/>
  <c r="AK246" i="5" s="1"/>
  <c r="AN246" i="5" s="1"/>
  <c r="Z246" i="5"/>
  <c r="AS245" i="5"/>
  <c r="AT245" i="5" s="1"/>
  <c r="AI245" i="5"/>
  <c r="AK245" i="5" s="1"/>
  <c r="Z245" i="5"/>
  <c r="AU244" i="5"/>
  <c r="AS244" i="5"/>
  <c r="AT244" i="5" s="1"/>
  <c r="AJ244" i="5"/>
  <c r="AI244" i="5"/>
  <c r="AK244" i="5" s="1"/>
  <c r="Z244" i="5"/>
  <c r="AU243" i="5"/>
  <c r="AS243" i="5"/>
  <c r="AT243" i="5" s="1"/>
  <c r="AJ243" i="5"/>
  <c r="AI243" i="5"/>
  <c r="AU242" i="5"/>
  <c r="AS242" i="5"/>
  <c r="AT242" i="5" s="1"/>
  <c r="AJ242" i="5"/>
  <c r="AI242" i="5"/>
  <c r="AO242" i="5" s="1"/>
  <c r="AR242" i="5" s="1"/>
  <c r="Z242" i="5"/>
  <c r="AU241" i="5"/>
  <c r="AS241" i="5"/>
  <c r="AT241" i="5" s="1"/>
  <c r="AJ241" i="5"/>
  <c r="AI241" i="5"/>
  <c r="AK241" i="5" s="1"/>
  <c r="Z241" i="5"/>
  <c r="AS240" i="5"/>
  <c r="AT240" i="5" s="1"/>
  <c r="AI240" i="5"/>
  <c r="AU239" i="5"/>
  <c r="AS239" i="5"/>
  <c r="AT239" i="5" s="1"/>
  <c r="AJ239" i="5"/>
  <c r="AI239" i="5"/>
  <c r="Z239" i="5"/>
  <c r="AU238" i="5"/>
  <c r="AS238" i="5"/>
  <c r="AT238" i="5" s="1"/>
  <c r="AJ238" i="5"/>
  <c r="AI238" i="5"/>
  <c r="AK238" i="5" s="1"/>
  <c r="Z238" i="5"/>
  <c r="AS237" i="5"/>
  <c r="AT237" i="5" s="1"/>
  <c r="AI237" i="5"/>
  <c r="Z237" i="5"/>
  <c r="AU236" i="5"/>
  <c r="AS236" i="5"/>
  <c r="AT236" i="5" s="1"/>
  <c r="AJ236" i="5"/>
  <c r="AI236" i="5"/>
  <c r="AO236" i="5" s="1"/>
  <c r="Z236" i="5"/>
  <c r="AU235" i="5"/>
  <c r="AS235" i="5"/>
  <c r="AT235" i="5" s="1"/>
  <c r="AJ235" i="5"/>
  <c r="AI235" i="5"/>
  <c r="AU234" i="5"/>
  <c r="AS234" i="5"/>
  <c r="AT234" i="5" s="1"/>
  <c r="AJ234" i="5"/>
  <c r="AI234" i="5"/>
  <c r="AO234" i="5" s="1"/>
  <c r="Z234" i="5"/>
  <c r="AU233" i="5"/>
  <c r="AS233" i="5"/>
  <c r="AT233" i="5" s="1"/>
  <c r="AJ233" i="5"/>
  <c r="AI233" i="5"/>
  <c r="AK233" i="5" s="1"/>
  <c r="Z233" i="5"/>
  <c r="AS232" i="5"/>
  <c r="AT232" i="5" s="1"/>
  <c r="AI232" i="5"/>
  <c r="AU231" i="5"/>
  <c r="AS231" i="5"/>
  <c r="AT231" i="5" s="1"/>
  <c r="AJ231" i="5"/>
  <c r="AI231" i="5"/>
  <c r="Z231" i="5"/>
  <c r="AU230" i="5"/>
  <c r="AS230" i="5"/>
  <c r="AT230" i="5" s="1"/>
  <c r="AJ230" i="5"/>
  <c r="AI230" i="5"/>
  <c r="AK230" i="5" s="1"/>
  <c r="AN230" i="5" s="1"/>
  <c r="Z230" i="5"/>
  <c r="AS229" i="5"/>
  <c r="AT229" i="5" s="1"/>
  <c r="AI229" i="5"/>
  <c r="AK229" i="5" s="1"/>
  <c r="Z229" i="5"/>
  <c r="AU228" i="5"/>
  <c r="AS228" i="5"/>
  <c r="AT228" i="5" s="1"/>
  <c r="AJ228" i="5"/>
  <c r="AI228" i="5"/>
  <c r="AO228" i="5" s="1"/>
  <c r="Z228" i="5"/>
  <c r="AU227" i="5"/>
  <c r="AS227" i="5"/>
  <c r="AT227" i="5" s="1"/>
  <c r="AJ227" i="5"/>
  <c r="AI227" i="5"/>
  <c r="AU226" i="5"/>
  <c r="AS226" i="5"/>
  <c r="AT226" i="5" s="1"/>
  <c r="AJ226" i="5"/>
  <c r="AI226" i="5"/>
  <c r="AO226" i="5" s="1"/>
  <c r="AR226" i="5" s="1"/>
  <c r="Z226" i="5"/>
  <c r="AU225" i="5"/>
  <c r="AS225" i="5"/>
  <c r="AT225" i="5" s="1"/>
  <c r="AJ225" i="5"/>
  <c r="AI225" i="5"/>
  <c r="Z225" i="5"/>
  <c r="AS224" i="5"/>
  <c r="AT224" i="5" s="1"/>
  <c r="AI224" i="5"/>
  <c r="AU223" i="5"/>
  <c r="AS223" i="5"/>
  <c r="AT223" i="5" s="1"/>
  <c r="AJ223" i="5"/>
  <c r="AI223" i="5"/>
  <c r="Z223" i="5"/>
  <c r="AU222" i="5"/>
  <c r="AS222" i="5"/>
  <c r="AT222" i="5" s="1"/>
  <c r="AJ222" i="5"/>
  <c r="AI222" i="5"/>
  <c r="AK222" i="5" s="1"/>
  <c r="Z222" i="5"/>
  <c r="AS221" i="5"/>
  <c r="AT221" i="5" s="1"/>
  <c r="AI221" i="5"/>
  <c r="AO221" i="5" s="1"/>
  <c r="Z221" i="5"/>
  <c r="AU220" i="5"/>
  <c r="AS220" i="5"/>
  <c r="AT220" i="5" s="1"/>
  <c r="AJ220" i="5"/>
  <c r="AI220" i="5"/>
  <c r="AK220" i="5" s="1"/>
  <c r="AM220" i="5" s="1"/>
  <c r="Z220" i="5"/>
  <c r="AU219" i="5"/>
  <c r="AS219" i="5"/>
  <c r="AT219" i="5" s="1"/>
  <c r="AJ219" i="5"/>
  <c r="AI219" i="5"/>
  <c r="Z219" i="5"/>
  <c r="AU218" i="5"/>
  <c r="AS218" i="5"/>
  <c r="AT218" i="5" s="1"/>
  <c r="AJ218" i="5"/>
  <c r="AI218" i="5"/>
  <c r="AO218" i="5" s="1"/>
  <c r="AR218" i="5" s="1"/>
  <c r="Z218" i="5"/>
  <c r="AU217" i="5"/>
  <c r="AS217" i="5"/>
  <c r="AT217" i="5" s="1"/>
  <c r="AJ217" i="5"/>
  <c r="AI217" i="5"/>
  <c r="AO217" i="5" s="1"/>
  <c r="AQ217" i="5" s="1"/>
  <c r="Z217" i="5"/>
  <c r="AS216" i="5"/>
  <c r="AT216" i="5" s="1"/>
  <c r="AI216" i="5"/>
  <c r="AU215" i="5"/>
  <c r="AS215" i="5"/>
  <c r="AT215" i="5" s="1"/>
  <c r="AJ215" i="5"/>
  <c r="AI215" i="5"/>
  <c r="Z215" i="5"/>
  <c r="AU214" i="5"/>
  <c r="AS214" i="5"/>
  <c r="AT214" i="5" s="1"/>
  <c r="AJ214" i="5"/>
  <c r="AI214" i="5"/>
  <c r="AO214" i="5" s="1"/>
  <c r="AQ214" i="5" s="1"/>
  <c r="Z214" i="5"/>
  <c r="AS213" i="5"/>
  <c r="AT213" i="5" s="1"/>
  <c r="AI213" i="5"/>
  <c r="AO213" i="5" s="1"/>
  <c r="Z213" i="5"/>
  <c r="AU212" i="5"/>
  <c r="AS212" i="5"/>
  <c r="AT212" i="5" s="1"/>
  <c r="AJ212" i="5"/>
  <c r="AI212" i="5"/>
  <c r="AK212" i="5" s="1"/>
  <c r="Z212" i="5"/>
  <c r="AU211" i="5"/>
  <c r="AS211" i="5"/>
  <c r="AT211" i="5" s="1"/>
  <c r="AJ211" i="5"/>
  <c r="AI211" i="5"/>
  <c r="Z211" i="5"/>
  <c r="AU210" i="5"/>
  <c r="AS210" i="5"/>
  <c r="AT210" i="5" s="1"/>
  <c r="AJ210" i="5"/>
  <c r="AI210" i="5"/>
  <c r="AO210" i="5" s="1"/>
  <c r="Z210" i="5"/>
  <c r="AU209" i="5"/>
  <c r="AS209" i="5"/>
  <c r="AT209" i="5" s="1"/>
  <c r="AJ209" i="5"/>
  <c r="AI209" i="5"/>
  <c r="Z209" i="5"/>
  <c r="AU208" i="5"/>
  <c r="AS208" i="5"/>
  <c r="AT208" i="5" s="1"/>
  <c r="AI208" i="5"/>
  <c r="AU207" i="5"/>
  <c r="AS207" i="5"/>
  <c r="AT207" i="5" s="1"/>
  <c r="AJ207" i="5"/>
  <c r="AI207" i="5"/>
  <c r="Z207" i="5"/>
  <c r="AU206" i="5"/>
  <c r="AS206" i="5"/>
  <c r="AT206" i="5" s="1"/>
  <c r="AJ206" i="5"/>
  <c r="AI206" i="5"/>
  <c r="Z206" i="5"/>
  <c r="AS205" i="5"/>
  <c r="AT205" i="5" s="1"/>
  <c r="AI205" i="5"/>
  <c r="AK205" i="5" s="1"/>
  <c r="Z205" i="5"/>
  <c r="AU204" i="5"/>
  <c r="AS204" i="5"/>
  <c r="AT204" i="5" s="1"/>
  <c r="AJ204" i="5"/>
  <c r="AI204" i="5"/>
  <c r="AK204" i="5" s="1"/>
  <c r="AM204" i="5" s="1"/>
  <c r="Z204" i="5"/>
  <c r="AU203" i="5"/>
  <c r="AS203" i="5"/>
  <c r="AT203" i="5" s="1"/>
  <c r="AJ203" i="5"/>
  <c r="AI203" i="5"/>
  <c r="Z203" i="5"/>
  <c r="AU202" i="5"/>
  <c r="AS202" i="5"/>
  <c r="AT202" i="5" s="1"/>
  <c r="AJ202" i="5"/>
  <c r="AI202" i="5"/>
  <c r="AO202" i="5" s="1"/>
  <c r="AR202" i="5" s="1"/>
  <c r="Z202" i="5"/>
  <c r="AU201" i="5"/>
  <c r="AS201" i="5"/>
  <c r="AT201" i="5" s="1"/>
  <c r="AJ201" i="5"/>
  <c r="AI201" i="5"/>
  <c r="AK201" i="5" s="1"/>
  <c r="Z201" i="5"/>
  <c r="AS200" i="5"/>
  <c r="AT200" i="5" s="1"/>
  <c r="AI200" i="5"/>
  <c r="AK200" i="5" s="1"/>
  <c r="AL200" i="5" s="1"/>
  <c r="AU199" i="5"/>
  <c r="AS199" i="5"/>
  <c r="AT199" i="5" s="1"/>
  <c r="AJ199" i="5"/>
  <c r="AI199" i="5"/>
  <c r="Z199" i="5"/>
  <c r="AU198" i="5"/>
  <c r="AS198" i="5"/>
  <c r="AT198" i="5" s="1"/>
  <c r="AJ198" i="5"/>
  <c r="AI198" i="5"/>
  <c r="AK198" i="5" s="1"/>
  <c r="Z198" i="5"/>
  <c r="AS197" i="5"/>
  <c r="AT197" i="5" s="1"/>
  <c r="AI197" i="5"/>
  <c r="AK197" i="5" s="1"/>
  <c r="Z197" i="5"/>
  <c r="AU196" i="5"/>
  <c r="AS196" i="5"/>
  <c r="AT196" i="5" s="1"/>
  <c r="AJ196" i="5"/>
  <c r="AI196" i="5"/>
  <c r="AO196" i="5" s="1"/>
  <c r="AR196" i="5" s="1"/>
  <c r="Z196" i="5"/>
  <c r="AU195" i="5"/>
  <c r="AS195" i="5"/>
  <c r="AT195" i="5" s="1"/>
  <c r="AJ195" i="5"/>
  <c r="AI195" i="5"/>
  <c r="AU194" i="5"/>
  <c r="AS194" i="5"/>
  <c r="AT194" i="5" s="1"/>
  <c r="AJ194" i="5"/>
  <c r="AI194" i="5"/>
  <c r="AO194" i="5" s="1"/>
  <c r="Z194" i="5"/>
  <c r="AU193" i="5"/>
  <c r="AS193" i="5"/>
  <c r="AT193" i="5" s="1"/>
  <c r="AJ193" i="5"/>
  <c r="AI193" i="5"/>
  <c r="Z193" i="5"/>
  <c r="AS192" i="5"/>
  <c r="AT192" i="5" s="1"/>
  <c r="AI192" i="5"/>
  <c r="AK192" i="5" s="1"/>
  <c r="AU191" i="5"/>
  <c r="AS191" i="5"/>
  <c r="AT191" i="5" s="1"/>
  <c r="AJ191" i="5"/>
  <c r="AI191" i="5"/>
  <c r="Z191" i="5"/>
  <c r="AU190" i="5"/>
  <c r="AS190" i="5"/>
  <c r="AT190" i="5" s="1"/>
  <c r="AJ190" i="5"/>
  <c r="AI190" i="5"/>
  <c r="Z190" i="5"/>
  <c r="AS189" i="5"/>
  <c r="AT189" i="5" s="1"/>
  <c r="AI189" i="5"/>
  <c r="AO189" i="5" s="1"/>
  <c r="AR189" i="5" s="1"/>
  <c r="Z189" i="5"/>
  <c r="AU188" i="5"/>
  <c r="AS188" i="5"/>
  <c r="AT188" i="5" s="1"/>
  <c r="AJ188" i="5"/>
  <c r="AI188" i="5"/>
  <c r="Z188" i="5"/>
  <c r="AU187" i="5"/>
  <c r="AS187" i="5"/>
  <c r="AT187" i="5" s="1"/>
  <c r="AJ187" i="5"/>
  <c r="AI187" i="5"/>
  <c r="Z187" i="5"/>
  <c r="AU186" i="5"/>
  <c r="AS186" i="5"/>
  <c r="AT186" i="5" s="1"/>
  <c r="AJ186" i="5"/>
  <c r="AI186" i="5"/>
  <c r="Z186" i="5"/>
  <c r="AU185" i="5"/>
  <c r="AS185" i="5"/>
  <c r="AT185" i="5" s="1"/>
  <c r="AJ185" i="5"/>
  <c r="AI185" i="5"/>
  <c r="AK185" i="5" s="1"/>
  <c r="AN185" i="5" s="1"/>
  <c r="Z185" i="5"/>
  <c r="AU184" i="5"/>
  <c r="AS184" i="5"/>
  <c r="AT184" i="5" s="1"/>
  <c r="AI184" i="5"/>
  <c r="AK184" i="5" s="1"/>
  <c r="AU183" i="5"/>
  <c r="AS183" i="5"/>
  <c r="AT183" i="5" s="1"/>
  <c r="AJ183" i="5"/>
  <c r="AI183" i="5"/>
  <c r="Z183" i="5"/>
  <c r="AU182" i="5"/>
  <c r="AS182" i="5"/>
  <c r="AT182" i="5" s="1"/>
  <c r="AJ182" i="5"/>
  <c r="AI182" i="5"/>
  <c r="Z182" i="5"/>
  <c r="AS181" i="5"/>
  <c r="AT181" i="5" s="1"/>
  <c r="AI181" i="5"/>
  <c r="Z181" i="5"/>
  <c r="AU180" i="5"/>
  <c r="AS180" i="5"/>
  <c r="AT180" i="5" s="1"/>
  <c r="AJ180" i="5"/>
  <c r="AI180" i="5"/>
  <c r="Z180" i="5"/>
  <c r="AU179" i="5"/>
  <c r="AS179" i="5"/>
  <c r="AT179" i="5" s="1"/>
  <c r="AJ179" i="5"/>
  <c r="AI179" i="5"/>
  <c r="AU178" i="5"/>
  <c r="AS178" i="5"/>
  <c r="AT178" i="5" s="1"/>
  <c r="AJ178" i="5"/>
  <c r="AI178" i="5"/>
  <c r="AO178" i="5" s="1"/>
  <c r="Z178" i="5"/>
  <c r="AU177" i="5"/>
  <c r="AS177" i="5"/>
  <c r="AT177" i="5" s="1"/>
  <c r="AJ177" i="5"/>
  <c r="AI177" i="5"/>
  <c r="AK177" i="5" s="1"/>
  <c r="Z177" i="5"/>
  <c r="AS176" i="5"/>
  <c r="AT176" i="5" s="1"/>
  <c r="AI176" i="5"/>
  <c r="AO176" i="5" s="1"/>
  <c r="AU175" i="5"/>
  <c r="AS175" i="5"/>
  <c r="AT175" i="5" s="1"/>
  <c r="AJ175" i="5"/>
  <c r="AI175" i="5"/>
  <c r="Z175" i="5"/>
  <c r="AU174" i="5"/>
  <c r="AS174" i="5"/>
  <c r="AT174" i="5" s="1"/>
  <c r="AJ174" i="5"/>
  <c r="AI174" i="5"/>
  <c r="Z174" i="5"/>
  <c r="AS173" i="5"/>
  <c r="AT173" i="5" s="1"/>
  <c r="AI173" i="5"/>
  <c r="AO173" i="5" s="1"/>
  <c r="Z173" i="5"/>
  <c r="AU172" i="5"/>
  <c r="AS172" i="5"/>
  <c r="AT172" i="5" s="1"/>
  <c r="AJ172" i="5"/>
  <c r="AI172" i="5"/>
  <c r="Z172" i="5"/>
  <c r="AU171" i="5"/>
  <c r="AS171" i="5"/>
  <c r="AT171" i="5" s="1"/>
  <c r="AJ171" i="5"/>
  <c r="AI171" i="5"/>
  <c r="Z171" i="5"/>
  <c r="AU170" i="5"/>
  <c r="AS170" i="5"/>
  <c r="AT170" i="5" s="1"/>
  <c r="AJ170" i="5"/>
  <c r="AI170" i="5"/>
  <c r="AO170" i="5" s="1"/>
  <c r="Z170" i="5"/>
  <c r="AU169" i="5"/>
  <c r="AS169" i="5"/>
  <c r="AT169" i="5" s="1"/>
  <c r="AJ169" i="5"/>
  <c r="AI169" i="5"/>
  <c r="AO169" i="5" s="1"/>
  <c r="Z169" i="5"/>
  <c r="AU168" i="5"/>
  <c r="AS168" i="5"/>
  <c r="AT168" i="5" s="1"/>
  <c r="AI168" i="5"/>
  <c r="AO168" i="5" s="1"/>
  <c r="AP168" i="5" s="1"/>
  <c r="AU167" i="5"/>
  <c r="AS167" i="5"/>
  <c r="AT167" i="5" s="1"/>
  <c r="AJ167" i="5"/>
  <c r="AI167" i="5"/>
  <c r="Z167" i="5"/>
  <c r="AU166" i="5"/>
  <c r="AS166" i="5"/>
  <c r="AT166" i="5" s="1"/>
  <c r="AJ166" i="5"/>
  <c r="AI166" i="5"/>
  <c r="AO166" i="5" s="1"/>
  <c r="AP166" i="5" s="1"/>
  <c r="Z166" i="5"/>
  <c r="AS165" i="5"/>
  <c r="AT165" i="5" s="1"/>
  <c r="AI165" i="5"/>
  <c r="Z165" i="5"/>
  <c r="AU164" i="5"/>
  <c r="AS164" i="5"/>
  <c r="AT164" i="5" s="1"/>
  <c r="AJ164" i="5"/>
  <c r="AI164" i="5"/>
  <c r="Z164" i="5"/>
  <c r="AU163" i="5"/>
  <c r="AS163" i="5"/>
  <c r="AT163" i="5" s="1"/>
  <c r="AJ163" i="5"/>
  <c r="AI163" i="5"/>
  <c r="AU162" i="5"/>
  <c r="AS162" i="5"/>
  <c r="AT162" i="5" s="1"/>
  <c r="AJ162" i="5"/>
  <c r="AI162" i="5"/>
  <c r="AK162" i="5" s="1"/>
  <c r="AL162" i="5" s="1"/>
  <c r="Z162" i="5"/>
  <c r="AU161" i="5"/>
  <c r="AS161" i="5"/>
  <c r="AT161" i="5" s="1"/>
  <c r="AJ161" i="5"/>
  <c r="AI161" i="5"/>
  <c r="AO161" i="5" s="1"/>
  <c r="AP161" i="5" s="1"/>
  <c r="Z161" i="5"/>
  <c r="AS160" i="5"/>
  <c r="AT160" i="5" s="1"/>
  <c r="AI160" i="5"/>
  <c r="AO160" i="5" s="1"/>
  <c r="AR160" i="5" s="1"/>
  <c r="AU159" i="5"/>
  <c r="AS159" i="5"/>
  <c r="AT159" i="5" s="1"/>
  <c r="AJ159" i="5"/>
  <c r="AI159" i="5"/>
  <c r="AU158" i="5"/>
  <c r="AS158" i="5"/>
  <c r="AT158" i="5" s="1"/>
  <c r="AJ158" i="5"/>
  <c r="AI158" i="5"/>
  <c r="AO158" i="5" s="1"/>
  <c r="AR158" i="5" s="1"/>
  <c r="Z158" i="5"/>
  <c r="AS157" i="5"/>
  <c r="AT157" i="5" s="1"/>
  <c r="AI157" i="5"/>
  <c r="AK157" i="5" s="1"/>
  <c r="Z157" i="5"/>
  <c r="AU156" i="5"/>
  <c r="AS156" i="5"/>
  <c r="AT156" i="5" s="1"/>
  <c r="AJ156" i="5"/>
  <c r="AI156" i="5"/>
  <c r="Z156" i="5"/>
  <c r="AU155" i="5"/>
  <c r="AS155" i="5"/>
  <c r="AT155" i="5" s="1"/>
  <c r="AJ155" i="5"/>
  <c r="AI155" i="5"/>
  <c r="Z155" i="5"/>
  <c r="AU154" i="5"/>
  <c r="AS154" i="5"/>
  <c r="AT154" i="5" s="1"/>
  <c r="AJ154" i="5"/>
  <c r="AI154" i="5"/>
  <c r="AO154" i="5" s="1"/>
  <c r="Z154" i="5"/>
  <c r="AU153" i="5"/>
  <c r="AS153" i="5"/>
  <c r="AT153" i="5" s="1"/>
  <c r="AJ153" i="5"/>
  <c r="AI153" i="5"/>
  <c r="AO153" i="5" s="1"/>
  <c r="AR153" i="5" s="1"/>
  <c r="Z153" i="5"/>
  <c r="AU152" i="5"/>
  <c r="AS152" i="5"/>
  <c r="AT152" i="5" s="1"/>
  <c r="AI152" i="5"/>
  <c r="AK152" i="5" s="1"/>
  <c r="AL152" i="5" s="1"/>
  <c r="AU151" i="5"/>
  <c r="AS151" i="5"/>
  <c r="AT151" i="5" s="1"/>
  <c r="AJ151" i="5"/>
  <c r="AI151" i="5"/>
  <c r="Z151" i="5"/>
  <c r="AU150" i="5"/>
  <c r="AS150" i="5"/>
  <c r="AT150" i="5" s="1"/>
  <c r="AJ150" i="5"/>
  <c r="AI150" i="5"/>
  <c r="AO150" i="5" s="1"/>
  <c r="AR150" i="5" s="1"/>
  <c r="Z150" i="5"/>
  <c r="AS149" i="5"/>
  <c r="AT149" i="5" s="1"/>
  <c r="AI149" i="5"/>
  <c r="AO149" i="5" s="1"/>
  <c r="Z149" i="5"/>
  <c r="AU148" i="5"/>
  <c r="AS148" i="5"/>
  <c r="AT148" i="5" s="1"/>
  <c r="AJ148" i="5"/>
  <c r="AI148" i="5"/>
  <c r="Z148" i="5"/>
  <c r="AU147" i="5"/>
  <c r="AS147" i="5"/>
  <c r="AT147" i="5" s="1"/>
  <c r="AJ147" i="5"/>
  <c r="AI147" i="5"/>
  <c r="AU146" i="5"/>
  <c r="AS146" i="5"/>
  <c r="AT146" i="5" s="1"/>
  <c r="AJ146" i="5"/>
  <c r="AI146" i="5"/>
  <c r="AK146" i="5" s="1"/>
  <c r="Z146" i="5"/>
  <c r="AU145" i="5"/>
  <c r="AS145" i="5"/>
  <c r="AT145" i="5" s="1"/>
  <c r="AJ145" i="5"/>
  <c r="AI145" i="5"/>
  <c r="AO145" i="5" s="1"/>
  <c r="AR145" i="5" s="1"/>
  <c r="Z145" i="5"/>
  <c r="AS144" i="5"/>
  <c r="AT144" i="5" s="1"/>
  <c r="AI144" i="5"/>
  <c r="AK144" i="5" s="1"/>
  <c r="AL144" i="5" s="1"/>
  <c r="AU143" i="5"/>
  <c r="AS143" i="5"/>
  <c r="AT143" i="5" s="1"/>
  <c r="AJ143" i="5"/>
  <c r="AI143" i="5"/>
  <c r="Z143" i="5"/>
  <c r="AU142" i="5"/>
  <c r="AS142" i="5"/>
  <c r="AT142" i="5" s="1"/>
  <c r="AJ142" i="5"/>
  <c r="AI142" i="5"/>
  <c r="AO142" i="5" s="1"/>
  <c r="AR142" i="5" s="1"/>
  <c r="Z142" i="5"/>
  <c r="AS141" i="5"/>
  <c r="AT141" i="5" s="1"/>
  <c r="AI141" i="5"/>
  <c r="AO141" i="5" s="1"/>
  <c r="Z141" i="5"/>
  <c r="AU140" i="5"/>
  <c r="AS140" i="5"/>
  <c r="AT140" i="5" s="1"/>
  <c r="AJ140" i="5"/>
  <c r="AI140" i="5"/>
  <c r="Z140" i="5"/>
  <c r="AU139" i="5"/>
  <c r="AS139" i="5"/>
  <c r="AT139" i="5" s="1"/>
  <c r="AJ139" i="5"/>
  <c r="AI139" i="5"/>
  <c r="AU138" i="5"/>
  <c r="AS138" i="5"/>
  <c r="AT138" i="5" s="1"/>
  <c r="AJ138" i="5"/>
  <c r="AI138" i="5"/>
  <c r="AO138" i="5" s="1"/>
  <c r="Z138" i="5"/>
  <c r="AU137" i="5"/>
  <c r="AS137" i="5"/>
  <c r="AT137" i="5" s="1"/>
  <c r="AJ137" i="5"/>
  <c r="AI137" i="5"/>
  <c r="AO137" i="5" s="1"/>
  <c r="AR137" i="5" s="1"/>
  <c r="Z137" i="5"/>
  <c r="AS136" i="5"/>
  <c r="AT136" i="5" s="1"/>
  <c r="AI136" i="5"/>
  <c r="AK136" i="5" s="1"/>
  <c r="AL136" i="5" s="1"/>
  <c r="AU135" i="5"/>
  <c r="AS135" i="5"/>
  <c r="AT135" i="5" s="1"/>
  <c r="AJ135" i="5"/>
  <c r="AI135" i="5"/>
  <c r="Z135" i="5"/>
  <c r="AU134" i="5"/>
  <c r="AS134" i="5"/>
  <c r="AT134" i="5" s="1"/>
  <c r="AJ134" i="5"/>
  <c r="AI134" i="5"/>
  <c r="AO134" i="5" s="1"/>
  <c r="AR134" i="5" s="1"/>
  <c r="Z134" i="5"/>
  <c r="AS133" i="5"/>
  <c r="AT133" i="5" s="1"/>
  <c r="AI133" i="5"/>
  <c r="AO133" i="5" s="1"/>
  <c r="Z133" i="5"/>
  <c r="AU132" i="5"/>
  <c r="AS132" i="5"/>
  <c r="AT132" i="5" s="1"/>
  <c r="AJ132" i="5"/>
  <c r="AI132" i="5"/>
  <c r="Z132" i="5"/>
  <c r="AU131" i="5"/>
  <c r="AS131" i="5"/>
  <c r="AT131" i="5" s="1"/>
  <c r="AJ131" i="5"/>
  <c r="AI131" i="5"/>
  <c r="AU130" i="5"/>
  <c r="AS130" i="5"/>
  <c r="AT130" i="5" s="1"/>
  <c r="AJ130" i="5"/>
  <c r="AI130" i="5"/>
  <c r="Z130" i="5"/>
  <c r="AU129" i="5"/>
  <c r="AS129" i="5"/>
  <c r="AT129" i="5" s="1"/>
  <c r="AJ129" i="5"/>
  <c r="AI129" i="5"/>
  <c r="AO129" i="5" s="1"/>
  <c r="AR129" i="5" s="1"/>
  <c r="Z129" i="5"/>
  <c r="AS128" i="5"/>
  <c r="AT128" i="5" s="1"/>
  <c r="AI128" i="5"/>
  <c r="AK128" i="5" s="1"/>
  <c r="AU127" i="5"/>
  <c r="AS127" i="5"/>
  <c r="AT127" i="5" s="1"/>
  <c r="AJ127" i="5"/>
  <c r="AI127" i="5"/>
  <c r="Z127" i="5"/>
  <c r="AU126" i="5"/>
  <c r="AS126" i="5"/>
  <c r="AT126" i="5" s="1"/>
  <c r="AJ126" i="5"/>
  <c r="AI126" i="5"/>
  <c r="AO126" i="5" s="1"/>
  <c r="AR126" i="5" s="1"/>
  <c r="Z126" i="5"/>
  <c r="AS125" i="5"/>
  <c r="AT125" i="5" s="1"/>
  <c r="AI125" i="5"/>
  <c r="AK125" i="5" s="1"/>
  <c r="Z125" i="5"/>
  <c r="AU124" i="5"/>
  <c r="AS124" i="5"/>
  <c r="AT124" i="5" s="1"/>
  <c r="AJ124" i="5"/>
  <c r="AI124" i="5"/>
  <c r="Z124" i="5"/>
  <c r="AU123" i="5"/>
  <c r="AS123" i="5"/>
  <c r="AT123" i="5" s="1"/>
  <c r="AJ123" i="5"/>
  <c r="AI123" i="5"/>
  <c r="AU122" i="5"/>
  <c r="AS122" i="5"/>
  <c r="AT122" i="5" s="1"/>
  <c r="AJ122" i="5"/>
  <c r="AI122" i="5"/>
  <c r="Z122" i="5"/>
  <c r="AU121" i="5"/>
  <c r="AS121" i="5"/>
  <c r="AT121" i="5" s="1"/>
  <c r="AJ121" i="5"/>
  <c r="AI121" i="5"/>
  <c r="AO121" i="5" s="1"/>
  <c r="AR121" i="5" s="1"/>
  <c r="Z121" i="5"/>
  <c r="AS120" i="5"/>
  <c r="AT120" i="5" s="1"/>
  <c r="AI120" i="5"/>
  <c r="AK120" i="5" s="1"/>
  <c r="AU119" i="5"/>
  <c r="AS119" i="5"/>
  <c r="AT119" i="5" s="1"/>
  <c r="AJ119" i="5"/>
  <c r="AI119" i="5"/>
  <c r="Z119" i="5"/>
  <c r="AU118" i="5"/>
  <c r="AS118" i="5"/>
  <c r="AT118" i="5" s="1"/>
  <c r="AJ118" i="5"/>
  <c r="AI118" i="5"/>
  <c r="AO118" i="5" s="1"/>
  <c r="AR118" i="5" s="1"/>
  <c r="Z118" i="5"/>
  <c r="AS117" i="5"/>
  <c r="AT117" i="5" s="1"/>
  <c r="AI117" i="5"/>
  <c r="AO117" i="5" s="1"/>
  <c r="Z117" i="5"/>
  <c r="AU116" i="5"/>
  <c r="AS116" i="5"/>
  <c r="AT116" i="5" s="1"/>
  <c r="AJ116" i="5"/>
  <c r="AI116" i="5"/>
  <c r="Z116" i="5"/>
  <c r="AU115" i="5"/>
  <c r="AS115" i="5"/>
  <c r="AT115" i="5" s="1"/>
  <c r="AJ115" i="5"/>
  <c r="AI115" i="5"/>
  <c r="AU114" i="5"/>
  <c r="AS114" i="5"/>
  <c r="AT114" i="5" s="1"/>
  <c r="AJ114" i="5"/>
  <c r="AI114" i="5"/>
  <c r="AO114" i="5" s="1"/>
  <c r="Z114" i="5"/>
  <c r="AU113" i="5"/>
  <c r="AS113" i="5"/>
  <c r="AT113" i="5" s="1"/>
  <c r="AJ113" i="5"/>
  <c r="AI113" i="5"/>
  <c r="AO113" i="5" s="1"/>
  <c r="AR113" i="5" s="1"/>
  <c r="Z113" i="5"/>
  <c r="AS112" i="5"/>
  <c r="AT112" i="5" s="1"/>
  <c r="AI112" i="5"/>
  <c r="AK112" i="5" s="1"/>
  <c r="AM112" i="5" s="1"/>
  <c r="AU111" i="5"/>
  <c r="AS111" i="5"/>
  <c r="AT111" i="5" s="1"/>
  <c r="AJ111" i="5"/>
  <c r="AI111" i="5"/>
  <c r="Z111" i="5"/>
  <c r="AU110" i="5"/>
  <c r="AS110" i="5"/>
  <c r="AT110" i="5" s="1"/>
  <c r="AJ110" i="5"/>
  <c r="AI110" i="5"/>
  <c r="AO110" i="5" s="1"/>
  <c r="Z110" i="5"/>
  <c r="AS109" i="5"/>
  <c r="AT109" i="5" s="1"/>
  <c r="AI109" i="5"/>
  <c r="AO109" i="5" s="1"/>
  <c r="AP109" i="5" s="1"/>
  <c r="Z109" i="5"/>
  <c r="AU108" i="5"/>
  <c r="AS108" i="5"/>
  <c r="AT108" i="5" s="1"/>
  <c r="AJ108" i="5"/>
  <c r="AI108" i="5"/>
  <c r="Z108" i="5"/>
  <c r="AU107" i="5"/>
  <c r="AS107" i="5"/>
  <c r="AT107" i="5" s="1"/>
  <c r="AJ107" i="5"/>
  <c r="AI107" i="5"/>
  <c r="AU106" i="5"/>
  <c r="AS106" i="5"/>
  <c r="AT106" i="5" s="1"/>
  <c r="AJ106" i="5"/>
  <c r="AI106" i="5"/>
  <c r="AO106" i="5" s="1"/>
  <c r="Z106" i="5"/>
  <c r="AU105" i="5"/>
  <c r="AS105" i="5"/>
  <c r="AT105" i="5" s="1"/>
  <c r="AJ105" i="5"/>
  <c r="AI105" i="5"/>
  <c r="AO105" i="5" s="1"/>
  <c r="AR105" i="5" s="1"/>
  <c r="Z105" i="5"/>
  <c r="AU104" i="5"/>
  <c r="AS104" i="5"/>
  <c r="AT104" i="5" s="1"/>
  <c r="AI104" i="5"/>
  <c r="AK104" i="5" s="1"/>
  <c r="AU103" i="5"/>
  <c r="AS103" i="5"/>
  <c r="AT103" i="5" s="1"/>
  <c r="AJ103" i="5"/>
  <c r="AI103" i="5"/>
  <c r="Z103" i="5"/>
  <c r="AU102" i="5"/>
  <c r="AS102" i="5"/>
  <c r="AT102" i="5" s="1"/>
  <c r="AJ102" i="5"/>
  <c r="AI102" i="5"/>
  <c r="AO102" i="5" s="1"/>
  <c r="Z102" i="5"/>
  <c r="AS101" i="5"/>
  <c r="AT101" i="5" s="1"/>
  <c r="AI101" i="5"/>
  <c r="AO101" i="5" s="1"/>
  <c r="AP101" i="5" s="1"/>
  <c r="Z101" i="5"/>
  <c r="AU100" i="5"/>
  <c r="AS100" i="5"/>
  <c r="AT100" i="5" s="1"/>
  <c r="AJ100" i="5"/>
  <c r="AI100" i="5"/>
  <c r="Z100" i="5"/>
  <c r="AU99" i="5"/>
  <c r="AS99" i="5"/>
  <c r="AT99" i="5" s="1"/>
  <c r="AJ99" i="5"/>
  <c r="AI99" i="5"/>
  <c r="AU98" i="5"/>
  <c r="AS98" i="5"/>
  <c r="AT98" i="5" s="1"/>
  <c r="AJ98" i="5"/>
  <c r="AI98" i="5"/>
  <c r="AK98" i="5" s="1"/>
  <c r="Z98" i="5"/>
  <c r="AU97" i="5"/>
  <c r="AS97" i="5"/>
  <c r="AT97" i="5" s="1"/>
  <c r="AJ97" i="5"/>
  <c r="AI97" i="5"/>
  <c r="AO97" i="5" s="1"/>
  <c r="AR97" i="5" s="1"/>
  <c r="Z97" i="5"/>
  <c r="AS96" i="5"/>
  <c r="AT96" i="5" s="1"/>
  <c r="AI96" i="5"/>
  <c r="AK96" i="5" s="1"/>
  <c r="AU95" i="5"/>
  <c r="AS95" i="5"/>
  <c r="AT95" i="5" s="1"/>
  <c r="AJ95" i="5"/>
  <c r="AI95" i="5"/>
  <c r="Z95" i="5"/>
  <c r="AU94" i="5"/>
  <c r="AS94" i="5"/>
  <c r="AT94" i="5" s="1"/>
  <c r="AJ94" i="5"/>
  <c r="AI94" i="5"/>
  <c r="AO94" i="5" s="1"/>
  <c r="Z94" i="5"/>
  <c r="AS93" i="5"/>
  <c r="AT93" i="5" s="1"/>
  <c r="AI93" i="5"/>
  <c r="Z93" i="5"/>
  <c r="AU92" i="5"/>
  <c r="AS92" i="5"/>
  <c r="AT92" i="5" s="1"/>
  <c r="AJ92" i="5"/>
  <c r="AI92" i="5"/>
  <c r="Z92" i="5"/>
  <c r="AU91" i="5"/>
  <c r="AS91" i="5"/>
  <c r="AT91" i="5" s="1"/>
  <c r="AJ91" i="5"/>
  <c r="AI91" i="5"/>
  <c r="Z91" i="5"/>
  <c r="AU90" i="5"/>
  <c r="AS90" i="5"/>
  <c r="AT90" i="5" s="1"/>
  <c r="AJ90" i="5"/>
  <c r="AI90" i="5"/>
  <c r="AK90" i="5" s="1"/>
  <c r="Z90" i="5"/>
  <c r="AU89" i="5"/>
  <c r="AS89" i="5"/>
  <c r="AT89" i="5" s="1"/>
  <c r="AJ89" i="5"/>
  <c r="AI89" i="5"/>
  <c r="AO89" i="5" s="1"/>
  <c r="AR89" i="5" s="1"/>
  <c r="Z89" i="5"/>
  <c r="AU88" i="5"/>
  <c r="AS88" i="5"/>
  <c r="AT88" i="5" s="1"/>
  <c r="AI88" i="5"/>
  <c r="AK88" i="5" s="1"/>
  <c r="AU87" i="5"/>
  <c r="AS87" i="5"/>
  <c r="AT87" i="5" s="1"/>
  <c r="AJ87" i="5"/>
  <c r="AI87" i="5"/>
  <c r="Z87" i="5"/>
  <c r="AU86" i="5"/>
  <c r="AS86" i="5"/>
  <c r="AT86" i="5" s="1"/>
  <c r="AJ86" i="5"/>
  <c r="AI86" i="5"/>
  <c r="AO86" i="5" s="1"/>
  <c r="Z86" i="5"/>
  <c r="AS85" i="5"/>
  <c r="AT85" i="5" s="1"/>
  <c r="AI85" i="5"/>
  <c r="Z85" i="5"/>
  <c r="AU84" i="5"/>
  <c r="AS84" i="5"/>
  <c r="AT84" i="5" s="1"/>
  <c r="AJ84" i="5"/>
  <c r="AI84" i="5"/>
  <c r="Z84" i="5"/>
  <c r="AU83" i="5"/>
  <c r="AS83" i="5"/>
  <c r="AT83" i="5" s="1"/>
  <c r="AJ83" i="5"/>
  <c r="AI83" i="5"/>
  <c r="AU82" i="5"/>
  <c r="AS82" i="5"/>
  <c r="AT82" i="5" s="1"/>
  <c r="AJ82" i="5"/>
  <c r="AI82" i="5"/>
  <c r="AK82" i="5" s="1"/>
  <c r="Z82" i="5"/>
  <c r="AU81" i="5"/>
  <c r="AS81" i="5"/>
  <c r="AT81" i="5" s="1"/>
  <c r="AJ81" i="5"/>
  <c r="AI81" i="5"/>
  <c r="AO81" i="5" s="1"/>
  <c r="AR81" i="5" s="1"/>
  <c r="Z81" i="5"/>
  <c r="AS80" i="5"/>
  <c r="AT80" i="5" s="1"/>
  <c r="AI80" i="5"/>
  <c r="AK80" i="5" s="1"/>
  <c r="AL80" i="5" s="1"/>
  <c r="AU79" i="5"/>
  <c r="AS79" i="5"/>
  <c r="AT79" i="5" s="1"/>
  <c r="AJ79" i="5"/>
  <c r="AI79" i="5"/>
  <c r="Z79" i="5"/>
  <c r="AU78" i="5"/>
  <c r="AS78" i="5"/>
  <c r="AT78" i="5" s="1"/>
  <c r="AJ78" i="5"/>
  <c r="AI78" i="5"/>
  <c r="AO78" i="5" s="1"/>
  <c r="Z78" i="5"/>
  <c r="AS77" i="5"/>
  <c r="AT77" i="5" s="1"/>
  <c r="AI77" i="5"/>
  <c r="AK77" i="5" s="1"/>
  <c r="Z77" i="5"/>
  <c r="AU76" i="5"/>
  <c r="AS76" i="5"/>
  <c r="AT76" i="5" s="1"/>
  <c r="AJ76" i="5"/>
  <c r="AI76" i="5"/>
  <c r="Z76" i="5"/>
  <c r="AU75" i="5"/>
  <c r="AS75" i="5"/>
  <c r="AT75" i="5" s="1"/>
  <c r="AJ75" i="5"/>
  <c r="AI75" i="5"/>
  <c r="Z75" i="5"/>
  <c r="AU74" i="5"/>
  <c r="AS74" i="5"/>
  <c r="AT74" i="5" s="1"/>
  <c r="AJ74" i="5"/>
  <c r="AI74" i="5"/>
  <c r="AK74" i="5" s="1"/>
  <c r="Z74" i="5"/>
  <c r="AU73" i="5"/>
  <c r="AS73" i="5"/>
  <c r="AT73" i="5" s="1"/>
  <c r="AJ73" i="5"/>
  <c r="AI73" i="5"/>
  <c r="AK73" i="5" s="1"/>
  <c r="AL73" i="5" s="1"/>
  <c r="Z73" i="5"/>
  <c r="AS72" i="5"/>
  <c r="AT72" i="5" s="1"/>
  <c r="AI72" i="5"/>
  <c r="AK72" i="5" s="1"/>
  <c r="AL72" i="5" s="1"/>
  <c r="AU71" i="5"/>
  <c r="AS71" i="5"/>
  <c r="AT71" i="5" s="1"/>
  <c r="AJ71" i="5"/>
  <c r="AI71" i="5"/>
  <c r="Z71" i="5"/>
  <c r="AU70" i="5"/>
  <c r="AS70" i="5"/>
  <c r="AT70" i="5" s="1"/>
  <c r="AJ70" i="5"/>
  <c r="AI70" i="5"/>
  <c r="AO70" i="5" s="1"/>
  <c r="Z70" i="5"/>
  <c r="AS69" i="5"/>
  <c r="AT69" i="5" s="1"/>
  <c r="AI69" i="5"/>
  <c r="Z69" i="5"/>
  <c r="AU68" i="5"/>
  <c r="AS68" i="5"/>
  <c r="AT68" i="5" s="1"/>
  <c r="AJ68" i="5"/>
  <c r="AI68" i="5"/>
  <c r="Z68" i="5"/>
  <c r="AU67" i="5"/>
  <c r="AS67" i="5"/>
  <c r="AT67" i="5" s="1"/>
  <c r="AJ67" i="5"/>
  <c r="AI67" i="5"/>
  <c r="AU66" i="5"/>
  <c r="AS66" i="5"/>
  <c r="AT66" i="5" s="1"/>
  <c r="AJ66" i="5"/>
  <c r="AI66" i="5"/>
  <c r="Z66" i="5"/>
  <c r="AU65" i="5"/>
  <c r="AS65" i="5"/>
  <c r="AT65" i="5" s="1"/>
  <c r="AJ65" i="5"/>
  <c r="AI65" i="5"/>
  <c r="AO65" i="5" s="1"/>
  <c r="AR65" i="5" s="1"/>
  <c r="Z65" i="5"/>
  <c r="AS64" i="5"/>
  <c r="AT64" i="5" s="1"/>
  <c r="AJ64" i="5"/>
  <c r="AI64" i="5"/>
  <c r="AK64" i="5" s="1"/>
  <c r="AU63" i="5"/>
  <c r="AS63" i="5"/>
  <c r="AT63" i="5" s="1"/>
  <c r="AJ63" i="5"/>
  <c r="AI63" i="5"/>
  <c r="Z63" i="5"/>
  <c r="AU62" i="5"/>
  <c r="AS62" i="5"/>
  <c r="AT62" i="5" s="1"/>
  <c r="AJ62" i="5"/>
  <c r="AI62" i="5"/>
  <c r="AO62" i="5" s="1"/>
  <c r="Z62" i="5"/>
  <c r="AS61" i="5"/>
  <c r="AT61" i="5" s="1"/>
  <c r="AI61" i="5"/>
  <c r="AO61" i="5" s="1"/>
  <c r="AP61" i="5" s="1"/>
  <c r="Z61" i="5"/>
  <c r="AU60" i="5"/>
  <c r="AS60" i="5"/>
  <c r="AT60" i="5" s="1"/>
  <c r="AJ60" i="5"/>
  <c r="AI60" i="5"/>
  <c r="AK60" i="5" s="1"/>
  <c r="Z60" i="5"/>
  <c r="AU59" i="5"/>
  <c r="AS59" i="5"/>
  <c r="AT59" i="5" s="1"/>
  <c r="AJ59" i="5"/>
  <c r="AI59" i="5"/>
  <c r="AU58" i="5"/>
  <c r="AS58" i="5"/>
  <c r="AT58" i="5" s="1"/>
  <c r="AJ58" i="5"/>
  <c r="AI58" i="5"/>
  <c r="AK58" i="5" s="1"/>
  <c r="Z58" i="5"/>
  <c r="AU57" i="5"/>
  <c r="AS57" i="5"/>
  <c r="AT57" i="5" s="1"/>
  <c r="AJ57" i="5"/>
  <c r="AI57" i="5"/>
  <c r="AO57" i="5" s="1"/>
  <c r="AR57" i="5" s="1"/>
  <c r="Z57" i="5"/>
  <c r="AS56" i="5"/>
  <c r="AT56" i="5" s="1"/>
  <c r="AI56" i="5"/>
  <c r="AU55" i="5"/>
  <c r="AS55" i="5"/>
  <c r="AT55" i="5" s="1"/>
  <c r="AJ55" i="5"/>
  <c r="AI55" i="5"/>
  <c r="AK55" i="5" s="1"/>
  <c r="Z55" i="5"/>
  <c r="AU54" i="5"/>
  <c r="AS54" i="5"/>
  <c r="AT54" i="5" s="1"/>
  <c r="AJ54" i="5"/>
  <c r="AI54" i="5"/>
  <c r="AO54" i="5" s="1"/>
  <c r="Z54" i="5"/>
  <c r="AS53" i="5"/>
  <c r="AT53" i="5" s="1"/>
  <c r="AI53" i="5"/>
  <c r="Z53" i="5"/>
  <c r="AU52" i="5"/>
  <c r="AS52" i="5"/>
  <c r="AT52" i="5" s="1"/>
  <c r="AJ52" i="5"/>
  <c r="AI52" i="5"/>
  <c r="Z52" i="5"/>
  <c r="AU51" i="5"/>
  <c r="AS51" i="5"/>
  <c r="AT51" i="5" s="1"/>
  <c r="AJ51" i="5"/>
  <c r="AI51" i="5"/>
  <c r="AO51" i="5" s="1"/>
  <c r="AU50" i="5"/>
  <c r="AS50" i="5"/>
  <c r="AT50" i="5" s="1"/>
  <c r="AJ50" i="5"/>
  <c r="AI50" i="5"/>
  <c r="AO50" i="5" s="1"/>
  <c r="AR50" i="5" s="1"/>
  <c r="Z50" i="5"/>
  <c r="AS49" i="5"/>
  <c r="AT49" i="5" s="1"/>
  <c r="AI49" i="5"/>
  <c r="AK49" i="5" s="1"/>
  <c r="AS48" i="5"/>
  <c r="AT48" i="5" s="1"/>
  <c r="AI48" i="5"/>
  <c r="AU47" i="5"/>
  <c r="AS47" i="5"/>
  <c r="AT47" i="5" s="1"/>
  <c r="AJ47" i="5"/>
  <c r="AI47" i="5"/>
  <c r="AO47" i="5" s="1"/>
  <c r="Z47" i="5"/>
  <c r="AU46" i="5"/>
  <c r="AS46" i="5"/>
  <c r="AT46" i="5" s="1"/>
  <c r="AJ46" i="5"/>
  <c r="AI46" i="5"/>
  <c r="AO46" i="5" s="1"/>
  <c r="Z46" i="5"/>
  <c r="AS45" i="5"/>
  <c r="AT45" i="5" s="1"/>
  <c r="AI45" i="5"/>
  <c r="Z45" i="5"/>
  <c r="AU44" i="5"/>
  <c r="AS44" i="5"/>
  <c r="AT44" i="5" s="1"/>
  <c r="AJ44" i="5"/>
  <c r="AI44" i="5"/>
  <c r="Z44" i="5"/>
  <c r="AU43" i="5"/>
  <c r="AS43" i="5"/>
  <c r="AT43" i="5" s="1"/>
  <c r="AJ43" i="5"/>
  <c r="AI43" i="5"/>
  <c r="AK43" i="5" s="1"/>
  <c r="Z43" i="5"/>
  <c r="AU42" i="5"/>
  <c r="AS42" i="5"/>
  <c r="AT42" i="5" s="1"/>
  <c r="AJ42" i="5"/>
  <c r="AI42" i="5"/>
  <c r="Z42" i="5"/>
  <c r="AU41" i="5"/>
  <c r="AS41" i="5"/>
  <c r="AT41" i="5" s="1"/>
  <c r="AJ41" i="5"/>
  <c r="AI41" i="5"/>
  <c r="Z41" i="5"/>
  <c r="AU40" i="5"/>
  <c r="AS40" i="5"/>
  <c r="AT40" i="5" s="1"/>
  <c r="AI40" i="5"/>
  <c r="AU39" i="5"/>
  <c r="AS39" i="5"/>
  <c r="AT39" i="5" s="1"/>
  <c r="AJ39" i="5"/>
  <c r="AI39" i="5"/>
  <c r="AO39" i="5" s="1"/>
  <c r="Z39" i="5"/>
  <c r="AU38" i="5"/>
  <c r="AS38" i="5"/>
  <c r="AT38" i="5" s="1"/>
  <c r="AJ38" i="5"/>
  <c r="AI38" i="5"/>
  <c r="AO38" i="5" s="1"/>
  <c r="AP38" i="5" s="1"/>
  <c r="Z38" i="5"/>
  <c r="AS37" i="5"/>
  <c r="AT37" i="5" s="1"/>
  <c r="AI37" i="5"/>
  <c r="Z37" i="5"/>
  <c r="AU36" i="5"/>
  <c r="AS36" i="5"/>
  <c r="AT36" i="5" s="1"/>
  <c r="AJ36" i="5"/>
  <c r="AI36" i="5"/>
  <c r="Z36" i="5"/>
  <c r="AU35" i="5"/>
  <c r="AS35" i="5"/>
  <c r="AT35" i="5" s="1"/>
  <c r="AJ35" i="5"/>
  <c r="AI35" i="5"/>
  <c r="AO35" i="5" s="1"/>
  <c r="AR35" i="5" s="1"/>
  <c r="AU34" i="5"/>
  <c r="AS34" i="5"/>
  <c r="AT34" i="5" s="1"/>
  <c r="AJ34" i="5"/>
  <c r="AI34" i="5"/>
  <c r="AO34" i="5" s="1"/>
  <c r="Z34" i="5"/>
  <c r="AU33" i="5"/>
  <c r="AS33" i="5"/>
  <c r="AT33" i="5" s="1"/>
  <c r="AJ33" i="5"/>
  <c r="AI33" i="5"/>
  <c r="Z33" i="5"/>
  <c r="AS32" i="5"/>
  <c r="AT32" i="5" s="1"/>
  <c r="AI32" i="5"/>
  <c r="AU31" i="5"/>
  <c r="AS31" i="5"/>
  <c r="AT31" i="5" s="1"/>
  <c r="AJ31" i="5"/>
  <c r="AI31" i="5"/>
  <c r="AK31" i="5" s="1"/>
  <c r="AN31" i="5" s="1"/>
  <c r="Z31" i="5"/>
  <c r="AU30" i="5"/>
  <c r="AS30" i="5"/>
  <c r="AT30" i="5" s="1"/>
  <c r="AJ30" i="5"/>
  <c r="AI30" i="5"/>
  <c r="AK30" i="5" s="1"/>
  <c r="AL30" i="5" s="1"/>
  <c r="Z30" i="5"/>
  <c r="AS29" i="5"/>
  <c r="AT29" i="5" s="1"/>
  <c r="AI29" i="5"/>
  <c r="Z29" i="5"/>
  <c r="AU28" i="5"/>
  <c r="AS28" i="5"/>
  <c r="AT28" i="5" s="1"/>
  <c r="AJ28" i="5"/>
  <c r="AI28" i="5"/>
  <c r="Z28" i="5"/>
  <c r="AU27" i="5"/>
  <c r="AS27" i="5"/>
  <c r="AT27" i="5" s="1"/>
  <c r="AJ27" i="5"/>
  <c r="AI27" i="5"/>
  <c r="AO27" i="5" s="1"/>
  <c r="AR27" i="5" s="1"/>
  <c r="AU26" i="5"/>
  <c r="AS26" i="5"/>
  <c r="AT26" i="5" s="1"/>
  <c r="AJ26" i="5"/>
  <c r="AI26" i="5"/>
  <c r="AO26" i="5" s="1"/>
  <c r="Z26" i="5"/>
  <c r="AU25" i="5"/>
  <c r="AS25" i="5"/>
  <c r="AT25" i="5" s="1"/>
  <c r="AJ25" i="5"/>
  <c r="AI25" i="5"/>
  <c r="Z25" i="5"/>
  <c r="AS24" i="5"/>
  <c r="AT24" i="5" s="1"/>
  <c r="AI24" i="5"/>
  <c r="AU23" i="5"/>
  <c r="AS23" i="5"/>
  <c r="AT23" i="5" s="1"/>
  <c r="AJ23" i="5"/>
  <c r="AI23" i="5"/>
  <c r="AK23" i="5" s="1"/>
  <c r="AN23" i="5" s="1"/>
  <c r="Z23" i="5"/>
  <c r="AU22" i="5"/>
  <c r="AS22" i="5"/>
  <c r="AT22" i="5" s="1"/>
  <c r="AJ22" i="5"/>
  <c r="AI22" i="5"/>
  <c r="AO22" i="5" s="1"/>
  <c r="AP22" i="5" s="1"/>
  <c r="Z22" i="5"/>
  <c r="AS21" i="5"/>
  <c r="AT21" i="5" s="1"/>
  <c r="AI21" i="5"/>
  <c r="Z21" i="5"/>
  <c r="AU20" i="5"/>
  <c r="AS20" i="5"/>
  <c r="AT20" i="5" s="1"/>
  <c r="AJ20" i="5"/>
  <c r="AI20" i="5"/>
  <c r="Z20" i="5"/>
  <c r="AU19" i="5"/>
  <c r="AS19" i="5"/>
  <c r="AT19" i="5" s="1"/>
  <c r="AJ19" i="5"/>
  <c r="AI19" i="5"/>
  <c r="AO19" i="5" s="1"/>
  <c r="AR19" i="5" s="1"/>
  <c r="AU18" i="5"/>
  <c r="AS18" i="5"/>
  <c r="AT18" i="5" s="1"/>
  <c r="AJ18" i="5"/>
  <c r="AI18" i="5"/>
  <c r="AO18" i="5" s="1"/>
  <c r="Z18" i="5"/>
  <c r="AU17" i="5"/>
  <c r="AS17" i="5"/>
  <c r="AT17" i="5" s="1"/>
  <c r="AJ17" i="5"/>
  <c r="AI17" i="5"/>
  <c r="Z17" i="5"/>
  <c r="AS16" i="5"/>
  <c r="AT16" i="5" s="1"/>
  <c r="AI16" i="5"/>
  <c r="AU15" i="5"/>
  <c r="AS15" i="5"/>
  <c r="AT15" i="5" s="1"/>
  <c r="AJ15" i="5"/>
  <c r="AI15" i="5"/>
  <c r="AO15" i="5" s="1"/>
  <c r="Z15" i="5"/>
  <c r="AU14" i="5"/>
  <c r="AS14" i="5"/>
  <c r="AT14" i="5" s="1"/>
  <c r="AJ14" i="5"/>
  <c r="AI14" i="5"/>
  <c r="AK14" i="5" s="1"/>
  <c r="AL14" i="5" s="1"/>
  <c r="Z14" i="5"/>
  <c r="AS13" i="5"/>
  <c r="AT13" i="5" s="1"/>
  <c r="AI13" i="5"/>
  <c r="AK13" i="5" s="1"/>
  <c r="AM13" i="5" s="1"/>
  <c r="Z13" i="5"/>
  <c r="AU12" i="5"/>
  <c r="AS12" i="5"/>
  <c r="AT12" i="5" s="1"/>
  <c r="AJ12" i="5"/>
  <c r="AI12" i="5"/>
  <c r="Z12" i="5"/>
  <c r="AU11" i="5"/>
  <c r="AS11" i="5"/>
  <c r="AT11" i="5" s="1"/>
  <c r="AJ11" i="5"/>
  <c r="AI11" i="5"/>
  <c r="AO11" i="5" s="1"/>
  <c r="AU10" i="5"/>
  <c r="AS10" i="5"/>
  <c r="AT10" i="5" s="1"/>
  <c r="AJ10" i="5"/>
  <c r="AI10" i="5"/>
  <c r="AO10" i="5" s="1"/>
  <c r="Z10" i="5"/>
  <c r="AU9" i="5"/>
  <c r="AS9" i="5"/>
  <c r="AT9" i="5" s="1"/>
  <c r="AJ9" i="5"/>
  <c r="AI9" i="5"/>
  <c r="AK9" i="5" s="1"/>
  <c r="Z9" i="5"/>
  <c r="AU8" i="5"/>
  <c r="AS8" i="5"/>
  <c r="AT8" i="5" s="1"/>
  <c r="AI8" i="5"/>
  <c r="AU7" i="5"/>
  <c r="AS7" i="5"/>
  <c r="AT7" i="5" s="1"/>
  <c r="AJ7" i="5"/>
  <c r="AI7" i="5"/>
  <c r="AK7" i="5" s="1"/>
  <c r="AL7" i="5" s="1"/>
  <c r="Z7" i="5"/>
  <c r="AU6" i="5"/>
  <c r="AS6" i="5"/>
  <c r="AT6" i="5" s="1"/>
  <c r="AJ6" i="5"/>
  <c r="AI6" i="5"/>
  <c r="AO6" i="5" s="1"/>
  <c r="Z6" i="5"/>
  <c r="AS5" i="5"/>
  <c r="AT5" i="5" s="1"/>
  <c r="AI5" i="5"/>
  <c r="Z5" i="5"/>
  <c r="AU4" i="5"/>
  <c r="AS4" i="5"/>
  <c r="AT4" i="5" s="1"/>
  <c r="AJ4" i="5"/>
  <c r="AI4" i="5"/>
  <c r="AK4" i="5" s="1"/>
  <c r="Z4" i="5"/>
  <c r="AJ367" i="5" l="1"/>
  <c r="AU258" i="5"/>
  <c r="AU49" i="5"/>
  <c r="AU443" i="5"/>
  <c r="AO42" i="5"/>
  <c r="AK42" i="5"/>
  <c r="AK69" i="5"/>
  <c r="AO69" i="5"/>
  <c r="AP69" i="5" s="1"/>
  <c r="AO85" i="5"/>
  <c r="AP85" i="5" s="1"/>
  <c r="AK85" i="5"/>
  <c r="AK93" i="5"/>
  <c r="AO93" i="5"/>
  <c r="AP93" i="5" s="1"/>
  <c r="AO122" i="5"/>
  <c r="AQ122" i="5" s="1"/>
  <c r="AK122" i="5"/>
  <c r="AO130" i="5"/>
  <c r="AK130" i="5"/>
  <c r="AO188" i="5"/>
  <c r="AR188" i="5" s="1"/>
  <c r="AK188" i="5"/>
  <c r="AM188" i="5" s="1"/>
  <c r="AO252" i="5"/>
  <c r="AK252" i="5"/>
  <c r="AL252" i="5" s="1"/>
  <c r="AK273" i="5"/>
  <c r="AO273" i="5"/>
  <c r="AO418" i="5"/>
  <c r="AR418" i="5" s="1"/>
  <c r="AK418" i="5"/>
  <c r="AL418" i="5" s="1"/>
  <c r="AO197" i="5"/>
  <c r="AO55" i="5"/>
  <c r="AK57" i="5"/>
  <c r="AL57" i="5" s="1"/>
  <c r="AO73" i="5"/>
  <c r="AK134" i="5"/>
  <c r="AM134" i="5" s="1"/>
  <c r="AO340" i="5"/>
  <c r="AR340" i="5" s="1"/>
  <c r="AO433" i="5"/>
  <c r="AR433" i="5" s="1"/>
  <c r="AK442" i="5"/>
  <c r="AL442" i="5" s="1"/>
  <c r="AK149" i="5"/>
  <c r="AK217" i="5"/>
  <c r="AK284" i="5"/>
  <c r="AL284" i="5" s="1"/>
  <c r="AK360" i="5"/>
  <c r="AK352" i="5"/>
  <c r="AO357" i="5"/>
  <c r="AQ357" i="5" s="1"/>
  <c r="AK228" i="5"/>
  <c r="AL228" i="5" s="1"/>
  <c r="AK403" i="5"/>
  <c r="AM403" i="5" s="1"/>
  <c r="AK121" i="5"/>
  <c r="AK276" i="5"/>
  <c r="AL276" i="5" s="1"/>
  <c r="AM379" i="5"/>
  <c r="AM299" i="5"/>
  <c r="AN299" i="5"/>
  <c r="AO23" i="5"/>
  <c r="AK34" i="5"/>
  <c r="AK46" i="5"/>
  <c r="AL46" i="5" s="1"/>
  <c r="AO77" i="5"/>
  <c r="AP77" i="5" s="1"/>
  <c r="AK260" i="5"/>
  <c r="AV260" i="5" s="1"/>
  <c r="BB260" i="5" s="1"/>
  <c r="AK137" i="5"/>
  <c r="AN137" i="5" s="1"/>
  <c r="AK196" i="5"/>
  <c r="AO201" i="5"/>
  <c r="AQ201" i="5" s="1"/>
  <c r="AO257" i="5"/>
  <c r="AQ257" i="5" s="1"/>
  <c r="AL283" i="5"/>
  <c r="AO345" i="5"/>
  <c r="AR345" i="5" s="1"/>
  <c r="AO43" i="5"/>
  <c r="AQ43" i="5" s="1"/>
  <c r="AK50" i="5"/>
  <c r="AL50" i="5" s="1"/>
  <c r="AK160" i="5"/>
  <c r="AP196" i="5"/>
  <c r="AP160" i="5"/>
  <c r="AN403" i="5"/>
  <c r="AK427" i="5"/>
  <c r="AN427" i="5" s="1"/>
  <c r="AO285" i="5"/>
  <c r="AQ285" i="5" s="1"/>
  <c r="AK292" i="5"/>
  <c r="AL292" i="5" s="1"/>
  <c r="AO344" i="5"/>
  <c r="AP344" i="5" s="1"/>
  <c r="AK349" i="5"/>
  <c r="AK377" i="5"/>
  <c r="AK402" i="5"/>
  <c r="AL402" i="5" s="1"/>
  <c r="AK265" i="5"/>
  <c r="AM265" i="5" s="1"/>
  <c r="AK324" i="5"/>
  <c r="AL324" i="5" s="1"/>
  <c r="AO30" i="5"/>
  <c r="AK89" i="5"/>
  <c r="AL89" i="5" s="1"/>
  <c r="AO162" i="5"/>
  <c r="AP162" i="5" s="1"/>
  <c r="AO233" i="5"/>
  <c r="AQ233" i="5" s="1"/>
  <c r="AL291" i="5"/>
  <c r="AK296" i="5"/>
  <c r="AO401" i="5"/>
  <c r="AP401" i="5" s="1"/>
  <c r="AO409" i="5"/>
  <c r="AK426" i="5"/>
  <c r="AL426" i="5" s="1"/>
  <c r="AM197" i="5"/>
  <c r="AL197" i="5"/>
  <c r="AQ130" i="5"/>
  <c r="AR130" i="5"/>
  <c r="AO245" i="5"/>
  <c r="AK288" i="5"/>
  <c r="AK320" i="5"/>
  <c r="AM320" i="5" s="1"/>
  <c r="AO205" i="5"/>
  <c r="AR205" i="5" s="1"/>
  <c r="AK26" i="5"/>
  <c r="AM26" i="5" s="1"/>
  <c r="AK39" i="5"/>
  <c r="AM39" i="5" s="1"/>
  <c r="AK81" i="5"/>
  <c r="AL81" i="5" s="1"/>
  <c r="AK102" i="5"/>
  <c r="AL102" i="5" s="1"/>
  <c r="AK126" i="5"/>
  <c r="AK129" i="5"/>
  <c r="AV129" i="5" s="1"/>
  <c r="AK133" i="5"/>
  <c r="AL133" i="5" s="1"/>
  <c r="AO146" i="5"/>
  <c r="AP146" i="5" s="1"/>
  <c r="AK154" i="5"/>
  <c r="AL154" i="5" s="1"/>
  <c r="AK173" i="5"/>
  <c r="AM173" i="5" s="1"/>
  <c r="AO212" i="5"/>
  <c r="AR212" i="5" s="1"/>
  <c r="AP217" i="5"/>
  <c r="AK277" i="5"/>
  <c r="AM277" i="5" s="1"/>
  <c r="AO293" i="5"/>
  <c r="AK305" i="5"/>
  <c r="AL305" i="5" s="1"/>
  <c r="AK308" i="5"/>
  <c r="AL308" i="5" s="1"/>
  <c r="AK325" i="5"/>
  <c r="AO341" i="5"/>
  <c r="AQ341" i="5" s="1"/>
  <c r="AO361" i="5"/>
  <c r="AR361" i="5" s="1"/>
  <c r="AK364" i="5"/>
  <c r="AL364" i="5" s="1"/>
  <c r="AL371" i="5"/>
  <c r="AK385" i="5"/>
  <c r="AM385" i="5" s="1"/>
  <c r="AO14" i="5"/>
  <c r="AP14" i="5" s="1"/>
  <c r="AO31" i="5"/>
  <c r="AR31" i="5" s="1"/>
  <c r="AK38" i="5"/>
  <c r="AL38" i="5" s="1"/>
  <c r="AK62" i="5"/>
  <c r="AK65" i="5"/>
  <c r="AL65" i="5" s="1"/>
  <c r="AK141" i="5"/>
  <c r="AK153" i="5"/>
  <c r="AO177" i="5"/>
  <c r="AQ177" i="5" s="1"/>
  <c r="AO204" i="5"/>
  <c r="AR214" i="5"/>
  <c r="AO312" i="5"/>
  <c r="AP312" i="5" s="1"/>
  <c r="AK317" i="5"/>
  <c r="AK329" i="5"/>
  <c r="AL329" i="5" s="1"/>
  <c r="AK348" i="5"/>
  <c r="AL348" i="5" s="1"/>
  <c r="AO241" i="5"/>
  <c r="AR241" i="5" s="1"/>
  <c r="AO244" i="5"/>
  <c r="AR244" i="5" s="1"/>
  <c r="AK61" i="5"/>
  <c r="AN61" i="5" s="1"/>
  <c r="AK113" i="5"/>
  <c r="AV113" i="5" s="1"/>
  <c r="AK169" i="5"/>
  <c r="AM169" i="5" s="1"/>
  <c r="AK161" i="5"/>
  <c r="AM161" i="5" s="1"/>
  <c r="AR233" i="5"/>
  <c r="AK236" i="5"/>
  <c r="AL236" i="5" s="1"/>
  <c r="AK253" i="5"/>
  <c r="AL253" i="5" s="1"/>
  <c r="AO261" i="5"/>
  <c r="AQ261" i="5" s="1"/>
  <c r="AV273" i="5"/>
  <c r="BB273" i="5" s="1"/>
  <c r="AL275" i="5"/>
  <c r="AK316" i="5"/>
  <c r="AL316" i="5" s="1"/>
  <c r="AV122" i="5"/>
  <c r="AW122" i="5" s="1"/>
  <c r="AR10" i="5"/>
  <c r="AP10" i="5"/>
  <c r="AR26" i="5"/>
  <c r="AP26" i="5"/>
  <c r="AR54" i="5"/>
  <c r="AP54" i="5"/>
  <c r="AQ114" i="5"/>
  <c r="AR114" i="5"/>
  <c r="AR42" i="5"/>
  <c r="AP42" i="5"/>
  <c r="AM88" i="5"/>
  <c r="AL88" i="5"/>
  <c r="AM9" i="5"/>
  <c r="AL9" i="5"/>
  <c r="AR46" i="5"/>
  <c r="AP46" i="5"/>
  <c r="AQ51" i="5"/>
  <c r="AR51" i="5"/>
  <c r="AR18" i="5"/>
  <c r="AP18" i="5"/>
  <c r="AQ138" i="5"/>
  <c r="AR138" i="5"/>
  <c r="AM96" i="5"/>
  <c r="AL96" i="5"/>
  <c r="AQ106" i="5"/>
  <c r="AR106" i="5"/>
  <c r="AQ6" i="5"/>
  <c r="AR6" i="5"/>
  <c r="AR34" i="5"/>
  <c r="AP34" i="5"/>
  <c r="AM55" i="5"/>
  <c r="AN55" i="5"/>
  <c r="AO193" i="5"/>
  <c r="AK193" i="5"/>
  <c r="AM193" i="5" s="1"/>
  <c r="AO304" i="5"/>
  <c r="AP304" i="5" s="1"/>
  <c r="AK304" i="5"/>
  <c r="AN304" i="5" s="1"/>
  <c r="AK101" i="5"/>
  <c r="AU141" i="5"/>
  <c r="AM205" i="5"/>
  <c r="AN205" i="5"/>
  <c r="AL205" i="5"/>
  <c r="AM236" i="5"/>
  <c r="AO328" i="5"/>
  <c r="AP328" i="5" s="1"/>
  <c r="AK328" i="5"/>
  <c r="AN328" i="5" s="1"/>
  <c r="AL410" i="5"/>
  <c r="AN410" i="5"/>
  <c r="AM261" i="5"/>
  <c r="AN261" i="5"/>
  <c r="AU29" i="5"/>
  <c r="AK47" i="5"/>
  <c r="AK51" i="5"/>
  <c r="AN51" i="5" s="1"/>
  <c r="AM72" i="5"/>
  <c r="AM80" i="5"/>
  <c r="AK97" i="5"/>
  <c r="AL97" i="5" s="1"/>
  <c r="AN102" i="5"/>
  <c r="AK105" i="5"/>
  <c r="AL105" i="5" s="1"/>
  <c r="AR122" i="5"/>
  <c r="AO125" i="5"/>
  <c r="AR125" i="5" s="1"/>
  <c r="AV134" i="5"/>
  <c r="AW134" i="5" s="1"/>
  <c r="AY134" i="5" s="1"/>
  <c r="AQ154" i="5"/>
  <c r="AR154" i="5"/>
  <c r="AO157" i="5"/>
  <c r="AO165" i="5"/>
  <c r="AK165" i="5"/>
  <c r="AM165" i="5" s="1"/>
  <c r="AO180" i="5"/>
  <c r="AK180" i="5"/>
  <c r="AM180" i="5" s="1"/>
  <c r="AO209" i="5"/>
  <c r="AK209" i="5"/>
  <c r="AM209" i="5" s="1"/>
  <c r="AQ349" i="5"/>
  <c r="AP349" i="5"/>
  <c r="AR365" i="5"/>
  <c r="AO369" i="5"/>
  <c r="AP369" i="5" s="1"/>
  <c r="AK369" i="5"/>
  <c r="AL419" i="5"/>
  <c r="AN419" i="5"/>
  <c r="AM102" i="5"/>
  <c r="AK11" i="5"/>
  <c r="AM11" i="5" s="1"/>
  <c r="AJ45" i="5"/>
  <c r="AK54" i="5"/>
  <c r="AL54" i="5" s="1"/>
  <c r="AV62" i="5"/>
  <c r="AW62" i="5" s="1"/>
  <c r="AX62" i="5" s="1"/>
  <c r="AK106" i="5"/>
  <c r="AL106" i="5" s="1"/>
  <c r="AK110" i="5"/>
  <c r="AV110" i="5" s="1"/>
  <c r="AW110" i="5" s="1"/>
  <c r="AK114" i="5"/>
  <c r="AV126" i="5"/>
  <c r="AW126" i="5" s="1"/>
  <c r="AY126" i="5" s="1"/>
  <c r="AK145" i="5"/>
  <c r="AL145" i="5" s="1"/>
  <c r="AQ169" i="5"/>
  <c r="AR169" i="5"/>
  <c r="AM245" i="5"/>
  <c r="AN245" i="5"/>
  <c r="AL245" i="5"/>
  <c r="AQ249" i="5"/>
  <c r="AR249" i="5"/>
  <c r="AP249" i="5"/>
  <c r="AO332" i="5"/>
  <c r="AR332" i="5" s="1"/>
  <c r="AK332" i="5"/>
  <c r="AL332" i="5" s="1"/>
  <c r="AM361" i="5"/>
  <c r="AN361" i="5"/>
  <c r="AL361" i="5"/>
  <c r="AV361" i="5"/>
  <c r="AM410" i="5"/>
  <c r="AK10" i="5"/>
  <c r="AM10" i="5" s="1"/>
  <c r="AP50" i="5"/>
  <c r="AK109" i="5"/>
  <c r="AV109" i="5" s="1"/>
  <c r="AJ117" i="5"/>
  <c r="AQ161" i="5"/>
  <c r="AR161" i="5"/>
  <c r="AR252" i="5"/>
  <c r="AP252" i="5"/>
  <c r="AO269" i="5"/>
  <c r="AP269" i="5" s="1"/>
  <c r="AK269" i="5"/>
  <c r="AQ325" i="5"/>
  <c r="AR325" i="5"/>
  <c r="AP325" i="5"/>
  <c r="AQ381" i="5"/>
  <c r="AR381" i="5"/>
  <c r="AP381" i="5"/>
  <c r="AM419" i="5"/>
  <c r="AN201" i="5"/>
  <c r="AV201" i="5"/>
  <c r="AO225" i="5"/>
  <c r="AK225" i="5"/>
  <c r="AK15" i="5"/>
  <c r="AK18" i="5"/>
  <c r="AM18" i="5" s="1"/>
  <c r="AK19" i="5"/>
  <c r="AM19" i="5" s="1"/>
  <c r="AK22" i="5"/>
  <c r="AL22" i="5" s="1"/>
  <c r="AK27" i="5"/>
  <c r="AV27" i="5" s="1"/>
  <c r="AW27" i="5" s="1"/>
  <c r="AK35" i="5"/>
  <c r="AN35" i="5" s="1"/>
  <c r="AK117" i="5"/>
  <c r="AV117" i="5" s="1"/>
  <c r="AK138" i="5"/>
  <c r="AV138" i="5" s="1"/>
  <c r="AW138" i="5" s="1"/>
  <c r="AY138" i="5" s="1"/>
  <c r="AO164" i="5"/>
  <c r="AK164" i="5"/>
  <c r="AO172" i="5"/>
  <c r="AP172" i="5" s="1"/>
  <c r="AK172" i="5"/>
  <c r="AM229" i="5"/>
  <c r="AN229" i="5"/>
  <c r="AO237" i="5"/>
  <c r="AP237" i="5" s="1"/>
  <c r="AK237" i="5"/>
  <c r="AM244" i="5"/>
  <c r="AL244" i="5"/>
  <c r="AO264" i="5"/>
  <c r="AP264" i="5" s="1"/>
  <c r="AK264" i="5"/>
  <c r="AN264" i="5" s="1"/>
  <c r="AM273" i="5"/>
  <c r="AN273" i="5"/>
  <c r="AP293" i="5"/>
  <c r="AN305" i="5"/>
  <c r="AM305" i="5"/>
  <c r="AL307" i="5"/>
  <c r="AN307" i="5"/>
  <c r="AQ317" i="5"/>
  <c r="AP317" i="5"/>
  <c r="AM345" i="5"/>
  <c r="AN345" i="5"/>
  <c r="AL345" i="5"/>
  <c r="AR435" i="5"/>
  <c r="AJ69" i="5"/>
  <c r="BB122" i="5"/>
  <c r="AV130" i="5"/>
  <c r="AW130" i="5" s="1"/>
  <c r="AY130" i="5" s="1"/>
  <c r="AR168" i="5"/>
  <c r="AQ168" i="5"/>
  <c r="AP169" i="5"/>
  <c r="AR228" i="5"/>
  <c r="AP228" i="5"/>
  <c r="AL229" i="5"/>
  <c r="AQ277" i="5"/>
  <c r="AR277" i="5"/>
  <c r="AP277" i="5"/>
  <c r="AL297" i="5"/>
  <c r="AN297" i="5"/>
  <c r="AM329" i="5"/>
  <c r="AN329" i="5"/>
  <c r="AN411" i="5"/>
  <c r="AM411" i="5"/>
  <c r="AQ265" i="5"/>
  <c r="AR265" i="5"/>
  <c r="AO333" i="5"/>
  <c r="AK333" i="5"/>
  <c r="AN395" i="5"/>
  <c r="AM395" i="5"/>
  <c r="AL395" i="5"/>
  <c r="AU245" i="5"/>
  <c r="AJ245" i="5"/>
  <c r="AM62" i="5"/>
  <c r="AL112" i="5"/>
  <c r="AO181" i="5"/>
  <c r="AP181" i="5" s="1"/>
  <c r="AK181" i="5"/>
  <c r="AR236" i="5"/>
  <c r="AP236" i="5"/>
  <c r="AO268" i="5"/>
  <c r="AR268" i="5" s="1"/>
  <c r="AK268" i="5"/>
  <c r="AL268" i="5" s="1"/>
  <c r="AM281" i="5"/>
  <c r="AN281" i="5"/>
  <c r="AQ373" i="5"/>
  <c r="AR373" i="5"/>
  <c r="AP373" i="5"/>
  <c r="AQ403" i="5"/>
  <c r="AR403" i="5"/>
  <c r="AK166" i="5"/>
  <c r="AL166" i="5" s="1"/>
  <c r="AO185" i="5"/>
  <c r="AR217" i="5"/>
  <c r="AK280" i="5"/>
  <c r="AV280" i="5" s="1"/>
  <c r="AW280" i="5" s="1"/>
  <c r="AK337" i="5"/>
  <c r="AV337" i="5" s="1"/>
  <c r="AK176" i="5"/>
  <c r="AN176" i="5" s="1"/>
  <c r="AO229" i="5"/>
  <c r="AQ229" i="5" s="1"/>
  <c r="AO281" i="5"/>
  <c r="AV281" i="5" s="1"/>
  <c r="AO297" i="5"/>
  <c r="AV297" i="5" s="1"/>
  <c r="AK336" i="5"/>
  <c r="AL336" i="5" s="1"/>
  <c r="AK373" i="5"/>
  <c r="AL377" i="5"/>
  <c r="AK381" i="5"/>
  <c r="AO410" i="5"/>
  <c r="AR410" i="5" s="1"/>
  <c r="AO419" i="5"/>
  <c r="AV419" i="5" s="1"/>
  <c r="AW419" i="5" s="1"/>
  <c r="AY419" i="5" s="1"/>
  <c r="AO425" i="5"/>
  <c r="AR425" i="5" s="1"/>
  <c r="AV442" i="5"/>
  <c r="AK249" i="5"/>
  <c r="AK272" i="5"/>
  <c r="AK289" i="5"/>
  <c r="AV289" i="5" s="1"/>
  <c r="BB289" i="5" s="1"/>
  <c r="AK313" i="5"/>
  <c r="AK353" i="5"/>
  <c r="AN377" i="5"/>
  <c r="AK386" i="5"/>
  <c r="AL387" i="5"/>
  <c r="AK394" i="5"/>
  <c r="AO411" i="5"/>
  <c r="AV411" i="5" s="1"/>
  <c r="AV418" i="5"/>
  <c r="BB418" i="5" s="1"/>
  <c r="AN426" i="5"/>
  <c r="AM427" i="5"/>
  <c r="AK434" i="5"/>
  <c r="AK435" i="5"/>
  <c r="AV435" i="5" s="1"/>
  <c r="AK168" i="5"/>
  <c r="AK189" i="5"/>
  <c r="AK213" i="5"/>
  <c r="AK221" i="5"/>
  <c r="AV221" i="5" s="1"/>
  <c r="AK321" i="5"/>
  <c r="AV321" i="5" s="1"/>
  <c r="AK370" i="5"/>
  <c r="AK378" i="5"/>
  <c r="AV378" i="5" s="1"/>
  <c r="AL379" i="5"/>
  <c r="AM387" i="5"/>
  <c r="AO393" i="5"/>
  <c r="AP393" i="5" s="1"/>
  <c r="AV410" i="5"/>
  <c r="AW410" i="5" s="1"/>
  <c r="AK214" i="5"/>
  <c r="AN214" i="5" s="1"/>
  <c r="AO220" i="5"/>
  <c r="AV403" i="5"/>
  <c r="AO262" i="5"/>
  <c r="AV262" i="5" s="1"/>
  <c r="AP285" i="5"/>
  <c r="AL299" i="5"/>
  <c r="AK300" i="5"/>
  <c r="AM300" i="5" s="1"/>
  <c r="AP341" i="5"/>
  <c r="AK356" i="5"/>
  <c r="AP357" i="5"/>
  <c r="AK365" i="5"/>
  <c r="AN365" i="5" s="1"/>
  <c r="AM371" i="5"/>
  <c r="AM402" i="5"/>
  <c r="AL403" i="5"/>
  <c r="AO417" i="5"/>
  <c r="AV417" i="5" s="1"/>
  <c r="AM418" i="5"/>
  <c r="AR427" i="5"/>
  <c r="AN441" i="5"/>
  <c r="AM442" i="5"/>
  <c r="AP188" i="5"/>
  <c r="AN197" i="5"/>
  <c r="AP201" i="5"/>
  <c r="AP212" i="5"/>
  <c r="AP233" i="5"/>
  <c r="AM252" i="5"/>
  <c r="AP257" i="5"/>
  <c r="AR285" i="5"/>
  <c r="AR341" i="5"/>
  <c r="AR357" i="5"/>
  <c r="AN402" i="5"/>
  <c r="AN418" i="5"/>
  <c r="AO441" i="5"/>
  <c r="AR441" i="5" s="1"/>
  <c r="AN442" i="5"/>
  <c r="AJ269" i="5"/>
  <c r="AU269" i="5"/>
  <c r="AJ333" i="5"/>
  <c r="AU333" i="5"/>
  <c r="AJ357" i="5"/>
  <c r="AU357" i="5"/>
  <c r="AV357" i="5" s="1"/>
  <c r="AJ381" i="5"/>
  <c r="AU381" i="5"/>
  <c r="AV381" i="5" s="1"/>
  <c r="BB381" i="5" s="1"/>
  <c r="AU413" i="5"/>
  <c r="AJ413" i="5"/>
  <c r="AJ429" i="5"/>
  <c r="AU429" i="5"/>
  <c r="AU37" i="5"/>
  <c r="AU421" i="5"/>
  <c r="AU216" i="5"/>
  <c r="AJ216" i="5"/>
  <c r="AJ312" i="5"/>
  <c r="AU312" i="5"/>
  <c r="AU384" i="5"/>
  <c r="AJ384" i="5"/>
  <c r="AU392" i="5"/>
  <c r="AJ392" i="5"/>
  <c r="AJ408" i="5"/>
  <c r="AU408" i="5"/>
  <c r="AJ16" i="5"/>
  <c r="AU48" i="5"/>
  <c r="AU72" i="5"/>
  <c r="AU181" i="5"/>
  <c r="AJ189" i="5"/>
  <c r="AJ301" i="5"/>
  <c r="AJ24" i="5"/>
  <c r="AJ56" i="5"/>
  <c r="AU61" i="5"/>
  <c r="AU93" i="5"/>
  <c r="AV93" i="5" s="1"/>
  <c r="AU125" i="5"/>
  <c r="AV125" i="5" s="1"/>
  <c r="AU165" i="5"/>
  <c r="AJ200" i="5"/>
  <c r="AJ256" i="5"/>
  <c r="AU288" i="5"/>
  <c r="AV288" i="5" s="1"/>
  <c r="AW288" i="5" s="1"/>
  <c r="AJ368" i="5"/>
  <c r="AJ77" i="5"/>
  <c r="AU77" i="5"/>
  <c r="AV77" i="5" s="1"/>
  <c r="AJ365" i="5"/>
  <c r="AU365" i="5"/>
  <c r="AJ205" i="5"/>
  <c r="AJ112" i="5"/>
  <c r="AU112" i="5"/>
  <c r="AJ320" i="5"/>
  <c r="AU320" i="5"/>
  <c r="AV23" i="5"/>
  <c r="AW23" i="5" s="1"/>
  <c r="AY23" i="5" s="1"/>
  <c r="AJ32" i="5"/>
  <c r="AJ53" i="5"/>
  <c r="AJ149" i="5"/>
  <c r="AU160" i="5"/>
  <c r="AJ240" i="5"/>
  <c r="AU253" i="5"/>
  <c r="AV272" i="5"/>
  <c r="AW272" i="5" s="1"/>
  <c r="AY272" i="5" s="1"/>
  <c r="AU336" i="5"/>
  <c r="AJ376" i="5"/>
  <c r="AJ440" i="5"/>
  <c r="AJ277" i="5"/>
  <c r="AU277" i="5"/>
  <c r="AU309" i="5"/>
  <c r="AJ309" i="5"/>
  <c r="AU397" i="5"/>
  <c r="AJ397" i="5"/>
  <c r="AJ444" i="5"/>
  <c r="AU120" i="5"/>
  <c r="AJ120" i="5"/>
  <c r="AU304" i="5"/>
  <c r="AJ304" i="5"/>
  <c r="AJ344" i="5"/>
  <c r="AU344" i="5"/>
  <c r="AJ352" i="5"/>
  <c r="AU352" i="5"/>
  <c r="AJ432" i="5"/>
  <c r="AU432" i="5"/>
  <c r="AJ5" i="5"/>
  <c r="AJ13" i="5"/>
  <c r="AJ21" i="5"/>
  <c r="AU80" i="5"/>
  <c r="AU133" i="5"/>
  <c r="AU176" i="5"/>
  <c r="AV176" i="5" s="1"/>
  <c r="AU197" i="5"/>
  <c r="AV197" i="5" s="1"/>
  <c r="AU213" i="5"/>
  <c r="AJ232" i="5"/>
  <c r="AU264" i="5"/>
  <c r="AJ296" i="5"/>
  <c r="AU317" i="5"/>
  <c r="AV317" i="5" s="1"/>
  <c r="AJ328" i="5"/>
  <c r="AJ341" i="5"/>
  <c r="AU349" i="5"/>
  <c r="AJ85" i="5"/>
  <c r="AU85" i="5"/>
  <c r="AV85" i="5" s="1"/>
  <c r="AW85" i="5" s="1"/>
  <c r="AJ261" i="5"/>
  <c r="AU261" i="5"/>
  <c r="AV261" i="5" s="1"/>
  <c r="AJ325" i="5"/>
  <c r="AU325" i="5"/>
  <c r="AU389" i="5"/>
  <c r="AJ389" i="5"/>
  <c r="AJ405" i="5"/>
  <c r="AU405" i="5"/>
  <c r="AJ221" i="5"/>
  <c r="AU128" i="5"/>
  <c r="AJ128" i="5"/>
  <c r="AU136" i="5"/>
  <c r="AJ136" i="5"/>
  <c r="AU416" i="5"/>
  <c r="AJ416" i="5"/>
  <c r="AV46" i="5"/>
  <c r="AW46" i="5" s="1"/>
  <c r="AJ109" i="5"/>
  <c r="AJ144" i="5"/>
  <c r="AU173" i="5"/>
  <c r="AJ192" i="5"/>
  <c r="AU229" i="5"/>
  <c r="AU237" i="5"/>
  <c r="AU248" i="5"/>
  <c r="AJ285" i="5"/>
  <c r="AJ437" i="5"/>
  <c r="AJ101" i="5"/>
  <c r="AU101" i="5"/>
  <c r="AV101" i="5" s="1"/>
  <c r="AJ157" i="5"/>
  <c r="AU157" i="5"/>
  <c r="AV157" i="5" s="1"/>
  <c r="AJ293" i="5"/>
  <c r="AU293" i="5"/>
  <c r="AU96" i="5"/>
  <c r="AU224" i="5"/>
  <c r="AU373" i="5"/>
  <c r="AU400" i="5"/>
  <c r="AU424" i="5"/>
  <c r="AV228" i="5"/>
  <c r="BB228" i="5" s="1"/>
  <c r="AV409" i="5"/>
  <c r="AV433" i="5"/>
  <c r="BB433" i="5" s="1"/>
  <c r="AV114" i="5"/>
  <c r="AW114" i="5" s="1"/>
  <c r="AY114" i="5" s="1"/>
  <c r="AR30" i="5"/>
  <c r="AQ30" i="5"/>
  <c r="AV51" i="5"/>
  <c r="AW51" i="5" s="1"/>
  <c r="AP30" i="5"/>
  <c r="AV42" i="5"/>
  <c r="AN42" i="5"/>
  <c r="AM42" i="5"/>
  <c r="AN64" i="5"/>
  <c r="AM64" i="5"/>
  <c r="AL64" i="5"/>
  <c r="AL4" i="5"/>
  <c r="AK5" i="5"/>
  <c r="AN7" i="5"/>
  <c r="AO9" i="5"/>
  <c r="AQ19" i="5"/>
  <c r="AP19" i="5"/>
  <c r="AQ27" i="5"/>
  <c r="AP27" i="5"/>
  <c r="AQ35" i="5"/>
  <c r="AP35" i="5"/>
  <c r="AL42" i="5"/>
  <c r="AO108" i="5"/>
  <c r="AK108" i="5"/>
  <c r="AO21" i="5"/>
  <c r="AK21" i="5"/>
  <c r="AO29" i="5"/>
  <c r="AK29" i="5"/>
  <c r="AM7" i="5"/>
  <c r="AM4" i="5"/>
  <c r="AK6" i="5"/>
  <c r="AO7" i="5"/>
  <c r="AV7" i="5" s="1"/>
  <c r="AV18" i="5"/>
  <c r="AN18" i="5"/>
  <c r="AO20" i="5"/>
  <c r="AK20" i="5"/>
  <c r="AO28" i="5"/>
  <c r="AK28" i="5"/>
  <c r="AV34" i="5"/>
  <c r="AN34" i="5"/>
  <c r="AM34" i="5"/>
  <c r="AO36" i="5"/>
  <c r="AK36" i="5"/>
  <c r="AN49" i="5"/>
  <c r="AL49" i="5"/>
  <c r="AN98" i="5"/>
  <c r="AM98" i="5"/>
  <c r="AL98" i="5"/>
  <c r="AP125" i="5"/>
  <c r="AO12" i="5"/>
  <c r="AK12" i="5"/>
  <c r="AO37" i="5"/>
  <c r="AK37" i="5"/>
  <c r="AK8" i="5"/>
  <c r="AO8" i="5"/>
  <c r="AN13" i="5"/>
  <c r="AL13" i="5"/>
  <c r="AV35" i="5"/>
  <c r="AW35" i="5" s="1"/>
  <c r="AM35" i="5"/>
  <c r="AL35" i="5"/>
  <c r="AN4" i="5"/>
  <c r="AV11" i="5"/>
  <c r="AW11" i="5" s="1"/>
  <c r="AN11" i="5"/>
  <c r="AL11" i="5"/>
  <c r="AL18" i="5"/>
  <c r="AL26" i="5"/>
  <c r="AL34" i="5"/>
  <c r="AR47" i="5"/>
  <c r="AQ47" i="5"/>
  <c r="AP47" i="5"/>
  <c r="AV47" i="5"/>
  <c r="AW47" i="5" s="1"/>
  <c r="AR22" i="5"/>
  <c r="AQ22" i="5"/>
  <c r="AR38" i="5"/>
  <c r="AQ38" i="5"/>
  <c r="AO4" i="5"/>
  <c r="AK17" i="5"/>
  <c r="AO17" i="5"/>
  <c r="AM23" i="5"/>
  <c r="AL23" i="5"/>
  <c r="AK25" i="5"/>
  <c r="AO25" i="5"/>
  <c r="AM31" i="5"/>
  <c r="AL31" i="5"/>
  <c r="AK33" i="5"/>
  <c r="AO33" i="5"/>
  <c r="AK41" i="5"/>
  <c r="AO41" i="5"/>
  <c r="AV43" i="5"/>
  <c r="AW43" i="5" s="1"/>
  <c r="AN43" i="5"/>
  <c r="AM43" i="5"/>
  <c r="AL43" i="5"/>
  <c r="AO44" i="5"/>
  <c r="AK44" i="5"/>
  <c r="AO45" i="5"/>
  <c r="AK45" i="5"/>
  <c r="AM49" i="5"/>
  <c r="AO5" i="5"/>
  <c r="AQ11" i="5"/>
  <c r="AP11" i="5"/>
  <c r="AV30" i="5"/>
  <c r="AR55" i="5"/>
  <c r="AQ55" i="5"/>
  <c r="AP55" i="5"/>
  <c r="AV55" i="5"/>
  <c r="AW55" i="5" s="1"/>
  <c r="AO59" i="5"/>
  <c r="AK59" i="5"/>
  <c r="AY62" i="5"/>
  <c r="AQ70" i="5"/>
  <c r="AP70" i="5"/>
  <c r="AR70" i="5"/>
  <c r="AO115" i="5"/>
  <c r="AK115" i="5"/>
  <c r="AN128" i="5"/>
  <c r="AM128" i="5"/>
  <c r="AL128" i="5"/>
  <c r="AP6" i="5"/>
  <c r="AN9" i="5"/>
  <c r="AR11" i="5"/>
  <c r="AO13" i="5"/>
  <c r="AV13" i="5" s="1"/>
  <c r="AR15" i="5"/>
  <c r="AQ15" i="5"/>
  <c r="AP15" i="5"/>
  <c r="AR23" i="5"/>
  <c r="AQ23" i="5"/>
  <c r="AP23" i="5"/>
  <c r="AR39" i="5"/>
  <c r="AQ39" i="5"/>
  <c r="AP39" i="5"/>
  <c r="AO53" i="5"/>
  <c r="AK53" i="5"/>
  <c r="AO67" i="5"/>
  <c r="AK67" i="5"/>
  <c r="AQ57" i="5"/>
  <c r="AP57" i="5"/>
  <c r="AN60" i="5"/>
  <c r="AM60" i="5"/>
  <c r="AK63" i="5"/>
  <c r="AO63" i="5"/>
  <c r="AV65" i="5"/>
  <c r="AN65" i="5"/>
  <c r="AM65" i="5"/>
  <c r="AV73" i="5"/>
  <c r="AN73" i="5"/>
  <c r="AM73" i="5"/>
  <c r="AO76" i="5"/>
  <c r="AK76" i="5"/>
  <c r="AR86" i="5"/>
  <c r="AQ86" i="5"/>
  <c r="AP86" i="5"/>
  <c r="AV89" i="5"/>
  <c r="AN89" i="5"/>
  <c r="AO99" i="5"/>
  <c r="AK99" i="5"/>
  <c r="AR101" i="5"/>
  <c r="AQ101" i="5"/>
  <c r="AN104" i="5"/>
  <c r="AV137" i="5"/>
  <c r="AV153" i="5"/>
  <c r="AN153" i="5"/>
  <c r="AM153" i="5"/>
  <c r="AL153" i="5"/>
  <c r="AR296" i="5"/>
  <c r="AQ296" i="5"/>
  <c r="AP296" i="5"/>
  <c r="AO16" i="5"/>
  <c r="AO24" i="5"/>
  <c r="AO32" i="5"/>
  <c r="AO40" i="5"/>
  <c r="AQ46" i="5"/>
  <c r="AO48" i="5"/>
  <c r="AK52" i="5"/>
  <c r="AQ54" i="5"/>
  <c r="AO56" i="5"/>
  <c r="AL60" i="5"/>
  <c r="AM61" i="5"/>
  <c r="AL61" i="5"/>
  <c r="AQ65" i="5"/>
  <c r="AP65" i="5"/>
  <c r="AR73" i="5"/>
  <c r="AQ73" i="5"/>
  <c r="AP73" i="5"/>
  <c r="AR78" i="5"/>
  <c r="AQ78" i="5"/>
  <c r="AP78" i="5"/>
  <c r="AV81" i="5"/>
  <c r="AN81" i="5"/>
  <c r="AM81" i="5"/>
  <c r="AO91" i="5"/>
  <c r="AK91" i="5"/>
  <c r="AR93" i="5"/>
  <c r="AQ93" i="5"/>
  <c r="AO100" i="5"/>
  <c r="AK100" i="5"/>
  <c r="AL104" i="5"/>
  <c r="AO131" i="5"/>
  <c r="AK131" i="5"/>
  <c r="AV141" i="5"/>
  <c r="AN144" i="5"/>
  <c r="AM144" i="5"/>
  <c r="AP170" i="5"/>
  <c r="AR170" i="5"/>
  <c r="AQ170" i="5"/>
  <c r="AR176" i="5"/>
  <c r="AQ176" i="5"/>
  <c r="AP176" i="5"/>
  <c r="AO49" i="5"/>
  <c r="AV49" i="5" s="1"/>
  <c r="BB49" i="5" s="1"/>
  <c r="AO58" i="5"/>
  <c r="AO60" i="5"/>
  <c r="AV60" i="5" s="1"/>
  <c r="AV69" i="5"/>
  <c r="AW69" i="5" s="1"/>
  <c r="AN69" i="5"/>
  <c r="AM69" i="5"/>
  <c r="AL69" i="5"/>
  <c r="AK71" i="5"/>
  <c r="AO71" i="5"/>
  <c r="AN90" i="5"/>
  <c r="AM90" i="5"/>
  <c r="AL90" i="5"/>
  <c r="AM104" i="5"/>
  <c r="AL129" i="5"/>
  <c r="AR141" i="5"/>
  <c r="AQ141" i="5"/>
  <c r="AP141" i="5"/>
  <c r="AO147" i="5"/>
  <c r="AK147" i="5"/>
  <c r="AR157" i="5"/>
  <c r="AQ157" i="5"/>
  <c r="AP157" i="5"/>
  <c r="AP178" i="5"/>
  <c r="AR178" i="5"/>
  <c r="AQ178" i="5"/>
  <c r="AQ194" i="5"/>
  <c r="AP194" i="5"/>
  <c r="AR194" i="5"/>
  <c r="AQ197" i="5"/>
  <c r="AP197" i="5"/>
  <c r="AR197" i="5"/>
  <c r="AR61" i="5"/>
  <c r="AQ61" i="5"/>
  <c r="AO68" i="5"/>
  <c r="AK68" i="5"/>
  <c r="AR69" i="5"/>
  <c r="AQ69" i="5"/>
  <c r="AO83" i="5"/>
  <c r="AK83" i="5"/>
  <c r="AR85" i="5"/>
  <c r="AQ85" i="5"/>
  <c r="AO92" i="5"/>
  <c r="AK92" i="5"/>
  <c r="AV105" i="5"/>
  <c r="AN105" i="5"/>
  <c r="AM105" i="5"/>
  <c r="AR110" i="5"/>
  <c r="AQ110" i="5"/>
  <c r="AP110" i="5"/>
  <c r="AN120" i="5"/>
  <c r="AM120" i="5"/>
  <c r="BD122" i="5"/>
  <c r="BC122" i="5"/>
  <c r="AV145" i="5"/>
  <c r="AN145" i="5"/>
  <c r="AM145" i="5"/>
  <c r="AV160" i="5"/>
  <c r="AN160" i="5"/>
  <c r="AM160" i="5"/>
  <c r="AL160" i="5"/>
  <c r="AM176" i="5"/>
  <c r="AL176" i="5"/>
  <c r="AO190" i="5"/>
  <c r="AK190" i="5"/>
  <c r="AM58" i="5"/>
  <c r="AL58" i="5"/>
  <c r="AQ62" i="5"/>
  <c r="AP62" i="5"/>
  <c r="AO66" i="5"/>
  <c r="AM74" i="5"/>
  <c r="AL74" i="5"/>
  <c r="AN82" i="5"/>
  <c r="AM82" i="5"/>
  <c r="AL82" i="5"/>
  <c r="AR117" i="5"/>
  <c r="AQ117" i="5"/>
  <c r="AP117" i="5"/>
  <c r="AO123" i="5"/>
  <c r="AK123" i="5"/>
  <c r="AQ173" i="5"/>
  <c r="AP173" i="5"/>
  <c r="AR173" i="5"/>
  <c r="AQ10" i="5"/>
  <c r="AM14" i="5"/>
  <c r="AK16" i="5"/>
  <c r="AQ18" i="5"/>
  <c r="AK24" i="5"/>
  <c r="AQ26" i="5"/>
  <c r="AM30" i="5"/>
  <c r="AK32" i="5"/>
  <c r="AQ34" i="5"/>
  <c r="AM38" i="5"/>
  <c r="AK40" i="5"/>
  <c r="AQ42" i="5"/>
  <c r="AM46" i="5"/>
  <c r="AL47" i="5"/>
  <c r="AK48" i="5"/>
  <c r="AQ50" i="5"/>
  <c r="AP51" i="5"/>
  <c r="AO52" i="5"/>
  <c r="AL55" i="5"/>
  <c r="AK56" i="5"/>
  <c r="AV57" i="5"/>
  <c r="AN57" i="5"/>
  <c r="AM57" i="5"/>
  <c r="AN58" i="5"/>
  <c r="AR62" i="5"/>
  <c r="AN74" i="5"/>
  <c r="AO75" i="5"/>
  <c r="AK75" i="5"/>
  <c r="AO84" i="5"/>
  <c r="AK84" i="5"/>
  <c r="AR94" i="5"/>
  <c r="AQ94" i="5"/>
  <c r="AP94" i="5"/>
  <c r="AV97" i="5"/>
  <c r="AN97" i="5"/>
  <c r="AM97" i="5"/>
  <c r="AR102" i="5"/>
  <c r="AQ102" i="5"/>
  <c r="AP102" i="5"/>
  <c r="AL120" i="5"/>
  <c r="AV121" i="5"/>
  <c r="AN121" i="5"/>
  <c r="AM121" i="5"/>
  <c r="AL121" i="5"/>
  <c r="AY122" i="5"/>
  <c r="AX122" i="5"/>
  <c r="AX126" i="5"/>
  <c r="AR133" i="5"/>
  <c r="AQ133" i="5"/>
  <c r="AP133" i="5"/>
  <c r="AN136" i="5"/>
  <c r="AM136" i="5"/>
  <c r="AV149" i="5"/>
  <c r="AN152" i="5"/>
  <c r="AM152" i="5"/>
  <c r="AV168" i="5"/>
  <c r="AN168" i="5"/>
  <c r="AM168" i="5"/>
  <c r="AL168" i="5"/>
  <c r="AN14" i="5"/>
  <c r="AN30" i="5"/>
  <c r="AN46" i="5"/>
  <c r="AK66" i="5"/>
  <c r="AM106" i="5"/>
  <c r="AO107" i="5"/>
  <c r="AK107" i="5"/>
  <c r="AR109" i="5"/>
  <c r="AQ109" i="5"/>
  <c r="AN112" i="5"/>
  <c r="AO139" i="5"/>
  <c r="AK139" i="5"/>
  <c r="AR149" i="5"/>
  <c r="AQ149" i="5"/>
  <c r="AP149" i="5"/>
  <c r="AO155" i="5"/>
  <c r="AK155" i="5"/>
  <c r="AL196" i="5"/>
  <c r="AV196" i="5"/>
  <c r="AN196" i="5"/>
  <c r="AM196" i="5"/>
  <c r="AV166" i="5"/>
  <c r="AW166" i="5" s="1"/>
  <c r="AM177" i="5"/>
  <c r="AL177" i="5"/>
  <c r="AR180" i="5"/>
  <c r="AQ180" i="5"/>
  <c r="AQ181" i="5"/>
  <c r="AK186" i="5"/>
  <c r="AN192" i="5"/>
  <c r="AM192" i="5"/>
  <c r="AK195" i="5"/>
  <c r="AO195" i="5"/>
  <c r="AW201" i="5"/>
  <c r="BB201" i="5"/>
  <c r="AO208" i="5"/>
  <c r="AK208" i="5"/>
  <c r="AQ210" i="5"/>
  <c r="AP210" i="5"/>
  <c r="AK211" i="5"/>
  <c r="AO211" i="5"/>
  <c r="AM222" i="5"/>
  <c r="AL222" i="5"/>
  <c r="AR229" i="5"/>
  <c r="AV229" i="5"/>
  <c r="AV233" i="5"/>
  <c r="AN233" i="5"/>
  <c r="AM233" i="5"/>
  <c r="AL233" i="5"/>
  <c r="AO248" i="5"/>
  <c r="AK248" i="5"/>
  <c r="AQ250" i="5"/>
  <c r="AP250" i="5"/>
  <c r="AK251" i="5"/>
  <c r="AO251" i="5"/>
  <c r="AO256" i="5"/>
  <c r="AK256" i="5"/>
  <c r="AQ258" i="5"/>
  <c r="AP258" i="5"/>
  <c r="AR305" i="5"/>
  <c r="AQ305" i="5"/>
  <c r="AP305" i="5"/>
  <c r="AR329" i="5"/>
  <c r="AQ329" i="5"/>
  <c r="AP329" i="5"/>
  <c r="AV329" i="5"/>
  <c r="AN72" i="5"/>
  <c r="AO79" i="5"/>
  <c r="AN80" i="5"/>
  <c r="AO87" i="5"/>
  <c r="AN88" i="5"/>
  <c r="AO95" i="5"/>
  <c r="AN96" i="5"/>
  <c r="AO103" i="5"/>
  <c r="AO111" i="5"/>
  <c r="AL114" i="5"/>
  <c r="AP118" i="5"/>
  <c r="AO119" i="5"/>
  <c r="AL122" i="5"/>
  <c r="AP126" i="5"/>
  <c r="AO127" i="5"/>
  <c r="AL130" i="5"/>
  <c r="AP134" i="5"/>
  <c r="AO135" i="5"/>
  <c r="AP142" i="5"/>
  <c r="AO143" i="5"/>
  <c r="AL146" i="5"/>
  <c r="AP150" i="5"/>
  <c r="AO151" i="5"/>
  <c r="AP158" i="5"/>
  <c r="AO159" i="5"/>
  <c r="AK159" i="5"/>
  <c r="AM162" i="5"/>
  <c r="AK163" i="5"/>
  <c r="AO163" i="5"/>
  <c r="AM166" i="5"/>
  <c r="AO167" i="5"/>
  <c r="AK167" i="5"/>
  <c r="AN177" i="5"/>
  <c r="AP180" i="5"/>
  <c r="AO198" i="5"/>
  <c r="AM201" i="5"/>
  <c r="AL201" i="5"/>
  <c r="AQ202" i="5"/>
  <c r="AP202" i="5"/>
  <c r="AL204" i="5"/>
  <c r="AN204" i="5"/>
  <c r="AV205" i="5"/>
  <c r="AR210" i="5"/>
  <c r="AN222" i="5"/>
  <c r="AR250" i="5"/>
  <c r="AR258" i="5"/>
  <c r="AL260" i="5"/>
  <c r="AR288" i="5"/>
  <c r="AQ288" i="5"/>
  <c r="AP288" i="5"/>
  <c r="AN293" i="5"/>
  <c r="AM293" i="5"/>
  <c r="AL293" i="5"/>
  <c r="AN300" i="5"/>
  <c r="AO64" i="5"/>
  <c r="AV64" i="5" s="1"/>
  <c r="AO72" i="5"/>
  <c r="AO80" i="5"/>
  <c r="AO88" i="5"/>
  <c r="AV88" i="5" s="1"/>
  <c r="BB88" i="5" s="1"/>
  <c r="AO96" i="5"/>
  <c r="AV96" i="5" s="1"/>
  <c r="AO104" i="5"/>
  <c r="AV104" i="5" s="1"/>
  <c r="AO112" i="5"/>
  <c r="AM114" i="5"/>
  <c r="AK116" i="5"/>
  <c r="AQ118" i="5"/>
  <c r="AO120" i="5"/>
  <c r="AM122" i="5"/>
  <c r="AK124" i="5"/>
  <c r="AQ126" i="5"/>
  <c r="AO128" i="5"/>
  <c r="AM130" i="5"/>
  <c r="AK132" i="5"/>
  <c r="AQ134" i="5"/>
  <c r="AO136" i="5"/>
  <c r="AV136" i="5" s="1"/>
  <c r="BB136" i="5" s="1"/>
  <c r="AK140" i="5"/>
  <c r="AQ142" i="5"/>
  <c r="AO144" i="5"/>
  <c r="AV144" i="5" s="1"/>
  <c r="AM146" i="5"/>
  <c r="AK148" i="5"/>
  <c r="AQ150" i="5"/>
  <c r="AO152" i="5"/>
  <c r="AV152" i="5" s="1"/>
  <c r="AK156" i="5"/>
  <c r="AQ158" i="5"/>
  <c r="AN162" i="5"/>
  <c r="AM185" i="5"/>
  <c r="AL185" i="5"/>
  <c r="AL192" i="5"/>
  <c r="AN200" i="5"/>
  <c r="AM200" i="5"/>
  <c r="AK203" i="5"/>
  <c r="AO203" i="5"/>
  <c r="AO216" i="5"/>
  <c r="AK216" i="5"/>
  <c r="AQ218" i="5"/>
  <c r="AP218" i="5"/>
  <c r="AK219" i="5"/>
  <c r="AO219" i="5"/>
  <c r="AO224" i="5"/>
  <c r="AK224" i="5"/>
  <c r="AQ226" i="5"/>
  <c r="AP226" i="5"/>
  <c r="AK227" i="5"/>
  <c r="AO227" i="5"/>
  <c r="AM230" i="5"/>
  <c r="AL230" i="5"/>
  <c r="AR237" i="5"/>
  <c r="AQ237" i="5"/>
  <c r="AN241" i="5"/>
  <c r="AM241" i="5"/>
  <c r="AL241" i="5"/>
  <c r="AL262" i="5"/>
  <c r="AN262" i="5"/>
  <c r="AM262" i="5"/>
  <c r="AR384" i="5"/>
  <c r="AQ384" i="5"/>
  <c r="AP384" i="5"/>
  <c r="AN114" i="5"/>
  <c r="AN122" i="5"/>
  <c r="AN130" i="5"/>
  <c r="AN146" i="5"/>
  <c r="AN184" i="5"/>
  <c r="AM184" i="5"/>
  <c r="AO186" i="5"/>
  <c r="AO192" i="5"/>
  <c r="AV192" i="5" s="1"/>
  <c r="AM198" i="5"/>
  <c r="AL198" i="5"/>
  <c r="AO206" i="5"/>
  <c r="AL212" i="5"/>
  <c r="AV212" i="5"/>
  <c r="AN212" i="5"/>
  <c r="AR280" i="5"/>
  <c r="AQ280" i="5"/>
  <c r="AP280" i="5"/>
  <c r="AN285" i="5"/>
  <c r="AM285" i="5"/>
  <c r="AL285" i="5"/>
  <c r="AR321" i="5"/>
  <c r="AQ321" i="5"/>
  <c r="AP321" i="5"/>
  <c r="AK70" i="5"/>
  <c r="AO74" i="5"/>
  <c r="AL77" i="5"/>
  <c r="AK78" i="5"/>
  <c r="AP81" i="5"/>
  <c r="AO82" i="5"/>
  <c r="AV82" i="5" s="1"/>
  <c r="AW82" i="5" s="1"/>
  <c r="AL85" i="5"/>
  <c r="AK86" i="5"/>
  <c r="AP89" i="5"/>
  <c r="AO90" i="5"/>
  <c r="AV90" i="5" s="1"/>
  <c r="AW90" i="5" s="1"/>
  <c r="AL93" i="5"/>
  <c r="AK94" i="5"/>
  <c r="AP97" i="5"/>
  <c r="AO98" i="5"/>
  <c r="AL101" i="5"/>
  <c r="AP105" i="5"/>
  <c r="AP113" i="5"/>
  <c r="AL117" i="5"/>
  <c r="AK118" i="5"/>
  <c r="AP121" i="5"/>
  <c r="AL125" i="5"/>
  <c r="AP129" i="5"/>
  <c r="AP137" i="5"/>
  <c r="AL141" i="5"/>
  <c r="AK142" i="5"/>
  <c r="AP145" i="5"/>
  <c r="AL149" i="5"/>
  <c r="AK150" i="5"/>
  <c r="AP153" i="5"/>
  <c r="AL157" i="5"/>
  <c r="AK158" i="5"/>
  <c r="AQ160" i="5"/>
  <c r="AL161" i="5"/>
  <c r="AV161" i="5"/>
  <c r="AQ164" i="5"/>
  <c r="AL165" i="5"/>
  <c r="AQ166" i="5"/>
  <c r="AL169" i="5"/>
  <c r="AV169" i="5"/>
  <c r="AO174" i="5"/>
  <c r="AO175" i="5"/>
  <c r="AK175" i="5"/>
  <c r="AK179" i="5"/>
  <c r="AO179" i="5"/>
  <c r="AO182" i="5"/>
  <c r="AL184" i="5"/>
  <c r="AN198" i="5"/>
  <c r="AL209" i="5"/>
  <c r="AR213" i="5"/>
  <c r="AQ213" i="5"/>
  <c r="AP213" i="5"/>
  <c r="AO232" i="5"/>
  <c r="AK232" i="5"/>
  <c r="AQ234" i="5"/>
  <c r="AP234" i="5"/>
  <c r="AK235" i="5"/>
  <c r="AO235" i="5"/>
  <c r="AM238" i="5"/>
  <c r="AL238" i="5"/>
  <c r="AR245" i="5"/>
  <c r="AQ245" i="5"/>
  <c r="AP245" i="5"/>
  <c r="AV245" i="5"/>
  <c r="AV249" i="5"/>
  <c r="AN249" i="5"/>
  <c r="AM249" i="5"/>
  <c r="AL249" i="5"/>
  <c r="AR253" i="5"/>
  <c r="AQ253" i="5"/>
  <c r="AP253" i="5"/>
  <c r="AV253" i="5"/>
  <c r="AV257" i="5"/>
  <c r="AN257" i="5"/>
  <c r="AM257" i="5"/>
  <c r="AL257" i="5"/>
  <c r="AR352" i="5"/>
  <c r="AQ352" i="5"/>
  <c r="AP352" i="5"/>
  <c r="AM77" i="5"/>
  <c r="AK79" i="5"/>
  <c r="AQ81" i="5"/>
  <c r="AM85" i="5"/>
  <c r="AK87" i="5"/>
  <c r="AQ89" i="5"/>
  <c r="AM93" i="5"/>
  <c r="AK95" i="5"/>
  <c r="AQ97" i="5"/>
  <c r="AM101" i="5"/>
  <c r="AK103" i="5"/>
  <c r="AQ105" i="5"/>
  <c r="AP106" i="5"/>
  <c r="AK111" i="5"/>
  <c r="AQ113" i="5"/>
  <c r="AP114" i="5"/>
  <c r="AM117" i="5"/>
  <c r="AK119" i="5"/>
  <c r="AQ121" i="5"/>
  <c r="AP122" i="5"/>
  <c r="AM125" i="5"/>
  <c r="AL126" i="5"/>
  <c r="AK127" i="5"/>
  <c r="AQ129" i="5"/>
  <c r="AP130" i="5"/>
  <c r="AM133" i="5"/>
  <c r="AL134" i="5"/>
  <c r="AK135" i="5"/>
  <c r="AQ137" i="5"/>
  <c r="AP138" i="5"/>
  <c r="AM141" i="5"/>
  <c r="AK143" i="5"/>
  <c r="AQ145" i="5"/>
  <c r="AM149" i="5"/>
  <c r="AK151" i="5"/>
  <c r="AQ153" i="5"/>
  <c r="AP154" i="5"/>
  <c r="AM157" i="5"/>
  <c r="AN161" i="5"/>
  <c r="AR162" i="5"/>
  <c r="AN165" i="5"/>
  <c r="AR166" i="5"/>
  <c r="AN169" i="5"/>
  <c r="AK170" i="5"/>
  <c r="AO184" i="5"/>
  <c r="AV184" i="5" s="1"/>
  <c r="AW184" i="5" s="1"/>
  <c r="AL188" i="5"/>
  <c r="AV188" i="5"/>
  <c r="AN188" i="5"/>
  <c r="AQ189" i="5"/>
  <c r="AP189" i="5"/>
  <c r="AO200" i="5"/>
  <c r="AV200" i="5" s="1"/>
  <c r="BB200" i="5" s="1"/>
  <c r="AK206" i="5"/>
  <c r="AM212" i="5"/>
  <c r="AL220" i="5"/>
  <c r="AV220" i="5"/>
  <c r="AN220" i="5"/>
  <c r="AR234" i="5"/>
  <c r="AN238" i="5"/>
  <c r="AN267" i="5"/>
  <c r="AM267" i="5"/>
  <c r="AL267" i="5"/>
  <c r="AN277" i="5"/>
  <c r="AL277" i="5"/>
  <c r="AR337" i="5"/>
  <c r="AQ337" i="5"/>
  <c r="AP337" i="5"/>
  <c r="AN77" i="5"/>
  <c r="AN85" i="5"/>
  <c r="AN93" i="5"/>
  <c r="AN101" i="5"/>
  <c r="AO116" i="5"/>
  <c r="AN117" i="5"/>
  <c r="AO124" i="5"/>
  <c r="AN125" i="5"/>
  <c r="AO132" i="5"/>
  <c r="AN133" i="5"/>
  <c r="AO140" i="5"/>
  <c r="AN141" i="5"/>
  <c r="AO148" i="5"/>
  <c r="AN149" i="5"/>
  <c r="AO156" i="5"/>
  <c r="AN157" i="5"/>
  <c r="AK171" i="5"/>
  <c r="AO171" i="5"/>
  <c r="AK174" i="5"/>
  <c r="AK178" i="5"/>
  <c r="AV180" i="5"/>
  <c r="AN180" i="5"/>
  <c r="AK182" i="5"/>
  <c r="AK187" i="5"/>
  <c r="AO187" i="5"/>
  <c r="AM214" i="5"/>
  <c r="AL214" i="5"/>
  <c r="AV217" i="5"/>
  <c r="AN217" i="5"/>
  <c r="AM217" i="5"/>
  <c r="AL217" i="5"/>
  <c r="AR221" i="5"/>
  <c r="AQ221" i="5"/>
  <c r="AP221" i="5"/>
  <c r="AV225" i="5"/>
  <c r="AN225" i="5"/>
  <c r="AM225" i="5"/>
  <c r="AL225" i="5"/>
  <c r="AO240" i="5"/>
  <c r="AK240" i="5"/>
  <c r="AQ242" i="5"/>
  <c r="AP242" i="5"/>
  <c r="AK243" i="5"/>
  <c r="AO243" i="5"/>
  <c r="AM246" i="5"/>
  <c r="AL246" i="5"/>
  <c r="AM254" i="5"/>
  <c r="AL254" i="5"/>
  <c r="AR313" i="5"/>
  <c r="AQ313" i="5"/>
  <c r="AP313" i="5"/>
  <c r="AV313" i="5"/>
  <c r="AK183" i="5"/>
  <c r="AK191" i="5"/>
  <c r="AK199" i="5"/>
  <c r="AK207" i="5"/>
  <c r="AK215" i="5"/>
  <c r="AK223" i="5"/>
  <c r="AN228" i="5"/>
  <c r="AK231" i="5"/>
  <c r="AN236" i="5"/>
  <c r="AK239" i="5"/>
  <c r="AN244" i="5"/>
  <c r="AK247" i="5"/>
  <c r="AN252" i="5"/>
  <c r="AV252" i="5"/>
  <c r="AW252" i="5" s="1"/>
  <c r="AK255" i="5"/>
  <c r="AO263" i="5"/>
  <c r="AK263" i="5"/>
  <c r="AV265" i="5"/>
  <c r="AK266" i="5"/>
  <c r="AR272" i="5"/>
  <c r="AQ272" i="5"/>
  <c r="AN275" i="5"/>
  <c r="AO278" i="5"/>
  <c r="AK278" i="5"/>
  <c r="AN283" i="5"/>
  <c r="AO286" i="5"/>
  <c r="AK286" i="5"/>
  <c r="AN291" i="5"/>
  <c r="AO294" i="5"/>
  <c r="AK294" i="5"/>
  <c r="AQ304" i="5"/>
  <c r="AV308" i="5"/>
  <c r="AN355" i="5"/>
  <c r="AM355" i="5"/>
  <c r="AV365" i="5"/>
  <c r="AO366" i="5"/>
  <c r="AK366" i="5"/>
  <c r="AN405" i="5"/>
  <c r="AM405" i="5"/>
  <c r="AL405" i="5"/>
  <c r="AR409" i="5"/>
  <c r="AQ409" i="5"/>
  <c r="AP409" i="5"/>
  <c r="AK259" i="5"/>
  <c r="AO259" i="5"/>
  <c r="AO271" i="5"/>
  <c r="AK271" i="5"/>
  <c r="AO279" i="5"/>
  <c r="AK279" i="5"/>
  <c r="AO287" i="5"/>
  <c r="AK287" i="5"/>
  <c r="AO295" i="5"/>
  <c r="AK295" i="5"/>
  <c r="AO302" i="5"/>
  <c r="AK302" i="5"/>
  <c r="AR312" i="5"/>
  <c r="AQ312" i="5"/>
  <c r="AN317" i="5"/>
  <c r="AM317" i="5"/>
  <c r="AL317" i="5"/>
  <c r="AR320" i="5"/>
  <c r="AQ320" i="5"/>
  <c r="AV325" i="5"/>
  <c r="AN325" i="5"/>
  <c r="AM325" i="5"/>
  <c r="AL325" i="5"/>
  <c r="AR328" i="5"/>
  <c r="AN333" i="5"/>
  <c r="AM333" i="5"/>
  <c r="AL333" i="5"/>
  <c r="AR336" i="5"/>
  <c r="AQ336" i="5"/>
  <c r="AV341" i="5"/>
  <c r="AN341" i="5"/>
  <c r="AM341" i="5"/>
  <c r="AL341" i="5"/>
  <c r="AV349" i="5"/>
  <c r="AN349" i="5"/>
  <c r="AM349" i="5"/>
  <c r="AL349" i="5"/>
  <c r="AO407" i="5"/>
  <c r="AK407" i="5"/>
  <c r="AN301" i="5"/>
  <c r="AM301" i="5"/>
  <c r="AL301" i="5"/>
  <c r="AO303" i="5"/>
  <c r="AK303" i="5"/>
  <c r="AO310" i="5"/>
  <c r="AK310" i="5"/>
  <c r="AN315" i="5"/>
  <c r="AO318" i="5"/>
  <c r="AK318" i="5"/>
  <c r="AN323" i="5"/>
  <c r="AO326" i="5"/>
  <c r="AK326" i="5"/>
  <c r="AN331" i="5"/>
  <c r="AO334" i="5"/>
  <c r="AK334" i="5"/>
  <c r="AN339" i="5"/>
  <c r="AO342" i="5"/>
  <c r="AK342" i="5"/>
  <c r="AN347" i="5"/>
  <c r="AO350" i="5"/>
  <c r="AK350" i="5"/>
  <c r="AV356" i="5"/>
  <c r="AN356" i="5"/>
  <c r="AM356" i="5"/>
  <c r="AL356" i="5"/>
  <c r="AO358" i="5"/>
  <c r="AK358" i="5"/>
  <c r="AO390" i="5"/>
  <c r="AK390" i="5"/>
  <c r="AR394" i="5"/>
  <c r="AQ394" i="5"/>
  <c r="AP394" i="5"/>
  <c r="AV394" i="5"/>
  <c r="AW394" i="5" s="1"/>
  <c r="AQ188" i="5"/>
  <c r="AK194" i="5"/>
  <c r="AQ196" i="5"/>
  <c r="AK202" i="5"/>
  <c r="AK210" i="5"/>
  <c r="AQ212" i="5"/>
  <c r="AK218" i="5"/>
  <c r="AQ220" i="5"/>
  <c r="AO222" i="5"/>
  <c r="AK226" i="5"/>
  <c r="AQ228" i="5"/>
  <c r="AO230" i="5"/>
  <c r="AK234" i="5"/>
  <c r="AQ236" i="5"/>
  <c r="AO238" i="5"/>
  <c r="AK242" i="5"/>
  <c r="AO246" i="5"/>
  <c r="AK250" i="5"/>
  <c r="AQ252" i="5"/>
  <c r="AO254" i="5"/>
  <c r="AK258" i="5"/>
  <c r="AP260" i="5"/>
  <c r="AN309" i="5"/>
  <c r="AM309" i="5"/>
  <c r="AL309" i="5"/>
  <c r="AO311" i="5"/>
  <c r="AK311" i="5"/>
  <c r="AO319" i="5"/>
  <c r="AK319" i="5"/>
  <c r="AO327" i="5"/>
  <c r="AK327" i="5"/>
  <c r="AO335" i="5"/>
  <c r="AK335" i="5"/>
  <c r="AO343" i="5"/>
  <c r="AK343" i="5"/>
  <c r="AO351" i="5"/>
  <c r="AK351" i="5"/>
  <c r="AN382" i="5"/>
  <c r="AM382" i="5"/>
  <c r="AL382" i="5"/>
  <c r="AO183" i="5"/>
  <c r="AO191" i="5"/>
  <c r="AO199" i="5"/>
  <c r="AO207" i="5"/>
  <c r="AP214" i="5"/>
  <c r="AO215" i="5"/>
  <c r="AO223" i="5"/>
  <c r="AO231" i="5"/>
  <c r="AO239" i="5"/>
  <c r="AO247" i="5"/>
  <c r="AO255" i="5"/>
  <c r="AQ260" i="5"/>
  <c r="AL261" i="5"/>
  <c r="AP265" i="5"/>
  <c r="AO266" i="5"/>
  <c r="AV276" i="5"/>
  <c r="AN276" i="5"/>
  <c r="AM276" i="5"/>
  <c r="AV284" i="5"/>
  <c r="AN284" i="5"/>
  <c r="AM284" i="5"/>
  <c r="AM292" i="5"/>
  <c r="AL315" i="5"/>
  <c r="AL323" i="5"/>
  <c r="AL331" i="5"/>
  <c r="AL339" i="5"/>
  <c r="AL347" i="5"/>
  <c r="AV360" i="5"/>
  <c r="AW360" i="5" s="1"/>
  <c r="BB361" i="5"/>
  <c r="AW361" i="5"/>
  <c r="AR273" i="5"/>
  <c r="AQ273" i="5"/>
  <c r="AP273" i="5"/>
  <c r="AR281" i="5"/>
  <c r="AQ281" i="5"/>
  <c r="AP281" i="5"/>
  <c r="AR289" i="5"/>
  <c r="AQ289" i="5"/>
  <c r="AP289" i="5"/>
  <c r="AM315" i="5"/>
  <c r="AM323" i="5"/>
  <c r="AM331" i="5"/>
  <c r="AM339" i="5"/>
  <c r="AM347" i="5"/>
  <c r="AR360" i="5"/>
  <c r="AQ360" i="5"/>
  <c r="AP360" i="5"/>
  <c r="AR368" i="5"/>
  <c r="AQ368" i="5"/>
  <c r="AP368" i="5"/>
  <c r="AO270" i="5"/>
  <c r="AK270" i="5"/>
  <c r="AV296" i="5"/>
  <c r="AW296" i="5" s="1"/>
  <c r="AV316" i="5"/>
  <c r="AN316" i="5"/>
  <c r="AM316" i="5"/>
  <c r="AV324" i="5"/>
  <c r="AN324" i="5"/>
  <c r="AM324" i="5"/>
  <c r="AV340" i="5"/>
  <c r="AN340" i="5"/>
  <c r="AM340" i="5"/>
  <c r="AV348" i="5"/>
  <c r="AN348" i="5"/>
  <c r="AM348" i="5"/>
  <c r="AV352" i="5"/>
  <c r="AW352" i="5" s="1"/>
  <c r="AR364" i="5"/>
  <c r="AQ364" i="5"/>
  <c r="AW403" i="5"/>
  <c r="BB403" i="5"/>
  <c r="BB409" i="5"/>
  <c r="AW409" i="5"/>
  <c r="AN436" i="5"/>
  <c r="AM436" i="5"/>
  <c r="AL436" i="5"/>
  <c r="AO367" i="5"/>
  <c r="AK367" i="5"/>
  <c r="AQ369" i="5"/>
  <c r="AO383" i="5"/>
  <c r="AK383" i="5"/>
  <c r="AR385" i="5"/>
  <c r="AQ385" i="5"/>
  <c r="AN396" i="5"/>
  <c r="AN398" i="5"/>
  <c r="AM398" i="5"/>
  <c r="AL398" i="5"/>
  <c r="AN428" i="5"/>
  <c r="AM428" i="5"/>
  <c r="AL428" i="5"/>
  <c r="AO274" i="5"/>
  <c r="AO282" i="5"/>
  <c r="AO290" i="5"/>
  <c r="AO298" i="5"/>
  <c r="AO306" i="5"/>
  <c r="AO314" i="5"/>
  <c r="AO322" i="5"/>
  <c r="AO330" i="5"/>
  <c r="AO338" i="5"/>
  <c r="AO346" i="5"/>
  <c r="AP353" i="5"/>
  <c r="AO354" i="5"/>
  <c r="AL357" i="5"/>
  <c r="AP361" i="5"/>
  <c r="AO362" i="5"/>
  <c r="AR370" i="5"/>
  <c r="AQ370" i="5"/>
  <c r="AP370" i="5"/>
  <c r="AN372" i="5"/>
  <c r="AO374" i="5"/>
  <c r="AV374" i="5" s="1"/>
  <c r="AK376" i="5"/>
  <c r="AN381" i="5"/>
  <c r="AM381" i="5"/>
  <c r="AP385" i="5"/>
  <c r="AR386" i="5"/>
  <c r="AQ386" i="5"/>
  <c r="AP386" i="5"/>
  <c r="AN388" i="5"/>
  <c r="AP392" i="5"/>
  <c r="AL396" i="5"/>
  <c r="AO399" i="5"/>
  <c r="AK399" i="5"/>
  <c r="AP400" i="5"/>
  <c r="AR424" i="5"/>
  <c r="AQ424" i="5"/>
  <c r="AO267" i="5"/>
  <c r="AV267" i="5" s="1"/>
  <c r="AO275" i="5"/>
  <c r="AV275" i="5" s="1"/>
  <c r="AO283" i="5"/>
  <c r="AO291" i="5"/>
  <c r="AO299" i="5"/>
  <c r="AO307" i="5"/>
  <c r="AO315" i="5"/>
  <c r="AO323" i="5"/>
  <c r="AV323" i="5" s="1"/>
  <c r="AO331" i="5"/>
  <c r="AV331" i="5" s="1"/>
  <c r="AO339" i="5"/>
  <c r="AV339" i="5" s="1"/>
  <c r="AO347" i="5"/>
  <c r="AQ353" i="5"/>
  <c r="AO355" i="5"/>
  <c r="AV355" i="5" s="1"/>
  <c r="AM357" i="5"/>
  <c r="AK359" i="5"/>
  <c r="AQ361" i="5"/>
  <c r="AP365" i="5"/>
  <c r="AL372" i="5"/>
  <c r="AL381" i="5"/>
  <c r="AL388" i="5"/>
  <c r="AO391" i="5"/>
  <c r="AK391" i="5"/>
  <c r="AQ392" i="5"/>
  <c r="AM396" i="5"/>
  <c r="AQ400" i="5"/>
  <c r="AR416" i="5"/>
  <c r="AQ416" i="5"/>
  <c r="AP424" i="5"/>
  <c r="AM425" i="5"/>
  <c r="AL425" i="5"/>
  <c r="AN357" i="5"/>
  <c r="AN374" i="5"/>
  <c r="AM374" i="5"/>
  <c r="AL374" i="5"/>
  <c r="AM393" i="5"/>
  <c r="AL393" i="5"/>
  <c r="AM401" i="5"/>
  <c r="AL401" i="5"/>
  <c r="AV401" i="5"/>
  <c r="AR408" i="5"/>
  <c r="AQ408" i="5"/>
  <c r="AM417" i="5"/>
  <c r="AL417" i="5"/>
  <c r="AN420" i="5"/>
  <c r="AM420" i="5"/>
  <c r="AM441" i="5"/>
  <c r="AL441" i="5"/>
  <c r="AO445" i="5"/>
  <c r="AK445" i="5"/>
  <c r="AL272" i="5"/>
  <c r="AP276" i="5"/>
  <c r="AP284" i="5"/>
  <c r="AL288" i="5"/>
  <c r="AP292" i="5"/>
  <c r="AL296" i="5"/>
  <c r="AP300" i="5"/>
  <c r="AO301" i="5"/>
  <c r="AL304" i="5"/>
  <c r="AP308" i="5"/>
  <c r="AO309" i="5"/>
  <c r="AL312" i="5"/>
  <c r="AP316" i="5"/>
  <c r="AP324" i="5"/>
  <c r="AP332" i="5"/>
  <c r="AP340" i="5"/>
  <c r="AL344" i="5"/>
  <c r="AP348" i="5"/>
  <c r="AL352" i="5"/>
  <c r="AP356" i="5"/>
  <c r="AL360" i="5"/>
  <c r="AO363" i="5"/>
  <c r="AV370" i="5"/>
  <c r="AW370" i="5" s="1"/>
  <c r="AO375" i="5"/>
  <c r="AK375" i="5"/>
  <c r="AP376" i="5"/>
  <c r="AR377" i="5"/>
  <c r="AQ377" i="5"/>
  <c r="AV386" i="5"/>
  <c r="AW386" i="5" s="1"/>
  <c r="AN397" i="5"/>
  <c r="AM397" i="5"/>
  <c r="AP408" i="5"/>
  <c r="AM409" i="5"/>
  <c r="AL409" i="5"/>
  <c r="AN412" i="5"/>
  <c r="AM412" i="5"/>
  <c r="AO422" i="5"/>
  <c r="AK422" i="5"/>
  <c r="AM433" i="5"/>
  <c r="AL433" i="5"/>
  <c r="AO438" i="5"/>
  <c r="AK438" i="5"/>
  <c r="BB442" i="5"/>
  <c r="AW442" i="5"/>
  <c r="AL265" i="5"/>
  <c r="AM272" i="5"/>
  <c r="AL273" i="5"/>
  <c r="AK274" i="5"/>
  <c r="AQ276" i="5"/>
  <c r="AK282" i="5"/>
  <c r="AQ284" i="5"/>
  <c r="AM288" i="5"/>
  <c r="AK290" i="5"/>
  <c r="AQ292" i="5"/>
  <c r="AM296" i="5"/>
  <c r="AK298" i="5"/>
  <c r="AQ300" i="5"/>
  <c r="AK306" i="5"/>
  <c r="AQ308" i="5"/>
  <c r="AM312" i="5"/>
  <c r="AK314" i="5"/>
  <c r="AQ316" i="5"/>
  <c r="AK322" i="5"/>
  <c r="AQ324" i="5"/>
  <c r="AK330" i="5"/>
  <c r="AQ332" i="5"/>
  <c r="AK338" i="5"/>
  <c r="AQ340" i="5"/>
  <c r="AM344" i="5"/>
  <c r="AK346" i="5"/>
  <c r="AQ348" i="5"/>
  <c r="AM352" i="5"/>
  <c r="AK354" i="5"/>
  <c r="AQ356" i="5"/>
  <c r="AM360" i="5"/>
  <c r="AK362" i="5"/>
  <c r="AK368" i="5"/>
  <c r="AQ376" i="5"/>
  <c r="AR378" i="5"/>
  <c r="AQ378" i="5"/>
  <c r="AP378" i="5"/>
  <c r="AN380" i="5"/>
  <c r="AO382" i="5"/>
  <c r="AK384" i="5"/>
  <c r="AN389" i="5"/>
  <c r="AM389" i="5"/>
  <c r="AN393" i="5"/>
  <c r="AN401" i="5"/>
  <c r="AN404" i="5"/>
  <c r="AM404" i="5"/>
  <c r="AO414" i="5"/>
  <c r="AK414" i="5"/>
  <c r="AN421" i="5"/>
  <c r="AM421" i="5"/>
  <c r="AL421" i="5"/>
  <c r="AO423" i="5"/>
  <c r="AK423" i="5"/>
  <c r="AO430" i="5"/>
  <c r="AK430" i="5"/>
  <c r="AR440" i="5"/>
  <c r="AQ440" i="5"/>
  <c r="AP440" i="5"/>
  <c r="AN272" i="5"/>
  <c r="AN288" i="5"/>
  <c r="AN296" i="5"/>
  <c r="AN312" i="5"/>
  <c r="AN320" i="5"/>
  <c r="AN344" i="5"/>
  <c r="AN352" i="5"/>
  <c r="AO359" i="5"/>
  <c r="AN360" i="5"/>
  <c r="AK363" i="5"/>
  <c r="AL380" i="5"/>
  <c r="AL389" i="5"/>
  <c r="AK392" i="5"/>
  <c r="AO398" i="5"/>
  <c r="AV398" i="5" s="1"/>
  <c r="AK400" i="5"/>
  <c r="AR401" i="5"/>
  <c r="AQ401" i="5"/>
  <c r="AL404" i="5"/>
  <c r="AO406" i="5"/>
  <c r="AK406" i="5"/>
  <c r="AN409" i="5"/>
  <c r="AN413" i="5"/>
  <c r="AM413" i="5"/>
  <c r="AL413" i="5"/>
  <c r="AO415" i="5"/>
  <c r="AK415" i="5"/>
  <c r="AR432" i="5"/>
  <c r="AQ432" i="5"/>
  <c r="AP432" i="5"/>
  <c r="AN433" i="5"/>
  <c r="AN443" i="5"/>
  <c r="AM443" i="5"/>
  <c r="AL443" i="5"/>
  <c r="AL429" i="5"/>
  <c r="AP433" i="5"/>
  <c r="AL437" i="5"/>
  <c r="AP441" i="5"/>
  <c r="AL444" i="5"/>
  <c r="AO371" i="5"/>
  <c r="AV371" i="5" s="1"/>
  <c r="AO379" i="5"/>
  <c r="AV379" i="5" s="1"/>
  <c r="BB379" i="5" s="1"/>
  <c r="AO387" i="5"/>
  <c r="AO395" i="5"/>
  <c r="AP402" i="5"/>
  <c r="AP410" i="5"/>
  <c r="AP418" i="5"/>
  <c r="AP426" i="5"/>
  <c r="AM429" i="5"/>
  <c r="AK431" i="5"/>
  <c r="AQ433" i="5"/>
  <c r="AP434" i="5"/>
  <c r="AM437" i="5"/>
  <c r="AK439" i="5"/>
  <c r="AQ441" i="5"/>
  <c r="AP442" i="5"/>
  <c r="AM444" i="5"/>
  <c r="AK446" i="5"/>
  <c r="AO372" i="5"/>
  <c r="AO380" i="5"/>
  <c r="AO388" i="5"/>
  <c r="AV388" i="5" s="1"/>
  <c r="AO396" i="5"/>
  <c r="AV396" i="5" s="1"/>
  <c r="AQ402" i="5"/>
  <c r="AP403" i="5"/>
  <c r="AO404" i="5"/>
  <c r="AK408" i="5"/>
  <c r="AQ410" i="5"/>
  <c r="AP411" i="5"/>
  <c r="AO412" i="5"/>
  <c r="AK416" i="5"/>
  <c r="AQ418" i="5"/>
  <c r="AP419" i="5"/>
  <c r="AO420" i="5"/>
  <c r="AK424" i="5"/>
  <c r="AQ426" i="5"/>
  <c r="AP427" i="5"/>
  <c r="AO428" i="5"/>
  <c r="AN429" i="5"/>
  <c r="AK432" i="5"/>
  <c r="AQ434" i="5"/>
  <c r="AP435" i="5"/>
  <c r="AO436" i="5"/>
  <c r="AN437" i="5"/>
  <c r="AK440" i="5"/>
  <c r="AQ442" i="5"/>
  <c r="AO443" i="5"/>
  <c r="AN444" i="5"/>
  <c r="AO389" i="5"/>
  <c r="AV389" i="5" s="1"/>
  <c r="AO397" i="5"/>
  <c r="AO405" i="5"/>
  <c r="AO413" i="5"/>
  <c r="AO421" i="5"/>
  <c r="AO429" i="5"/>
  <c r="AO437" i="5"/>
  <c r="AO444" i="5"/>
  <c r="AO431" i="5"/>
  <c r="AO439" i="5"/>
  <c r="AO446" i="5"/>
  <c r="BB410" i="5" l="1"/>
  <c r="AN38" i="5"/>
  <c r="AV277" i="5"/>
  <c r="AV441" i="5"/>
  <c r="BB441" i="5" s="1"/>
  <c r="AV402" i="5"/>
  <c r="AQ241" i="5"/>
  <c r="AR43" i="5"/>
  <c r="AV102" i="5"/>
  <c r="AV369" i="5"/>
  <c r="AW369" i="5" s="1"/>
  <c r="AV293" i="5"/>
  <c r="AR257" i="5"/>
  <c r="AM228" i="5"/>
  <c r="BB126" i="5"/>
  <c r="BC126" i="5" s="1"/>
  <c r="AX114" i="5"/>
  <c r="AV38" i="5"/>
  <c r="BB38" i="5" s="1"/>
  <c r="AV312" i="5"/>
  <c r="AW312" i="5" s="1"/>
  <c r="AM426" i="5"/>
  <c r="AV164" i="5"/>
  <c r="AN134" i="5"/>
  <c r="AN39" i="5"/>
  <c r="AW77" i="5"/>
  <c r="AY77" i="5" s="1"/>
  <c r="BB77" i="5"/>
  <c r="AQ162" i="5"/>
  <c r="AN280" i="5"/>
  <c r="AN209" i="5"/>
  <c r="AV292" i="5"/>
  <c r="BB292" i="5" s="1"/>
  <c r="AV264" i="5"/>
  <c r="BB264" i="5" s="1"/>
  <c r="BD264" i="5" s="1"/>
  <c r="AL180" i="5"/>
  <c r="AR172" i="5"/>
  <c r="AV209" i="5"/>
  <c r="AM154" i="5"/>
  <c r="AN260" i="5"/>
  <c r="AP205" i="5"/>
  <c r="AV305" i="5"/>
  <c r="BB305" i="5" s="1"/>
  <c r="AQ77" i="5"/>
  <c r="AX134" i="5"/>
  <c r="AN50" i="5"/>
  <c r="AM113" i="5"/>
  <c r="AP31" i="5"/>
  <c r="AQ125" i="5"/>
  <c r="AN26" i="5"/>
  <c r="AL164" i="5"/>
  <c r="AV154" i="5"/>
  <c r="AR293" i="5"/>
  <c r="AP177" i="5"/>
  <c r="AV193" i="5"/>
  <c r="AN106" i="5"/>
  <c r="AV61" i="5"/>
  <c r="AW441" i="5"/>
  <c r="AY441" i="5" s="1"/>
  <c r="AR77" i="5"/>
  <c r="AN113" i="5"/>
  <c r="AQ31" i="5"/>
  <c r="AL39" i="5"/>
  <c r="AV26" i="5"/>
  <c r="AM164" i="5"/>
  <c r="BB134" i="5"/>
  <c r="BC134" i="5" s="1"/>
  <c r="AV213" i="5"/>
  <c r="BB213" i="5" s="1"/>
  <c r="AV304" i="5"/>
  <c r="AW304" i="5" s="1"/>
  <c r="AV177" i="5"/>
  <c r="AQ293" i="5"/>
  <c r="AR177" i="5"/>
  <c r="AR146" i="5"/>
  <c r="AM336" i="5"/>
  <c r="AM260" i="5"/>
  <c r="AV106" i="5"/>
  <c r="AW106" i="5" s="1"/>
  <c r="AY106" i="5" s="1"/>
  <c r="AL137" i="5"/>
  <c r="AP244" i="5"/>
  <c r="AL385" i="5"/>
  <c r="AV146" i="5"/>
  <c r="AV165" i="5"/>
  <c r="AP261" i="5"/>
  <c r="AQ146" i="5"/>
  <c r="AV50" i="5"/>
  <c r="AW50" i="5" s="1"/>
  <c r="AV300" i="5"/>
  <c r="BB300" i="5" s="1"/>
  <c r="AR369" i="5"/>
  <c r="AN292" i="5"/>
  <c r="AR261" i="5"/>
  <c r="AL113" i="5"/>
  <c r="AQ297" i="5"/>
  <c r="AV345" i="5"/>
  <c r="BB345" i="5" s="1"/>
  <c r="AV72" i="5"/>
  <c r="BB72" i="5" s="1"/>
  <c r="AQ205" i="5"/>
  <c r="AP417" i="5"/>
  <c r="AQ244" i="5"/>
  <c r="AR344" i="5"/>
  <c r="AV344" i="5"/>
  <c r="AW344" i="5" s="1"/>
  <c r="AN109" i="5"/>
  <c r="AL109" i="5"/>
  <c r="AP43" i="5"/>
  <c r="AL51" i="5"/>
  <c r="AV244" i="5"/>
  <c r="AQ417" i="5"/>
  <c r="AV385" i="5"/>
  <c r="BB272" i="5"/>
  <c r="AM268" i="5"/>
  <c r="BB360" i="5"/>
  <c r="AN268" i="5"/>
  <c r="AM308" i="5"/>
  <c r="AN173" i="5"/>
  <c r="AQ345" i="5"/>
  <c r="AV241" i="5"/>
  <c r="AW241" i="5" s="1"/>
  <c r="AL300" i="5"/>
  <c r="AP229" i="5"/>
  <c r="AV162" i="5"/>
  <c r="AW162" i="5" s="1"/>
  <c r="AX162" i="5" s="1"/>
  <c r="AM22" i="5"/>
  <c r="AM50" i="5"/>
  <c r="AM137" i="5"/>
  <c r="AL193" i="5"/>
  <c r="AN19" i="5"/>
  <c r="AM51" i="5"/>
  <c r="AV426" i="5"/>
  <c r="AP241" i="5"/>
  <c r="AV39" i="5"/>
  <c r="AN265" i="5"/>
  <c r="AM377" i="5"/>
  <c r="AV377" i="5"/>
  <c r="AL173" i="5"/>
  <c r="AV31" i="5"/>
  <c r="AW31" i="5" s="1"/>
  <c r="AY31" i="5" s="1"/>
  <c r="BA31" i="5" s="1"/>
  <c r="AZ31" i="5" s="1"/>
  <c r="AR304" i="5"/>
  <c r="AQ172" i="5"/>
  <c r="AP297" i="5"/>
  <c r="AM304" i="5"/>
  <c r="AQ344" i="5"/>
  <c r="AM109" i="5"/>
  <c r="AN154" i="5"/>
  <c r="AM280" i="5"/>
  <c r="AR297" i="5"/>
  <c r="AV285" i="5"/>
  <c r="AW285" i="5" s="1"/>
  <c r="AP345" i="5"/>
  <c r="AN193" i="5"/>
  <c r="AL19" i="5"/>
  <c r="AV397" i="5"/>
  <c r="BB397" i="5" s="1"/>
  <c r="AR417" i="5"/>
  <c r="AL280" i="5"/>
  <c r="AV268" i="5"/>
  <c r="AW268" i="5" s="1"/>
  <c r="AN308" i="5"/>
  <c r="AN166" i="5"/>
  <c r="AV128" i="5"/>
  <c r="AV236" i="5"/>
  <c r="AN22" i="5"/>
  <c r="AM89" i="5"/>
  <c r="BB62" i="5"/>
  <c r="BD62" i="5" s="1"/>
  <c r="AV19" i="5"/>
  <c r="AW19" i="5" s="1"/>
  <c r="AY19" i="5" s="1"/>
  <c r="AV173" i="5"/>
  <c r="AW173" i="5" s="1"/>
  <c r="AV133" i="5"/>
  <c r="BB133" i="5" s="1"/>
  <c r="AN385" i="5"/>
  <c r="AL427" i="5"/>
  <c r="AV427" i="5"/>
  <c r="AW427" i="5" s="1"/>
  <c r="AV172" i="5"/>
  <c r="AV269" i="5"/>
  <c r="AW269" i="5" s="1"/>
  <c r="AR201" i="5"/>
  <c r="AW262" i="5"/>
  <c r="AX262" i="5" s="1"/>
  <c r="BB262" i="5"/>
  <c r="BD262" i="5" s="1"/>
  <c r="BB297" i="5"/>
  <c r="AW297" i="5"/>
  <c r="BB355" i="5"/>
  <c r="BD355" i="5" s="1"/>
  <c r="AW355" i="5"/>
  <c r="AY355" i="5" s="1"/>
  <c r="BC273" i="5"/>
  <c r="BD273" i="5"/>
  <c r="BE273" i="5" s="1"/>
  <c r="BF273" i="5" s="1"/>
  <c r="BB417" i="5"/>
  <c r="BC417" i="5" s="1"/>
  <c r="AW417" i="5"/>
  <c r="AY417" i="5" s="1"/>
  <c r="AR204" i="5"/>
  <c r="AP204" i="5"/>
  <c r="AL328" i="5"/>
  <c r="AN364" i="5"/>
  <c r="BB344" i="5"/>
  <c r="BD344" i="5" s="1"/>
  <c r="AM129" i="5"/>
  <c r="AQ14" i="5"/>
  <c r="AM126" i="5"/>
  <c r="AN126" i="5"/>
  <c r="AV364" i="5"/>
  <c r="BB364" i="5" s="1"/>
  <c r="AL110" i="5"/>
  <c r="AN129" i="5"/>
  <c r="AR14" i="5"/>
  <c r="AV336" i="5"/>
  <c r="AW336" i="5" s="1"/>
  <c r="AY336" i="5" s="1"/>
  <c r="AV320" i="5"/>
  <c r="AW320" i="5" s="1"/>
  <c r="AY320" i="5" s="1"/>
  <c r="AV333" i="5"/>
  <c r="AW333" i="5" s="1"/>
  <c r="AM253" i="5"/>
  <c r="AN253" i="5"/>
  <c r="AP425" i="5"/>
  <c r="AM328" i="5"/>
  <c r="AL320" i="5"/>
  <c r="AW418" i="5"/>
  <c r="AY418" i="5" s="1"/>
  <c r="BB162" i="5"/>
  <c r="BC162" i="5" s="1"/>
  <c r="BB51" i="5"/>
  <c r="BD51" i="5" s="1"/>
  <c r="AQ425" i="5"/>
  <c r="BB46" i="5"/>
  <c r="AL27" i="5"/>
  <c r="AV425" i="5"/>
  <c r="AV214" i="5"/>
  <c r="AR393" i="5"/>
  <c r="AM364" i="5"/>
  <c r="AQ262" i="5"/>
  <c r="AQ204" i="5"/>
  <c r="AL264" i="5"/>
  <c r="AM27" i="5"/>
  <c r="AL62" i="5"/>
  <c r="AN62" i="5"/>
  <c r="AN336" i="5"/>
  <c r="AM264" i="5"/>
  <c r="AN172" i="5"/>
  <c r="AN27" i="5"/>
  <c r="AW273" i="5"/>
  <c r="AV204" i="5"/>
  <c r="BB204" i="5" s="1"/>
  <c r="AV14" i="5"/>
  <c r="BB14" i="5" s="1"/>
  <c r="AV373" i="5"/>
  <c r="BB373" i="5" s="1"/>
  <c r="AW374" i="5"/>
  <c r="AY374" i="5" s="1"/>
  <c r="BB374" i="5"/>
  <c r="BD374" i="5" s="1"/>
  <c r="AW435" i="5"/>
  <c r="BB435" i="5"/>
  <c r="AW378" i="5"/>
  <c r="BB378" i="5"/>
  <c r="BD378" i="5" s="1"/>
  <c r="AW60" i="5"/>
  <c r="AY60" i="5" s="1"/>
  <c r="BB60" i="5"/>
  <c r="BD60" i="5" s="1"/>
  <c r="BB93" i="5"/>
  <c r="BD93" i="5" s="1"/>
  <c r="AW93" i="5"/>
  <c r="AY93" i="5" s="1"/>
  <c r="BC289" i="5"/>
  <c r="BD289" i="5"/>
  <c r="BB312" i="5"/>
  <c r="BD312" i="5" s="1"/>
  <c r="AW411" i="5"/>
  <c r="BB411" i="5"/>
  <c r="BB281" i="5"/>
  <c r="AW281" i="5"/>
  <c r="AM189" i="5"/>
  <c r="AN189" i="5"/>
  <c r="AL189" i="5"/>
  <c r="AM237" i="5"/>
  <c r="AN237" i="5"/>
  <c r="AL237" i="5"/>
  <c r="AV15" i="5"/>
  <c r="AN15" i="5"/>
  <c r="AX419" i="5"/>
  <c r="AP268" i="5"/>
  <c r="AR181" i="5"/>
  <c r="BB106" i="5"/>
  <c r="BD106" i="5" s="1"/>
  <c r="AV22" i="5"/>
  <c r="AW22" i="5" s="1"/>
  <c r="AN164" i="5"/>
  <c r="AX23" i="5"/>
  <c r="AW289" i="5"/>
  <c r="AV80" i="5"/>
  <c r="BB80" i="5" s="1"/>
  <c r="AV54" i="5"/>
  <c r="BB54" i="5" s="1"/>
  <c r="BD54" i="5" s="1"/>
  <c r="AM353" i="5"/>
  <c r="AN353" i="5"/>
  <c r="AL353" i="5"/>
  <c r="AM369" i="5"/>
  <c r="AN369" i="5"/>
  <c r="AL369" i="5"/>
  <c r="AQ268" i="5"/>
  <c r="AX272" i="5"/>
  <c r="AV10" i="5"/>
  <c r="AW10" i="5" s="1"/>
  <c r="BB130" i="5"/>
  <c r="AM313" i="5"/>
  <c r="AN313" i="5"/>
  <c r="AL313" i="5"/>
  <c r="AQ419" i="5"/>
  <c r="AR419" i="5"/>
  <c r="AM337" i="5"/>
  <c r="AN337" i="5"/>
  <c r="AL337" i="5"/>
  <c r="AQ225" i="5"/>
  <c r="AR225" i="5"/>
  <c r="AP225" i="5"/>
  <c r="AQ209" i="5"/>
  <c r="AR209" i="5"/>
  <c r="AP209" i="5"/>
  <c r="AM373" i="5"/>
  <c r="AV393" i="5"/>
  <c r="BB393" i="5" s="1"/>
  <c r="AV189" i="5"/>
  <c r="BB189" i="5" s="1"/>
  <c r="AN138" i="5"/>
  <c r="AL138" i="5"/>
  <c r="AL15" i="5"/>
  <c r="BB23" i="5"/>
  <c r="AR220" i="5"/>
  <c r="AP220" i="5"/>
  <c r="AL378" i="5"/>
  <c r="AN378" i="5"/>
  <c r="AM378" i="5"/>
  <c r="AQ411" i="5"/>
  <c r="AR411" i="5"/>
  <c r="AM289" i="5"/>
  <c r="AN289" i="5"/>
  <c r="AL289" i="5"/>
  <c r="BB419" i="5"/>
  <c r="BD419" i="5" s="1"/>
  <c r="AL373" i="5"/>
  <c r="AN373" i="5"/>
  <c r="AM332" i="5"/>
  <c r="BB138" i="5"/>
  <c r="BD138" i="5" s="1"/>
  <c r="AM54" i="5"/>
  <c r="AX130" i="5"/>
  <c r="AM15" i="5"/>
  <c r="AL370" i="5"/>
  <c r="AN370" i="5"/>
  <c r="AM370" i="5"/>
  <c r="AL394" i="5"/>
  <c r="AN394" i="5"/>
  <c r="AM394" i="5"/>
  <c r="AV353" i="5"/>
  <c r="AQ333" i="5"/>
  <c r="AR333" i="5"/>
  <c r="AP333" i="5"/>
  <c r="AM172" i="5"/>
  <c r="AL172" i="5"/>
  <c r="AM269" i="5"/>
  <c r="AN269" i="5"/>
  <c r="AL269" i="5"/>
  <c r="AM47" i="5"/>
  <c r="AN47" i="5"/>
  <c r="AN332" i="5"/>
  <c r="AL365" i="5"/>
  <c r="AV328" i="5"/>
  <c r="AW260" i="5"/>
  <c r="AX260" i="5" s="1"/>
  <c r="AX138" i="5"/>
  <c r="AN10" i="5"/>
  <c r="AL10" i="5"/>
  <c r="AM321" i="5"/>
  <c r="AN321" i="5"/>
  <c r="AL321" i="5"/>
  <c r="AN435" i="5"/>
  <c r="AM435" i="5"/>
  <c r="AL435" i="5"/>
  <c r="AQ185" i="5"/>
  <c r="AR185" i="5"/>
  <c r="AP185" i="5"/>
  <c r="AR264" i="5"/>
  <c r="AQ264" i="5"/>
  <c r="AQ269" i="5"/>
  <c r="AR269" i="5"/>
  <c r="AM110" i="5"/>
  <c r="AN110" i="5"/>
  <c r="AV429" i="5"/>
  <c r="BB429" i="5" s="1"/>
  <c r="AV332" i="5"/>
  <c r="AW332" i="5" s="1"/>
  <c r="AM365" i="5"/>
  <c r="AV237" i="5"/>
  <c r="AW237" i="5" s="1"/>
  <c r="AM138" i="5"/>
  <c r="AN54" i="5"/>
  <c r="AM221" i="5"/>
  <c r="AN221" i="5"/>
  <c r="AL221" i="5"/>
  <c r="AL434" i="5"/>
  <c r="AN434" i="5"/>
  <c r="AM434" i="5"/>
  <c r="AL386" i="5"/>
  <c r="AN386" i="5"/>
  <c r="AM386" i="5"/>
  <c r="AV185" i="5"/>
  <c r="AV434" i="5"/>
  <c r="AQ165" i="5"/>
  <c r="AR165" i="5"/>
  <c r="AP165" i="5"/>
  <c r="AQ393" i="5"/>
  <c r="AQ328" i="5"/>
  <c r="AV181" i="5"/>
  <c r="AP262" i="5"/>
  <c r="AR262" i="5"/>
  <c r="AM213" i="5"/>
  <c r="AN213" i="5"/>
  <c r="AL213" i="5"/>
  <c r="AM181" i="5"/>
  <c r="AN181" i="5"/>
  <c r="AL181" i="5"/>
  <c r="AR164" i="5"/>
  <c r="AP164" i="5"/>
  <c r="AQ193" i="5"/>
  <c r="AR193" i="5"/>
  <c r="AP193" i="5"/>
  <c r="AW133" i="5"/>
  <c r="AW357" i="5"/>
  <c r="AY357" i="5" s="1"/>
  <c r="BB357" i="5"/>
  <c r="BD357" i="5" s="1"/>
  <c r="AY85" i="5"/>
  <c r="BA85" i="5" s="1"/>
  <c r="AZ85" i="5" s="1"/>
  <c r="AX85" i="5"/>
  <c r="BB296" i="5"/>
  <c r="AW228" i="5"/>
  <c r="AY228" i="5" s="1"/>
  <c r="AW264" i="5"/>
  <c r="AY264" i="5" s="1"/>
  <c r="BB69" i="5"/>
  <c r="BD69" i="5" s="1"/>
  <c r="BB114" i="5"/>
  <c r="BB394" i="5"/>
  <c r="BC394" i="5" s="1"/>
  <c r="AW433" i="5"/>
  <c r="AY433" i="5" s="1"/>
  <c r="AW381" i="5"/>
  <c r="AX77" i="5"/>
  <c r="BB288" i="5"/>
  <c r="BD288" i="5" s="1"/>
  <c r="BB252" i="5"/>
  <c r="BD252" i="5" s="1"/>
  <c r="BD126" i="5"/>
  <c r="BB166" i="5"/>
  <c r="BB27" i="5"/>
  <c r="BB85" i="5"/>
  <c r="BB388" i="5"/>
  <c r="AW388" i="5"/>
  <c r="AW192" i="5"/>
  <c r="BB192" i="5"/>
  <c r="BB144" i="5"/>
  <c r="AW144" i="5"/>
  <c r="BB128" i="5"/>
  <c r="AW128" i="5"/>
  <c r="BB13" i="5"/>
  <c r="AW13" i="5"/>
  <c r="AW398" i="5"/>
  <c r="BB398" i="5"/>
  <c r="BB331" i="5"/>
  <c r="AW331" i="5"/>
  <c r="BB267" i="5"/>
  <c r="AW267" i="5"/>
  <c r="BB104" i="5"/>
  <c r="AW104" i="5"/>
  <c r="AY82" i="5"/>
  <c r="AX82" i="5"/>
  <c r="BB389" i="5"/>
  <c r="AW389" i="5"/>
  <c r="AY162" i="5"/>
  <c r="AY90" i="5"/>
  <c r="AX90" i="5"/>
  <c r="BB96" i="5"/>
  <c r="AW96" i="5"/>
  <c r="BB152" i="5"/>
  <c r="AW152" i="5"/>
  <c r="BB7" i="5"/>
  <c r="AW7" i="5"/>
  <c r="AW397" i="5"/>
  <c r="BB371" i="5"/>
  <c r="AW371" i="5"/>
  <c r="AX166" i="5"/>
  <c r="AY166" i="5"/>
  <c r="BB339" i="5"/>
  <c r="AW339" i="5"/>
  <c r="BB275" i="5"/>
  <c r="AW275" i="5"/>
  <c r="AW72" i="5"/>
  <c r="BB64" i="5"/>
  <c r="AW64" i="5"/>
  <c r="BB396" i="5"/>
  <c r="AW396" i="5"/>
  <c r="BB323" i="5"/>
  <c r="AW323" i="5"/>
  <c r="BD379" i="5"/>
  <c r="BC379" i="5"/>
  <c r="AV311" i="5"/>
  <c r="AN311" i="5"/>
  <c r="AM311" i="5"/>
  <c r="AL311" i="5"/>
  <c r="AV310" i="5"/>
  <c r="AN310" i="5"/>
  <c r="AM310" i="5"/>
  <c r="AL310" i="5"/>
  <c r="AL79" i="5"/>
  <c r="AN79" i="5"/>
  <c r="AM79" i="5"/>
  <c r="AV79" i="5"/>
  <c r="AM179" i="5"/>
  <c r="AL179" i="5"/>
  <c r="AV179" i="5"/>
  <c r="AN179" i="5"/>
  <c r="BD200" i="5"/>
  <c r="BC200" i="5"/>
  <c r="AR198" i="5"/>
  <c r="AP198" i="5"/>
  <c r="AQ198" i="5"/>
  <c r="AV198" i="5"/>
  <c r="AM251" i="5"/>
  <c r="AL251" i="5"/>
  <c r="AN251" i="5"/>
  <c r="AV251" i="5"/>
  <c r="BB117" i="5"/>
  <c r="AW117" i="5"/>
  <c r="AP83" i="5"/>
  <c r="AR83" i="5"/>
  <c r="AQ83" i="5"/>
  <c r="AV91" i="5"/>
  <c r="AN91" i="5"/>
  <c r="AM91" i="5"/>
  <c r="AL91" i="5"/>
  <c r="AP115" i="5"/>
  <c r="AR115" i="5"/>
  <c r="AQ115" i="5"/>
  <c r="AP44" i="5"/>
  <c r="AQ44" i="5"/>
  <c r="AR44" i="5"/>
  <c r="AR25" i="5"/>
  <c r="AP25" i="5"/>
  <c r="AQ25" i="5"/>
  <c r="BD260" i="5"/>
  <c r="BC260" i="5"/>
  <c r="AP28" i="5"/>
  <c r="AR28" i="5"/>
  <c r="AQ28" i="5"/>
  <c r="AQ413" i="5"/>
  <c r="AP413" i="5"/>
  <c r="AR413" i="5"/>
  <c r="AR380" i="5"/>
  <c r="AQ380" i="5"/>
  <c r="AP380" i="5"/>
  <c r="AR395" i="5"/>
  <c r="AQ395" i="5"/>
  <c r="AP395" i="5"/>
  <c r="AV395" i="5"/>
  <c r="AR359" i="5"/>
  <c r="AQ359" i="5"/>
  <c r="AP359" i="5"/>
  <c r="AP414" i="5"/>
  <c r="AR414" i="5"/>
  <c r="AQ414" i="5"/>
  <c r="AP382" i="5"/>
  <c r="AR382" i="5"/>
  <c r="AQ382" i="5"/>
  <c r="AL362" i="5"/>
  <c r="AV362" i="5"/>
  <c r="AN362" i="5"/>
  <c r="AM362" i="5"/>
  <c r="AL298" i="5"/>
  <c r="AV298" i="5"/>
  <c r="AN298" i="5"/>
  <c r="AM298" i="5"/>
  <c r="BD442" i="5"/>
  <c r="BC442" i="5"/>
  <c r="AR363" i="5"/>
  <c r="AQ363" i="5"/>
  <c r="AP363" i="5"/>
  <c r="BD364" i="5"/>
  <c r="BC364" i="5"/>
  <c r="AR355" i="5"/>
  <c r="AQ355" i="5"/>
  <c r="AP355" i="5"/>
  <c r="AP374" i="5"/>
  <c r="AR374" i="5"/>
  <c r="AQ374" i="5"/>
  <c r="AR346" i="5"/>
  <c r="AQ346" i="5"/>
  <c r="AP346" i="5"/>
  <c r="AR314" i="5"/>
  <c r="AQ314" i="5"/>
  <c r="AP314" i="5"/>
  <c r="AR282" i="5"/>
  <c r="AQ282" i="5"/>
  <c r="AP282" i="5"/>
  <c r="AV383" i="5"/>
  <c r="AN383" i="5"/>
  <c r="AM383" i="5"/>
  <c r="AL383" i="5"/>
  <c r="AY280" i="5"/>
  <c r="AX280" i="5"/>
  <c r="AQ207" i="5"/>
  <c r="AP207" i="5"/>
  <c r="AR207" i="5"/>
  <c r="BE289" i="5"/>
  <c r="BF289" i="5" s="1"/>
  <c r="AV250" i="5"/>
  <c r="AN250" i="5"/>
  <c r="AM250" i="5"/>
  <c r="AL250" i="5"/>
  <c r="AV202" i="5"/>
  <c r="AN202" i="5"/>
  <c r="AL202" i="5"/>
  <c r="AM202" i="5"/>
  <c r="AW356" i="5"/>
  <c r="BB356" i="5"/>
  <c r="BC441" i="5"/>
  <c r="BD441" i="5"/>
  <c r="AV302" i="5"/>
  <c r="AN302" i="5"/>
  <c r="AM302" i="5"/>
  <c r="AL302" i="5"/>
  <c r="BB265" i="5"/>
  <c r="AW265" i="5"/>
  <c r="AV255" i="5"/>
  <c r="AN255" i="5"/>
  <c r="AL255" i="5"/>
  <c r="AM255" i="5"/>
  <c r="AV240" i="5"/>
  <c r="AN240" i="5"/>
  <c r="AM240" i="5"/>
  <c r="AL240" i="5"/>
  <c r="BB221" i="5"/>
  <c r="AW221" i="5"/>
  <c r="AL182" i="5"/>
  <c r="AV182" i="5"/>
  <c r="AN182" i="5"/>
  <c r="AM182" i="5"/>
  <c r="AW277" i="5"/>
  <c r="BB277" i="5"/>
  <c r="BB220" i="5"/>
  <c r="AW220" i="5"/>
  <c r="AL127" i="5"/>
  <c r="AV127" i="5"/>
  <c r="AN127" i="5"/>
  <c r="AM127" i="5"/>
  <c r="AW249" i="5"/>
  <c r="BB249" i="5"/>
  <c r="AV175" i="5"/>
  <c r="AN175" i="5"/>
  <c r="AL175" i="5"/>
  <c r="AM175" i="5"/>
  <c r="AQ90" i="5"/>
  <c r="AP90" i="5"/>
  <c r="AR90" i="5"/>
  <c r="AQ74" i="5"/>
  <c r="AP74" i="5"/>
  <c r="AR74" i="5"/>
  <c r="BB321" i="5"/>
  <c r="AW321" i="5"/>
  <c r="AW136" i="5"/>
  <c r="AV124" i="5"/>
  <c r="AN124" i="5"/>
  <c r="AM124" i="5"/>
  <c r="AL124" i="5"/>
  <c r="AR112" i="5"/>
  <c r="AQ112" i="5"/>
  <c r="AP112" i="5"/>
  <c r="AP163" i="5"/>
  <c r="AR163" i="5"/>
  <c r="AQ163" i="5"/>
  <c r="AR103" i="5"/>
  <c r="AQ103" i="5"/>
  <c r="AP103" i="5"/>
  <c r="AR87" i="5"/>
  <c r="AQ87" i="5"/>
  <c r="AP87" i="5"/>
  <c r="AM211" i="5"/>
  <c r="AL211" i="5"/>
  <c r="AN211" i="5"/>
  <c r="AV211" i="5"/>
  <c r="BC201" i="5"/>
  <c r="BD201" i="5"/>
  <c r="AV112" i="5"/>
  <c r="AM66" i="5"/>
  <c r="AL66" i="5"/>
  <c r="AV66" i="5"/>
  <c r="AN66" i="5"/>
  <c r="AW80" i="5"/>
  <c r="BB184" i="5"/>
  <c r="AW88" i="5"/>
  <c r="AP131" i="5"/>
  <c r="AR131" i="5"/>
  <c r="AQ131" i="5"/>
  <c r="AQ24" i="5"/>
  <c r="AP24" i="5"/>
  <c r="AR24" i="5"/>
  <c r="AV76" i="5"/>
  <c r="AN76" i="5"/>
  <c r="AM76" i="5"/>
  <c r="AL76" i="5"/>
  <c r="AY46" i="5"/>
  <c r="AX46" i="5"/>
  <c r="AP5" i="5"/>
  <c r="AQ5" i="5"/>
  <c r="AR5" i="5"/>
  <c r="AR37" i="5"/>
  <c r="AQ37" i="5"/>
  <c r="AP37" i="5"/>
  <c r="BA23" i="5"/>
  <c r="AZ23" i="5" s="1"/>
  <c r="AR428" i="5"/>
  <c r="AQ428" i="5"/>
  <c r="AP428" i="5"/>
  <c r="AL322" i="5"/>
  <c r="AV322" i="5"/>
  <c r="AN322" i="5"/>
  <c r="AM322" i="5"/>
  <c r="AP445" i="5"/>
  <c r="AR445" i="5"/>
  <c r="AQ445" i="5"/>
  <c r="AR9" i="5"/>
  <c r="AQ9" i="5"/>
  <c r="AP9" i="5"/>
  <c r="AR446" i="5"/>
  <c r="AQ446" i="5"/>
  <c r="AP446" i="5"/>
  <c r="AQ405" i="5"/>
  <c r="AP405" i="5"/>
  <c r="AR405" i="5"/>
  <c r="AR436" i="5"/>
  <c r="AQ436" i="5"/>
  <c r="AP436" i="5"/>
  <c r="AR372" i="5"/>
  <c r="AQ372" i="5"/>
  <c r="AP372" i="5"/>
  <c r="AR415" i="5"/>
  <c r="AQ415" i="5"/>
  <c r="AP415" i="5"/>
  <c r="AV400" i="5"/>
  <c r="AN400" i="5"/>
  <c r="AM400" i="5"/>
  <c r="AL400" i="5"/>
  <c r="AV392" i="5"/>
  <c r="AN392" i="5"/>
  <c r="AM392" i="5"/>
  <c r="AL392" i="5"/>
  <c r="AL338" i="5"/>
  <c r="AV338" i="5"/>
  <c r="AN338" i="5"/>
  <c r="AM338" i="5"/>
  <c r="AL274" i="5"/>
  <c r="AV274" i="5"/>
  <c r="AN274" i="5"/>
  <c r="AM274" i="5"/>
  <c r="AV438" i="5"/>
  <c r="AN438" i="5"/>
  <c r="AM438" i="5"/>
  <c r="AL438" i="5"/>
  <c r="AY386" i="5"/>
  <c r="AX386" i="5"/>
  <c r="AP375" i="5"/>
  <c r="AR375" i="5"/>
  <c r="AQ375" i="5"/>
  <c r="AV391" i="5"/>
  <c r="AN391" i="5"/>
  <c r="AM391" i="5"/>
  <c r="AL391" i="5"/>
  <c r="AR323" i="5"/>
  <c r="AQ323" i="5"/>
  <c r="AP323" i="5"/>
  <c r="AR283" i="5"/>
  <c r="AQ283" i="5"/>
  <c r="AP283" i="5"/>
  <c r="AR362" i="5"/>
  <c r="AQ362" i="5"/>
  <c r="AP362" i="5"/>
  <c r="AR367" i="5"/>
  <c r="AQ367" i="5"/>
  <c r="AP367" i="5"/>
  <c r="BD418" i="5"/>
  <c r="BC418" i="5"/>
  <c r="BD272" i="5"/>
  <c r="BC272" i="5"/>
  <c r="AY361" i="5"/>
  <c r="AX361" i="5"/>
  <c r="AQ255" i="5"/>
  <c r="AP255" i="5"/>
  <c r="AR255" i="5"/>
  <c r="AQ199" i="5"/>
  <c r="AR199" i="5"/>
  <c r="AP199" i="5"/>
  <c r="AR343" i="5"/>
  <c r="AQ343" i="5"/>
  <c r="AP343" i="5"/>
  <c r="AR327" i="5"/>
  <c r="AQ327" i="5"/>
  <c r="AP327" i="5"/>
  <c r="AR311" i="5"/>
  <c r="AQ311" i="5"/>
  <c r="AP311" i="5"/>
  <c r="AR246" i="5"/>
  <c r="AQ246" i="5"/>
  <c r="AP246" i="5"/>
  <c r="AV226" i="5"/>
  <c r="AN226" i="5"/>
  <c r="AM226" i="5"/>
  <c r="AL226" i="5"/>
  <c r="AV390" i="5"/>
  <c r="AN390" i="5"/>
  <c r="AM390" i="5"/>
  <c r="AL390" i="5"/>
  <c r="AP358" i="5"/>
  <c r="AR358" i="5"/>
  <c r="AQ358" i="5"/>
  <c r="AV350" i="5"/>
  <c r="AN350" i="5"/>
  <c r="AM350" i="5"/>
  <c r="AL350" i="5"/>
  <c r="AP342" i="5"/>
  <c r="AR342" i="5"/>
  <c r="AQ342" i="5"/>
  <c r="AV318" i="5"/>
  <c r="AN318" i="5"/>
  <c r="AM318" i="5"/>
  <c r="AL318" i="5"/>
  <c r="AP310" i="5"/>
  <c r="AR310" i="5"/>
  <c r="AQ310" i="5"/>
  <c r="AV287" i="5"/>
  <c r="AN287" i="5"/>
  <c r="AM287" i="5"/>
  <c r="AL287" i="5"/>
  <c r="AV271" i="5"/>
  <c r="AN271" i="5"/>
  <c r="AM271" i="5"/>
  <c r="AL271" i="5"/>
  <c r="AN259" i="5"/>
  <c r="AV259" i="5"/>
  <c r="AM259" i="5"/>
  <c r="AL259" i="5"/>
  <c r="AY344" i="5"/>
  <c r="AX344" i="5"/>
  <c r="AV294" i="5"/>
  <c r="AN294" i="5"/>
  <c r="AM294" i="5"/>
  <c r="AL294" i="5"/>
  <c r="AP286" i="5"/>
  <c r="AR286" i="5"/>
  <c r="AQ286" i="5"/>
  <c r="AV207" i="5"/>
  <c r="AN207" i="5"/>
  <c r="AL207" i="5"/>
  <c r="AM207" i="5"/>
  <c r="AR243" i="5"/>
  <c r="AP243" i="5"/>
  <c r="AQ243" i="5"/>
  <c r="AP240" i="5"/>
  <c r="AR240" i="5"/>
  <c r="AQ240" i="5"/>
  <c r="AR171" i="5"/>
  <c r="AQ171" i="5"/>
  <c r="AP171" i="5"/>
  <c r="AR148" i="5"/>
  <c r="AQ148" i="5"/>
  <c r="AP148" i="5"/>
  <c r="AR116" i="5"/>
  <c r="AQ116" i="5"/>
  <c r="AP116" i="5"/>
  <c r="BB337" i="5"/>
  <c r="AW337" i="5"/>
  <c r="AL170" i="5"/>
  <c r="AV170" i="5"/>
  <c r="AN170" i="5"/>
  <c r="AM170" i="5"/>
  <c r="AL111" i="5"/>
  <c r="AN111" i="5"/>
  <c r="AM111" i="5"/>
  <c r="AV111" i="5"/>
  <c r="AL95" i="5"/>
  <c r="AV95" i="5"/>
  <c r="AM95" i="5"/>
  <c r="AN95" i="5"/>
  <c r="BB253" i="5"/>
  <c r="AW253" i="5"/>
  <c r="AV232" i="5"/>
  <c r="AN232" i="5"/>
  <c r="AM232" i="5"/>
  <c r="AL232" i="5"/>
  <c r="AR175" i="5"/>
  <c r="AQ175" i="5"/>
  <c r="AP175" i="5"/>
  <c r="AM158" i="5"/>
  <c r="AL158" i="5"/>
  <c r="AV158" i="5"/>
  <c r="AN158" i="5"/>
  <c r="AM70" i="5"/>
  <c r="AL70" i="5"/>
  <c r="AV70" i="5"/>
  <c r="AN70" i="5"/>
  <c r="AM219" i="5"/>
  <c r="AL219" i="5"/>
  <c r="AN219" i="5"/>
  <c r="AV219" i="5"/>
  <c r="AR203" i="5"/>
  <c r="AP203" i="5"/>
  <c r="AQ203" i="5"/>
  <c r="AV148" i="5"/>
  <c r="AN148" i="5"/>
  <c r="AM148" i="5"/>
  <c r="AL148" i="5"/>
  <c r="AR136" i="5"/>
  <c r="AQ136" i="5"/>
  <c r="AP136" i="5"/>
  <c r="BB236" i="5"/>
  <c r="AW236" i="5"/>
  <c r="BB82" i="5"/>
  <c r="AY201" i="5"/>
  <c r="AX201" i="5"/>
  <c r="AY110" i="5"/>
  <c r="AX110" i="5"/>
  <c r="BD228" i="5"/>
  <c r="BC228" i="5"/>
  <c r="AV84" i="5"/>
  <c r="AN84" i="5"/>
  <c r="AM84" i="5"/>
  <c r="AL84" i="5"/>
  <c r="AP75" i="5"/>
  <c r="AQ75" i="5"/>
  <c r="AR75" i="5"/>
  <c r="AL48" i="5"/>
  <c r="AM48" i="5"/>
  <c r="AN48" i="5"/>
  <c r="AV48" i="5"/>
  <c r="AL32" i="5"/>
  <c r="AV32" i="5"/>
  <c r="AN32" i="5"/>
  <c r="AM32" i="5"/>
  <c r="BB160" i="5"/>
  <c r="AW160" i="5"/>
  <c r="AR92" i="5"/>
  <c r="AQ92" i="5"/>
  <c r="AP92" i="5"/>
  <c r="AV147" i="5"/>
  <c r="AN147" i="5"/>
  <c r="AM147" i="5"/>
  <c r="AL147" i="5"/>
  <c r="BA134" i="5"/>
  <c r="AZ134" i="5" s="1"/>
  <c r="AV100" i="5"/>
  <c r="AN100" i="5"/>
  <c r="AM100" i="5"/>
  <c r="AL100" i="5"/>
  <c r="AP91" i="5"/>
  <c r="AR91" i="5"/>
  <c r="AQ91" i="5"/>
  <c r="AR48" i="5"/>
  <c r="AQ48" i="5"/>
  <c r="AP48" i="5"/>
  <c r="AW89" i="5"/>
  <c r="BB89" i="5"/>
  <c r="AV53" i="5"/>
  <c r="AN53" i="5"/>
  <c r="AM53" i="5"/>
  <c r="AL53" i="5"/>
  <c r="BB35" i="5"/>
  <c r="AV74" i="5"/>
  <c r="AR59" i="5"/>
  <c r="AQ59" i="5"/>
  <c r="AP59" i="5"/>
  <c r="BD46" i="5"/>
  <c r="BC46" i="5"/>
  <c r="AV45" i="5"/>
  <c r="AN45" i="5"/>
  <c r="AM45" i="5"/>
  <c r="AL45" i="5"/>
  <c r="AV25" i="5"/>
  <c r="AN25" i="5"/>
  <c r="AL25" i="5"/>
  <c r="AM25" i="5"/>
  <c r="AR21" i="5"/>
  <c r="AQ21" i="5"/>
  <c r="AP21" i="5"/>
  <c r="AV5" i="5"/>
  <c r="AN5" i="5"/>
  <c r="AM5" i="5"/>
  <c r="AL5" i="5"/>
  <c r="AY27" i="5"/>
  <c r="AX27" i="5"/>
  <c r="AY51" i="5"/>
  <c r="AX51" i="5"/>
  <c r="AR412" i="5"/>
  <c r="AQ412" i="5"/>
  <c r="AP412" i="5"/>
  <c r="AR291" i="5"/>
  <c r="AQ291" i="5"/>
  <c r="AP291" i="5"/>
  <c r="AV367" i="5"/>
  <c r="AN367" i="5"/>
  <c r="AM367" i="5"/>
  <c r="AL367" i="5"/>
  <c r="BC288" i="5"/>
  <c r="AV327" i="5"/>
  <c r="AN327" i="5"/>
  <c r="AM327" i="5"/>
  <c r="AL327" i="5"/>
  <c r="AP259" i="5"/>
  <c r="AR259" i="5"/>
  <c r="AQ259" i="5"/>
  <c r="AP278" i="5"/>
  <c r="AR278" i="5"/>
  <c r="AQ278" i="5"/>
  <c r="AR156" i="5"/>
  <c r="AQ156" i="5"/>
  <c r="AP156" i="5"/>
  <c r="AL143" i="5"/>
  <c r="AV143" i="5"/>
  <c r="AN143" i="5"/>
  <c r="AM143" i="5"/>
  <c r="BB169" i="5"/>
  <c r="AW169" i="5"/>
  <c r="BC433" i="5"/>
  <c r="BD433" i="5"/>
  <c r="BB172" i="5"/>
  <c r="AW172" i="5"/>
  <c r="AW293" i="5"/>
  <c r="BB293" i="5"/>
  <c r="BD136" i="5"/>
  <c r="BC136" i="5"/>
  <c r="AR439" i="5"/>
  <c r="AQ439" i="5"/>
  <c r="AP439" i="5"/>
  <c r="AQ397" i="5"/>
  <c r="AP397" i="5"/>
  <c r="AR397" i="5"/>
  <c r="AV424" i="5"/>
  <c r="AN424" i="5"/>
  <c r="AM424" i="5"/>
  <c r="AL424" i="5"/>
  <c r="AV408" i="5"/>
  <c r="AN408" i="5"/>
  <c r="AM408" i="5"/>
  <c r="AL408" i="5"/>
  <c r="AV446" i="5"/>
  <c r="AN446" i="5"/>
  <c r="AM446" i="5"/>
  <c r="AL446" i="5"/>
  <c r="AV431" i="5"/>
  <c r="AN431" i="5"/>
  <c r="AM431" i="5"/>
  <c r="AL431" i="5"/>
  <c r="AR387" i="5"/>
  <c r="AQ387" i="5"/>
  <c r="AP387" i="5"/>
  <c r="AV406" i="5"/>
  <c r="AN406" i="5"/>
  <c r="AM406" i="5"/>
  <c r="AL406" i="5"/>
  <c r="AW373" i="5"/>
  <c r="AL314" i="5"/>
  <c r="AV314" i="5"/>
  <c r="AN314" i="5"/>
  <c r="AM314" i="5"/>
  <c r="AV412" i="5"/>
  <c r="BB386" i="5"/>
  <c r="AQ301" i="5"/>
  <c r="AP301" i="5"/>
  <c r="AR301" i="5"/>
  <c r="AR338" i="5"/>
  <c r="AQ338" i="5"/>
  <c r="AP338" i="5"/>
  <c r="AR306" i="5"/>
  <c r="AQ306" i="5"/>
  <c r="AP306" i="5"/>
  <c r="AR274" i="5"/>
  <c r="AQ274" i="5"/>
  <c r="AP274" i="5"/>
  <c r="AR383" i="5"/>
  <c r="AQ383" i="5"/>
  <c r="AP383" i="5"/>
  <c r="AV436" i="5"/>
  <c r="AV270" i="5"/>
  <c r="AN270" i="5"/>
  <c r="AL270" i="5"/>
  <c r="AM270" i="5"/>
  <c r="BC361" i="5"/>
  <c r="BD361" i="5"/>
  <c r="AW284" i="5"/>
  <c r="BB284" i="5"/>
  <c r="AR266" i="5"/>
  <c r="AP266" i="5"/>
  <c r="AQ266" i="5"/>
  <c r="AQ247" i="5"/>
  <c r="AP247" i="5"/>
  <c r="AR247" i="5"/>
  <c r="AQ191" i="5"/>
  <c r="AP191" i="5"/>
  <c r="AR191" i="5"/>
  <c r="AV382" i="5"/>
  <c r="AR222" i="5"/>
  <c r="AQ222" i="5"/>
  <c r="AP222" i="5"/>
  <c r="AV194" i="5"/>
  <c r="AN194" i="5"/>
  <c r="AL194" i="5"/>
  <c r="AM194" i="5"/>
  <c r="AW341" i="5"/>
  <c r="BB341" i="5"/>
  <c r="AP302" i="5"/>
  <c r="AR302" i="5"/>
  <c r="AQ302" i="5"/>
  <c r="AY252" i="5"/>
  <c r="AX252" i="5"/>
  <c r="AV231" i="5"/>
  <c r="AN231" i="5"/>
  <c r="AL231" i="5"/>
  <c r="AM231" i="5"/>
  <c r="AV199" i="5"/>
  <c r="AN199" i="5"/>
  <c r="AL199" i="5"/>
  <c r="AM199" i="5"/>
  <c r="BB180" i="5"/>
  <c r="AW180" i="5"/>
  <c r="BB188" i="5"/>
  <c r="AW188" i="5"/>
  <c r="BB245" i="5"/>
  <c r="AW245" i="5"/>
  <c r="AR235" i="5"/>
  <c r="AP235" i="5"/>
  <c r="AQ235" i="5"/>
  <c r="AP232" i="5"/>
  <c r="AR232" i="5"/>
  <c r="AQ232" i="5"/>
  <c r="AW165" i="5"/>
  <c r="BB165" i="5"/>
  <c r="AM86" i="5"/>
  <c r="AL86" i="5"/>
  <c r="AN86" i="5"/>
  <c r="AV86" i="5"/>
  <c r="AP192" i="5"/>
  <c r="AR192" i="5"/>
  <c r="AQ192" i="5"/>
  <c r="AR104" i="5"/>
  <c r="AQ104" i="5"/>
  <c r="AP104" i="5"/>
  <c r="AN163" i="5"/>
  <c r="AV163" i="5"/>
  <c r="AM163" i="5"/>
  <c r="AL163" i="5"/>
  <c r="AR151" i="5"/>
  <c r="AQ151" i="5"/>
  <c r="AP151" i="5"/>
  <c r="AR135" i="5"/>
  <c r="AQ135" i="5"/>
  <c r="AP135" i="5"/>
  <c r="AR119" i="5"/>
  <c r="AQ119" i="5"/>
  <c r="AP119" i="5"/>
  <c r="AV256" i="5"/>
  <c r="AN256" i="5"/>
  <c r="AM256" i="5"/>
  <c r="AL256" i="5"/>
  <c r="AW233" i="5"/>
  <c r="BB233" i="5"/>
  <c r="AR195" i="5"/>
  <c r="AP195" i="5"/>
  <c r="AQ195" i="5"/>
  <c r="AV186" i="5"/>
  <c r="AN186" i="5"/>
  <c r="AL186" i="5"/>
  <c r="AM186" i="5"/>
  <c r="AV155" i="5"/>
  <c r="AN155" i="5"/>
  <c r="AM155" i="5"/>
  <c r="AL155" i="5"/>
  <c r="AV139" i="5"/>
  <c r="AN139" i="5"/>
  <c r="AM139" i="5"/>
  <c r="AL139" i="5"/>
  <c r="AW57" i="5"/>
  <c r="BB57" i="5"/>
  <c r="AV246" i="5"/>
  <c r="AV123" i="5"/>
  <c r="AN123" i="5"/>
  <c r="AM123" i="5"/>
  <c r="AL123" i="5"/>
  <c r="BD88" i="5"/>
  <c r="BC88" i="5"/>
  <c r="AM190" i="5"/>
  <c r="AL190" i="5"/>
  <c r="AV190" i="5"/>
  <c r="AN190" i="5"/>
  <c r="BE122" i="5"/>
  <c r="BF122" i="5" s="1"/>
  <c r="BD77" i="5"/>
  <c r="BC77" i="5"/>
  <c r="AQ16" i="5"/>
  <c r="AP16" i="5"/>
  <c r="AR16" i="5"/>
  <c r="AW137" i="5"/>
  <c r="BB137" i="5"/>
  <c r="AR76" i="5"/>
  <c r="AQ76" i="5"/>
  <c r="AP76" i="5"/>
  <c r="AW65" i="5"/>
  <c r="BB65" i="5"/>
  <c r="AV9" i="5"/>
  <c r="AW193" i="5"/>
  <c r="BB193" i="5"/>
  <c r="AR33" i="5"/>
  <c r="AP33" i="5"/>
  <c r="AQ33" i="5"/>
  <c r="AQ4" i="5"/>
  <c r="AP4" i="5"/>
  <c r="AR4" i="5"/>
  <c r="AQ8" i="5"/>
  <c r="AP8" i="5"/>
  <c r="AR8" i="5"/>
  <c r="BD49" i="5"/>
  <c r="BC49" i="5"/>
  <c r="AV29" i="5"/>
  <c r="AN29" i="5"/>
  <c r="AL29" i="5"/>
  <c r="AM29" i="5"/>
  <c r="BB164" i="5"/>
  <c r="AW164" i="5"/>
  <c r="AQ421" i="5"/>
  <c r="AP421" i="5"/>
  <c r="AR421" i="5"/>
  <c r="AV375" i="5"/>
  <c r="AN375" i="5"/>
  <c r="AM375" i="5"/>
  <c r="AL375" i="5"/>
  <c r="AX355" i="5"/>
  <c r="AR399" i="5"/>
  <c r="AQ399" i="5"/>
  <c r="AP399" i="5"/>
  <c r="AY297" i="5"/>
  <c r="AX297" i="5"/>
  <c r="AV358" i="5"/>
  <c r="AN358" i="5"/>
  <c r="AM358" i="5"/>
  <c r="AL358" i="5"/>
  <c r="AV239" i="5"/>
  <c r="AN239" i="5"/>
  <c r="AL239" i="5"/>
  <c r="AM239" i="5"/>
  <c r="AM187" i="5"/>
  <c r="AV187" i="5"/>
  <c r="AN187" i="5"/>
  <c r="AL187" i="5"/>
  <c r="AX184" i="5"/>
  <c r="AY184" i="5"/>
  <c r="AR152" i="5"/>
  <c r="AQ152" i="5"/>
  <c r="AP152" i="5"/>
  <c r="AW145" i="5"/>
  <c r="BB145" i="5"/>
  <c r="AV92" i="5"/>
  <c r="AN92" i="5"/>
  <c r="AM92" i="5"/>
  <c r="AL92" i="5"/>
  <c r="AP58" i="5"/>
  <c r="AQ58" i="5"/>
  <c r="AR58" i="5"/>
  <c r="AW113" i="5"/>
  <c r="BB113" i="5"/>
  <c r="AP67" i="5"/>
  <c r="AR67" i="5"/>
  <c r="AQ67" i="5"/>
  <c r="AV59" i="5"/>
  <c r="AN59" i="5"/>
  <c r="AL59" i="5"/>
  <c r="AM59" i="5"/>
  <c r="AV41" i="5"/>
  <c r="AN41" i="5"/>
  <c r="AL41" i="5"/>
  <c r="AM41" i="5"/>
  <c r="AP36" i="5"/>
  <c r="AR36" i="5"/>
  <c r="AQ36" i="5"/>
  <c r="AP20" i="5"/>
  <c r="AR20" i="5"/>
  <c r="AQ20" i="5"/>
  <c r="AM6" i="5"/>
  <c r="AN6" i="5"/>
  <c r="AV6" i="5"/>
  <c r="AL6" i="5"/>
  <c r="AV21" i="5"/>
  <c r="AN21" i="5"/>
  <c r="AL21" i="5"/>
  <c r="AM21" i="5"/>
  <c r="AR431" i="5"/>
  <c r="AQ431" i="5"/>
  <c r="AP431" i="5"/>
  <c r="AQ389" i="5"/>
  <c r="AP389" i="5"/>
  <c r="AR389" i="5"/>
  <c r="AR443" i="5"/>
  <c r="AQ443" i="5"/>
  <c r="AP443" i="5"/>
  <c r="AR420" i="5"/>
  <c r="AQ420" i="5"/>
  <c r="AP420" i="5"/>
  <c r="AR404" i="5"/>
  <c r="AQ404" i="5"/>
  <c r="AP404" i="5"/>
  <c r="AW379" i="5"/>
  <c r="AV421" i="5"/>
  <c r="BB385" i="5"/>
  <c r="AW385" i="5"/>
  <c r="AV380" i="5"/>
  <c r="BB369" i="5"/>
  <c r="AL354" i="5"/>
  <c r="AV354" i="5"/>
  <c r="AN354" i="5"/>
  <c r="AM354" i="5"/>
  <c r="AL290" i="5"/>
  <c r="AV290" i="5"/>
  <c r="AN290" i="5"/>
  <c r="AM290" i="5"/>
  <c r="AP438" i="5"/>
  <c r="AR438" i="5"/>
  <c r="AQ438" i="5"/>
  <c r="AV422" i="5"/>
  <c r="AN422" i="5"/>
  <c r="AM422" i="5"/>
  <c r="AL422" i="5"/>
  <c r="AY370" i="5"/>
  <c r="AX370" i="5"/>
  <c r="BB401" i="5"/>
  <c r="AW401" i="5"/>
  <c r="AR391" i="5"/>
  <c r="AQ391" i="5"/>
  <c r="AP391" i="5"/>
  <c r="AR347" i="5"/>
  <c r="AQ347" i="5"/>
  <c r="AP347" i="5"/>
  <c r="AR315" i="5"/>
  <c r="AQ315" i="5"/>
  <c r="AP315" i="5"/>
  <c r="AR275" i="5"/>
  <c r="AQ275" i="5"/>
  <c r="AP275" i="5"/>
  <c r="BD381" i="5"/>
  <c r="BC381" i="5"/>
  <c r="AV372" i="5"/>
  <c r="AY409" i="5"/>
  <c r="AX409" i="5"/>
  <c r="AW340" i="5"/>
  <c r="BB340" i="5"/>
  <c r="AW324" i="5"/>
  <c r="BB324" i="5"/>
  <c r="AY360" i="5"/>
  <c r="AX360" i="5"/>
  <c r="BD296" i="5"/>
  <c r="BC296" i="5"/>
  <c r="BB280" i="5"/>
  <c r="AQ239" i="5"/>
  <c r="AP239" i="5"/>
  <c r="AR239" i="5"/>
  <c r="AQ183" i="5"/>
  <c r="AP183" i="5"/>
  <c r="AR183" i="5"/>
  <c r="AV351" i="5"/>
  <c r="AN351" i="5"/>
  <c r="AM351" i="5"/>
  <c r="AL351" i="5"/>
  <c r="AV335" i="5"/>
  <c r="AN335" i="5"/>
  <c r="AM335" i="5"/>
  <c r="AL335" i="5"/>
  <c r="AV319" i="5"/>
  <c r="AN319" i="5"/>
  <c r="AM319" i="5"/>
  <c r="AL319" i="5"/>
  <c r="AV242" i="5"/>
  <c r="AN242" i="5"/>
  <c r="AM242" i="5"/>
  <c r="AL242" i="5"/>
  <c r="AP390" i="5"/>
  <c r="AR390" i="5"/>
  <c r="AQ390" i="5"/>
  <c r="AP350" i="5"/>
  <c r="AR350" i="5"/>
  <c r="AQ350" i="5"/>
  <c r="AV326" i="5"/>
  <c r="AN326" i="5"/>
  <c r="AM326" i="5"/>
  <c r="AL326" i="5"/>
  <c r="AP318" i="5"/>
  <c r="AR318" i="5"/>
  <c r="AQ318" i="5"/>
  <c r="AV301" i="5"/>
  <c r="AV407" i="5"/>
  <c r="AN407" i="5"/>
  <c r="AM407" i="5"/>
  <c r="AL407" i="5"/>
  <c r="AR287" i="5"/>
  <c r="AQ287" i="5"/>
  <c r="AP287" i="5"/>
  <c r="AR271" i="5"/>
  <c r="AQ271" i="5"/>
  <c r="AP271" i="5"/>
  <c r="AV405" i="5"/>
  <c r="AP294" i="5"/>
  <c r="AR294" i="5"/>
  <c r="AQ294" i="5"/>
  <c r="AV263" i="5"/>
  <c r="AN263" i="5"/>
  <c r="AM263" i="5"/>
  <c r="AL263" i="5"/>
  <c r="AV191" i="5"/>
  <c r="AN191" i="5"/>
  <c r="AL191" i="5"/>
  <c r="AM191" i="5"/>
  <c r="AM243" i="5"/>
  <c r="AL243" i="5"/>
  <c r="AV243" i="5"/>
  <c r="AN243" i="5"/>
  <c r="AN171" i="5"/>
  <c r="AM171" i="5"/>
  <c r="AV171" i="5"/>
  <c r="AL171" i="5"/>
  <c r="AR140" i="5"/>
  <c r="AQ140" i="5"/>
  <c r="AP140" i="5"/>
  <c r="AM206" i="5"/>
  <c r="AL206" i="5"/>
  <c r="AN206" i="5"/>
  <c r="AV206" i="5"/>
  <c r="AL151" i="5"/>
  <c r="AV151" i="5"/>
  <c r="AN151" i="5"/>
  <c r="AM151" i="5"/>
  <c r="AL135" i="5"/>
  <c r="AV135" i="5"/>
  <c r="AN135" i="5"/>
  <c r="AM135" i="5"/>
  <c r="AR182" i="5"/>
  <c r="AP182" i="5"/>
  <c r="AQ182" i="5"/>
  <c r="BB212" i="5"/>
  <c r="AW212" i="5"/>
  <c r="AM203" i="5"/>
  <c r="AN203" i="5"/>
  <c r="AL203" i="5"/>
  <c r="AV203" i="5"/>
  <c r="AV132" i="5"/>
  <c r="AN132" i="5"/>
  <c r="AM132" i="5"/>
  <c r="AL132" i="5"/>
  <c r="AR120" i="5"/>
  <c r="AQ120" i="5"/>
  <c r="AP120" i="5"/>
  <c r="AR96" i="5"/>
  <c r="AQ96" i="5"/>
  <c r="AP96" i="5"/>
  <c r="AW300" i="5"/>
  <c r="AW305" i="5"/>
  <c r="AP256" i="5"/>
  <c r="AR256" i="5"/>
  <c r="AQ256" i="5"/>
  <c r="AX106" i="5"/>
  <c r="BB149" i="5"/>
  <c r="AW149" i="5"/>
  <c r="AW121" i="5"/>
  <c r="BB121" i="5"/>
  <c r="AR84" i="5"/>
  <c r="AP84" i="5"/>
  <c r="AQ84" i="5"/>
  <c r="AL56" i="5"/>
  <c r="AM56" i="5"/>
  <c r="AN56" i="5"/>
  <c r="AV56" i="5"/>
  <c r="AV68" i="5"/>
  <c r="AN68" i="5"/>
  <c r="AM68" i="5"/>
  <c r="AL68" i="5"/>
  <c r="AP147" i="5"/>
  <c r="AR147" i="5"/>
  <c r="AQ147" i="5"/>
  <c r="BA130" i="5"/>
  <c r="AZ130" i="5" s="1"/>
  <c r="AY69" i="5"/>
  <c r="AX69" i="5"/>
  <c r="AW49" i="5"/>
  <c r="BA114" i="5"/>
  <c r="AZ114" i="5" s="1"/>
  <c r="AR100" i="5"/>
  <c r="AQ100" i="5"/>
  <c r="AP100" i="5"/>
  <c r="BB125" i="5"/>
  <c r="AW125" i="5"/>
  <c r="AV99" i="5"/>
  <c r="AN99" i="5"/>
  <c r="AM99" i="5"/>
  <c r="AL99" i="5"/>
  <c r="AR63" i="5"/>
  <c r="AP63" i="5"/>
  <c r="AQ63" i="5"/>
  <c r="AR53" i="5"/>
  <c r="AP53" i="5"/>
  <c r="AQ53" i="5"/>
  <c r="AY55" i="5"/>
  <c r="AX55" i="5"/>
  <c r="BB30" i="5"/>
  <c r="AW30" i="5"/>
  <c r="AR45" i="5"/>
  <c r="AP45" i="5"/>
  <c r="AQ45" i="5"/>
  <c r="AM12" i="5"/>
  <c r="AV12" i="5"/>
  <c r="AN12" i="5"/>
  <c r="AL12" i="5"/>
  <c r="BB43" i="5"/>
  <c r="AW34" i="5"/>
  <c r="BB34" i="5"/>
  <c r="AW26" i="5"/>
  <c r="BB26" i="5"/>
  <c r="AW18" i="5"/>
  <c r="BB18" i="5"/>
  <c r="BA77" i="5"/>
  <c r="AZ77" i="5" s="1"/>
  <c r="BD394" i="5"/>
  <c r="AW348" i="5"/>
  <c r="BB348" i="5"/>
  <c r="AV343" i="5"/>
  <c r="AN343" i="5"/>
  <c r="AM343" i="5"/>
  <c r="AL343" i="5"/>
  <c r="AP334" i="5"/>
  <c r="AR334" i="5"/>
  <c r="AQ334" i="5"/>
  <c r="AR295" i="5"/>
  <c r="AQ295" i="5"/>
  <c r="AP295" i="5"/>
  <c r="AP366" i="5"/>
  <c r="AR366" i="5"/>
  <c r="AQ366" i="5"/>
  <c r="AW217" i="5"/>
  <c r="BB217" i="5"/>
  <c r="AM142" i="5"/>
  <c r="AL142" i="5"/>
  <c r="AV142" i="5"/>
  <c r="AN142" i="5"/>
  <c r="AM227" i="5"/>
  <c r="AL227" i="5"/>
  <c r="AN227" i="5"/>
  <c r="AV227" i="5"/>
  <c r="AR64" i="5"/>
  <c r="AQ64" i="5"/>
  <c r="AP64" i="5"/>
  <c r="BA122" i="5"/>
  <c r="AZ122" i="5" s="1"/>
  <c r="AQ444" i="5"/>
  <c r="AP444" i="5"/>
  <c r="AR444" i="5"/>
  <c r="AV432" i="5"/>
  <c r="AN432" i="5"/>
  <c r="AM432" i="5"/>
  <c r="AL432" i="5"/>
  <c r="AR379" i="5"/>
  <c r="AQ379" i="5"/>
  <c r="AP379" i="5"/>
  <c r="AV443" i="5"/>
  <c r="AP406" i="5"/>
  <c r="AR406" i="5"/>
  <c r="AQ406" i="5"/>
  <c r="AP398" i="5"/>
  <c r="AR398" i="5"/>
  <c r="AQ398" i="5"/>
  <c r="AV430" i="5"/>
  <c r="AN430" i="5"/>
  <c r="AM430" i="5"/>
  <c r="AL430" i="5"/>
  <c r="AV423" i="5"/>
  <c r="AN423" i="5"/>
  <c r="AM423" i="5"/>
  <c r="AL423" i="5"/>
  <c r="AL330" i="5"/>
  <c r="AV330" i="5"/>
  <c r="AN330" i="5"/>
  <c r="AM330" i="5"/>
  <c r="BB370" i="5"/>
  <c r="AR307" i="5"/>
  <c r="AQ307" i="5"/>
  <c r="AP307" i="5"/>
  <c r="AV307" i="5"/>
  <c r="AR330" i="5"/>
  <c r="AQ330" i="5"/>
  <c r="AP330" i="5"/>
  <c r="AR298" i="5"/>
  <c r="AQ298" i="5"/>
  <c r="AP298" i="5"/>
  <c r="BC409" i="5"/>
  <c r="BD409" i="5"/>
  <c r="AY352" i="5"/>
  <c r="AX352" i="5"/>
  <c r="AY296" i="5"/>
  <c r="AX296" i="5"/>
  <c r="AP270" i="5"/>
  <c r="AR270" i="5"/>
  <c r="AQ270" i="5"/>
  <c r="BB352" i="5"/>
  <c r="AQ231" i="5"/>
  <c r="AP231" i="5"/>
  <c r="AR231" i="5"/>
  <c r="AR238" i="5"/>
  <c r="AQ238" i="5"/>
  <c r="AP238" i="5"/>
  <c r="AV238" i="5"/>
  <c r="AV218" i="5"/>
  <c r="AN218" i="5"/>
  <c r="AM218" i="5"/>
  <c r="AL218" i="5"/>
  <c r="AV303" i="5"/>
  <c r="AN303" i="5"/>
  <c r="AM303" i="5"/>
  <c r="AL303" i="5"/>
  <c r="AW349" i="5"/>
  <c r="BB349" i="5"/>
  <c r="AW317" i="5"/>
  <c r="BB317" i="5"/>
  <c r="BB365" i="5"/>
  <c r="AW365" i="5"/>
  <c r="AW308" i="5"/>
  <c r="BB308" i="5"/>
  <c r="AV283" i="5"/>
  <c r="AR263" i="5"/>
  <c r="AQ263" i="5"/>
  <c r="AP263" i="5"/>
  <c r="AV247" i="5"/>
  <c r="AN247" i="5"/>
  <c r="AL247" i="5"/>
  <c r="AM247" i="5"/>
  <c r="AV183" i="5"/>
  <c r="AN183" i="5"/>
  <c r="AM183" i="5"/>
  <c r="AL183" i="5"/>
  <c r="BD166" i="5"/>
  <c r="BC166" i="5"/>
  <c r="AP200" i="5"/>
  <c r="AR200" i="5"/>
  <c r="AQ200" i="5"/>
  <c r="AP184" i="5"/>
  <c r="AR184" i="5"/>
  <c r="AQ184" i="5"/>
  <c r="AL87" i="5"/>
  <c r="AV87" i="5"/>
  <c r="AN87" i="5"/>
  <c r="AM87" i="5"/>
  <c r="AM235" i="5"/>
  <c r="AL235" i="5"/>
  <c r="AN235" i="5"/>
  <c r="AV235" i="5"/>
  <c r="AV222" i="5"/>
  <c r="AP174" i="5"/>
  <c r="AR174" i="5"/>
  <c r="AQ174" i="5"/>
  <c r="AM150" i="5"/>
  <c r="AL150" i="5"/>
  <c r="AN150" i="5"/>
  <c r="AV150" i="5"/>
  <c r="AQ98" i="5"/>
  <c r="AP98" i="5"/>
  <c r="AR98" i="5"/>
  <c r="AQ82" i="5"/>
  <c r="AP82" i="5"/>
  <c r="AR82" i="5"/>
  <c r="AP186" i="5"/>
  <c r="AR186" i="5"/>
  <c r="AQ186" i="5"/>
  <c r="AV224" i="5"/>
  <c r="AN224" i="5"/>
  <c r="AM224" i="5"/>
  <c r="AL224" i="5"/>
  <c r="AW200" i="5"/>
  <c r="AV156" i="5"/>
  <c r="AN156" i="5"/>
  <c r="AM156" i="5"/>
  <c r="AL156" i="5"/>
  <c r="AR144" i="5"/>
  <c r="AQ144" i="5"/>
  <c r="AP144" i="5"/>
  <c r="AR88" i="5"/>
  <c r="AQ88" i="5"/>
  <c r="AP88" i="5"/>
  <c r="AW205" i="5"/>
  <c r="BB205" i="5"/>
  <c r="AN167" i="5"/>
  <c r="AV167" i="5"/>
  <c r="AM167" i="5"/>
  <c r="AL167" i="5"/>
  <c r="AN159" i="5"/>
  <c r="AV159" i="5"/>
  <c r="AM159" i="5"/>
  <c r="AL159" i="5"/>
  <c r="AR95" i="5"/>
  <c r="AQ95" i="5"/>
  <c r="AP95" i="5"/>
  <c r="AR79" i="5"/>
  <c r="AQ79" i="5"/>
  <c r="AP79" i="5"/>
  <c r="AV248" i="5"/>
  <c r="AN248" i="5"/>
  <c r="AM248" i="5"/>
  <c r="AL248" i="5"/>
  <c r="BB229" i="5"/>
  <c r="AW229" i="5"/>
  <c r="AM195" i="5"/>
  <c r="AN195" i="5"/>
  <c r="AL195" i="5"/>
  <c r="AV195" i="5"/>
  <c r="AP155" i="5"/>
  <c r="AR155" i="5"/>
  <c r="AQ155" i="5"/>
  <c r="AP139" i="5"/>
  <c r="AR139" i="5"/>
  <c r="AQ139" i="5"/>
  <c r="AV107" i="5"/>
  <c r="AN107" i="5"/>
  <c r="AM107" i="5"/>
  <c r="AL107" i="5"/>
  <c r="BB101" i="5"/>
  <c r="AW101" i="5"/>
  <c r="AW97" i="5"/>
  <c r="BB97" i="5"/>
  <c r="AL24" i="5"/>
  <c r="AV24" i="5"/>
  <c r="AN24" i="5"/>
  <c r="AM24" i="5"/>
  <c r="AP123" i="5"/>
  <c r="AR123" i="5"/>
  <c r="AQ123" i="5"/>
  <c r="AQ66" i="5"/>
  <c r="AP66" i="5"/>
  <c r="AR66" i="5"/>
  <c r="AR190" i="5"/>
  <c r="AP190" i="5"/>
  <c r="AQ190" i="5"/>
  <c r="BB176" i="5"/>
  <c r="AW176" i="5"/>
  <c r="AR68" i="5"/>
  <c r="AP68" i="5"/>
  <c r="AQ68" i="5"/>
  <c r="BB197" i="5"/>
  <c r="AW197" i="5"/>
  <c r="AR71" i="5"/>
  <c r="AP71" i="5"/>
  <c r="AQ71" i="5"/>
  <c r="AR49" i="5"/>
  <c r="AQ49" i="5"/>
  <c r="AP49" i="5"/>
  <c r="BB141" i="5"/>
  <c r="AW141" i="5"/>
  <c r="AR56" i="5"/>
  <c r="AQ56" i="5"/>
  <c r="AP56" i="5"/>
  <c r="AQ40" i="5"/>
  <c r="AP40" i="5"/>
  <c r="AR40" i="5"/>
  <c r="AW153" i="5"/>
  <c r="BB153" i="5"/>
  <c r="BB22" i="5"/>
  <c r="AY43" i="5"/>
  <c r="AX43" i="5"/>
  <c r="AV33" i="5"/>
  <c r="AN33" i="5"/>
  <c r="AL33" i="5"/>
  <c r="AM33" i="5"/>
  <c r="AR17" i="5"/>
  <c r="AP17" i="5"/>
  <c r="AQ17" i="5"/>
  <c r="AY47" i="5"/>
  <c r="AX47" i="5"/>
  <c r="AN8" i="5"/>
  <c r="AV8" i="5"/>
  <c r="AM8" i="5"/>
  <c r="AL8" i="5"/>
  <c r="AP12" i="5"/>
  <c r="AR12" i="5"/>
  <c r="AQ12" i="5"/>
  <c r="BC23" i="5"/>
  <c r="BD23" i="5"/>
  <c r="AR29" i="5"/>
  <c r="AQ29" i="5"/>
  <c r="AP29" i="5"/>
  <c r="AV108" i="5"/>
  <c r="AN108" i="5"/>
  <c r="AM108" i="5"/>
  <c r="AL108" i="5"/>
  <c r="AV58" i="5"/>
  <c r="AW42" i="5"/>
  <c r="BB42" i="5"/>
  <c r="AV415" i="5"/>
  <c r="AN415" i="5"/>
  <c r="AM415" i="5"/>
  <c r="AL415" i="5"/>
  <c r="AQ309" i="5"/>
  <c r="AP309" i="5"/>
  <c r="AR309" i="5"/>
  <c r="AR331" i="5"/>
  <c r="AQ331" i="5"/>
  <c r="AP331" i="5"/>
  <c r="AR230" i="5"/>
  <c r="AQ230" i="5"/>
  <c r="AP230" i="5"/>
  <c r="AV230" i="5"/>
  <c r="AV342" i="5"/>
  <c r="AN342" i="5"/>
  <c r="AM342" i="5"/>
  <c r="AL342" i="5"/>
  <c r="AV215" i="5"/>
  <c r="AN215" i="5"/>
  <c r="AL215" i="5"/>
  <c r="AM215" i="5"/>
  <c r="AL174" i="5"/>
  <c r="AV174" i="5"/>
  <c r="AN174" i="5"/>
  <c r="AM174" i="5"/>
  <c r="AR219" i="5"/>
  <c r="AP219" i="5"/>
  <c r="AQ219" i="5"/>
  <c r="AV75" i="5"/>
  <c r="AN75" i="5"/>
  <c r="AM75" i="5"/>
  <c r="AL75" i="5"/>
  <c r="AQ437" i="5"/>
  <c r="AP437" i="5"/>
  <c r="AR437" i="5"/>
  <c r="AV437" i="5"/>
  <c r="AV444" i="5"/>
  <c r="BA419" i="5"/>
  <c r="AZ419" i="5" s="1"/>
  <c r="AV404" i="5"/>
  <c r="AV384" i="5"/>
  <c r="AN384" i="5"/>
  <c r="AM384" i="5"/>
  <c r="AL384" i="5"/>
  <c r="AV368" i="5"/>
  <c r="AN368" i="5"/>
  <c r="AM368" i="5"/>
  <c r="AL368" i="5"/>
  <c r="AL306" i="5"/>
  <c r="AV306" i="5"/>
  <c r="AN306" i="5"/>
  <c r="AM306" i="5"/>
  <c r="AP422" i="5"/>
  <c r="AQ422" i="5"/>
  <c r="AR422" i="5"/>
  <c r="AW364" i="5"/>
  <c r="AV445" i="5"/>
  <c r="AN445" i="5"/>
  <c r="AM445" i="5"/>
  <c r="AL445" i="5"/>
  <c r="AV420" i="5"/>
  <c r="AV359" i="5"/>
  <c r="AN359" i="5"/>
  <c r="AM359" i="5"/>
  <c r="AL359" i="5"/>
  <c r="AR339" i="5"/>
  <c r="AQ339" i="5"/>
  <c r="AP339" i="5"/>
  <c r="AR299" i="5"/>
  <c r="AQ299" i="5"/>
  <c r="AP299" i="5"/>
  <c r="AV299" i="5"/>
  <c r="AR267" i="5"/>
  <c r="AQ267" i="5"/>
  <c r="AP267" i="5"/>
  <c r="AV399" i="5"/>
  <c r="AN399" i="5"/>
  <c r="AM399" i="5"/>
  <c r="AL399" i="5"/>
  <c r="AV376" i="5"/>
  <c r="AN376" i="5"/>
  <c r="AM376" i="5"/>
  <c r="AL376" i="5"/>
  <c r="AR354" i="5"/>
  <c r="AQ354" i="5"/>
  <c r="AP354" i="5"/>
  <c r="AV428" i="5"/>
  <c r="BD403" i="5"/>
  <c r="BC403" i="5"/>
  <c r="AY410" i="5"/>
  <c r="AX410" i="5"/>
  <c r="AQ223" i="5"/>
  <c r="AP223" i="5"/>
  <c r="AR223" i="5"/>
  <c r="AR351" i="5"/>
  <c r="AQ351" i="5"/>
  <c r="AP351" i="5"/>
  <c r="AR335" i="5"/>
  <c r="AQ335" i="5"/>
  <c r="AP335" i="5"/>
  <c r="AR319" i="5"/>
  <c r="AQ319" i="5"/>
  <c r="AP319" i="5"/>
  <c r="AV258" i="5"/>
  <c r="AN258" i="5"/>
  <c r="AM258" i="5"/>
  <c r="AL258" i="5"/>
  <c r="AY394" i="5"/>
  <c r="AX394" i="5"/>
  <c r="AV334" i="5"/>
  <c r="AN334" i="5"/>
  <c r="AM334" i="5"/>
  <c r="AL334" i="5"/>
  <c r="AP326" i="5"/>
  <c r="AR326" i="5"/>
  <c r="AQ326" i="5"/>
  <c r="AR407" i="5"/>
  <c r="AQ407" i="5"/>
  <c r="AP407" i="5"/>
  <c r="AV295" i="5"/>
  <c r="AN295" i="5"/>
  <c r="AM295" i="5"/>
  <c r="AL295" i="5"/>
  <c r="AV279" i="5"/>
  <c r="AN279" i="5"/>
  <c r="AM279" i="5"/>
  <c r="AL279" i="5"/>
  <c r="AM366" i="5"/>
  <c r="AL366" i="5"/>
  <c r="AN366" i="5"/>
  <c r="AV366" i="5"/>
  <c r="AV278" i="5"/>
  <c r="AN278" i="5"/>
  <c r="AM278" i="5"/>
  <c r="AL278" i="5"/>
  <c r="AV223" i="5"/>
  <c r="AN223" i="5"/>
  <c r="AL223" i="5"/>
  <c r="AM223" i="5"/>
  <c r="BB313" i="5"/>
  <c r="AW313" i="5"/>
  <c r="AR187" i="5"/>
  <c r="AP187" i="5"/>
  <c r="AQ187" i="5"/>
  <c r="AV178" i="5"/>
  <c r="AN178" i="5"/>
  <c r="AL178" i="5"/>
  <c r="AM178" i="5"/>
  <c r="AR132" i="5"/>
  <c r="AQ132" i="5"/>
  <c r="AP132" i="5"/>
  <c r="AW181" i="5"/>
  <c r="BB181" i="5"/>
  <c r="AL119" i="5"/>
  <c r="AV119" i="5"/>
  <c r="AN119" i="5"/>
  <c r="AM119" i="5"/>
  <c r="AR179" i="5"/>
  <c r="AQ179" i="5"/>
  <c r="AP179" i="5"/>
  <c r="AR227" i="5"/>
  <c r="AP227" i="5"/>
  <c r="AQ227" i="5"/>
  <c r="AP224" i="5"/>
  <c r="AR224" i="5"/>
  <c r="AQ224" i="5"/>
  <c r="AV116" i="5"/>
  <c r="AN116" i="5"/>
  <c r="AM116" i="5"/>
  <c r="AL116" i="5"/>
  <c r="AR80" i="5"/>
  <c r="AQ80" i="5"/>
  <c r="AP80" i="5"/>
  <c r="AP167" i="5"/>
  <c r="AR167" i="5"/>
  <c r="AQ167" i="5"/>
  <c r="AP159" i="5"/>
  <c r="AR159" i="5"/>
  <c r="AQ159" i="5"/>
  <c r="BB90" i="5"/>
  <c r="AR251" i="5"/>
  <c r="AP251" i="5"/>
  <c r="AQ251" i="5"/>
  <c r="AP248" i="5"/>
  <c r="AR248" i="5"/>
  <c r="AQ248" i="5"/>
  <c r="AV208" i="5"/>
  <c r="AN208" i="5"/>
  <c r="AM208" i="5"/>
  <c r="AL208" i="5"/>
  <c r="BB168" i="5"/>
  <c r="AW168" i="5"/>
  <c r="BA126" i="5"/>
  <c r="AZ126" i="5" s="1"/>
  <c r="BB109" i="5"/>
  <c r="AW109" i="5"/>
  <c r="AV120" i="5"/>
  <c r="AV83" i="5"/>
  <c r="AN83" i="5"/>
  <c r="AM83" i="5"/>
  <c r="AL83" i="5"/>
  <c r="AR60" i="5"/>
  <c r="AQ60" i="5"/>
  <c r="AP60" i="5"/>
  <c r="AW81" i="5"/>
  <c r="BB81" i="5"/>
  <c r="AP99" i="5"/>
  <c r="AR99" i="5"/>
  <c r="AQ99" i="5"/>
  <c r="AN63" i="5"/>
  <c r="AM63" i="5"/>
  <c r="AL63" i="5"/>
  <c r="AV63" i="5"/>
  <c r="AV67" i="5"/>
  <c r="AN67" i="5"/>
  <c r="AL67" i="5"/>
  <c r="AM67" i="5"/>
  <c r="BD27" i="5"/>
  <c r="BC27" i="5"/>
  <c r="AV115" i="5"/>
  <c r="AN115" i="5"/>
  <c r="AM115" i="5"/>
  <c r="AL115" i="5"/>
  <c r="AV44" i="5"/>
  <c r="AN44" i="5"/>
  <c r="AM44" i="5"/>
  <c r="AL44" i="5"/>
  <c r="AR41" i="5"/>
  <c r="AQ41" i="5"/>
  <c r="AP41" i="5"/>
  <c r="BB47" i="5"/>
  <c r="AM36" i="5"/>
  <c r="AL36" i="5"/>
  <c r="AN36" i="5"/>
  <c r="AV36" i="5"/>
  <c r="AM28" i="5"/>
  <c r="AL28" i="5"/>
  <c r="AN28" i="5"/>
  <c r="AV28" i="5"/>
  <c r="AM20" i="5"/>
  <c r="AL20" i="5"/>
  <c r="AN20" i="5"/>
  <c r="AV20" i="5"/>
  <c r="BB55" i="5"/>
  <c r="BC54" i="5"/>
  <c r="AV4" i="5"/>
  <c r="AR388" i="5"/>
  <c r="AQ388" i="5"/>
  <c r="AP388" i="5"/>
  <c r="AY442" i="5"/>
  <c r="AX442" i="5"/>
  <c r="AW316" i="5"/>
  <c r="BB316" i="5"/>
  <c r="AR279" i="5"/>
  <c r="AQ279" i="5"/>
  <c r="AP279" i="5"/>
  <c r="AV286" i="5"/>
  <c r="AN286" i="5"/>
  <c r="AM286" i="5"/>
  <c r="AL286" i="5"/>
  <c r="AR124" i="5"/>
  <c r="AQ124" i="5"/>
  <c r="AP124" i="5"/>
  <c r="AW257" i="5"/>
  <c r="BB257" i="5"/>
  <c r="AY381" i="5"/>
  <c r="AX381" i="5"/>
  <c r="AP216" i="5"/>
  <c r="AR216" i="5"/>
  <c r="AQ216" i="5"/>
  <c r="BB329" i="5"/>
  <c r="AW329" i="5"/>
  <c r="AL16" i="5"/>
  <c r="AN16" i="5"/>
  <c r="AV16" i="5"/>
  <c r="AM16" i="5"/>
  <c r="AW129" i="5"/>
  <c r="BB129" i="5"/>
  <c r="AQ429" i="5"/>
  <c r="AP429" i="5"/>
  <c r="AR429" i="5"/>
  <c r="AV440" i="5"/>
  <c r="AN440" i="5"/>
  <c r="AM440" i="5"/>
  <c r="AL440" i="5"/>
  <c r="AV416" i="5"/>
  <c r="AN416" i="5"/>
  <c r="AM416" i="5"/>
  <c r="AL416" i="5"/>
  <c r="AR396" i="5"/>
  <c r="AQ396" i="5"/>
  <c r="AP396" i="5"/>
  <c r="AV439" i="5"/>
  <c r="AN439" i="5"/>
  <c r="AM439" i="5"/>
  <c r="AL439" i="5"/>
  <c r="AR371" i="5"/>
  <c r="AQ371" i="5"/>
  <c r="AP371" i="5"/>
  <c r="AV413" i="5"/>
  <c r="AN363" i="5"/>
  <c r="AV363" i="5"/>
  <c r="AM363" i="5"/>
  <c r="AL363" i="5"/>
  <c r="AP430" i="5"/>
  <c r="AR430" i="5"/>
  <c r="AQ430" i="5"/>
  <c r="AR423" i="5"/>
  <c r="AQ423" i="5"/>
  <c r="AP423" i="5"/>
  <c r="AV414" i="5"/>
  <c r="AN414" i="5"/>
  <c r="AM414" i="5"/>
  <c r="AL414" i="5"/>
  <c r="AL346" i="5"/>
  <c r="AV346" i="5"/>
  <c r="AN346" i="5"/>
  <c r="AM346" i="5"/>
  <c r="AL282" i="5"/>
  <c r="AV282" i="5"/>
  <c r="AN282" i="5"/>
  <c r="AM282" i="5"/>
  <c r="AV387" i="5"/>
  <c r="AR322" i="5"/>
  <c r="AQ322" i="5"/>
  <c r="AP322" i="5"/>
  <c r="AR290" i="5"/>
  <c r="AQ290" i="5"/>
  <c r="AP290" i="5"/>
  <c r="AY403" i="5"/>
  <c r="AX403" i="5"/>
  <c r="AY288" i="5"/>
  <c r="AX288" i="5"/>
  <c r="BD410" i="5"/>
  <c r="BC410" i="5"/>
  <c r="AW292" i="5"/>
  <c r="AW276" i="5"/>
  <c r="BB276" i="5"/>
  <c r="AW261" i="5"/>
  <c r="BB261" i="5"/>
  <c r="AQ215" i="5"/>
  <c r="AP215" i="5"/>
  <c r="AR215" i="5"/>
  <c r="AV309" i="5"/>
  <c r="AR254" i="5"/>
  <c r="AQ254" i="5"/>
  <c r="AP254" i="5"/>
  <c r="AV234" i="5"/>
  <c r="AN234" i="5"/>
  <c r="AM234" i="5"/>
  <c r="AL234" i="5"/>
  <c r="AV210" i="5"/>
  <c r="AN210" i="5"/>
  <c r="AM210" i="5"/>
  <c r="AL210" i="5"/>
  <c r="BD360" i="5"/>
  <c r="BC360" i="5"/>
  <c r="AV347" i="5"/>
  <c r="AV315" i="5"/>
  <c r="AR303" i="5"/>
  <c r="AQ303" i="5"/>
  <c r="AP303" i="5"/>
  <c r="AW325" i="5"/>
  <c r="BB325" i="5"/>
  <c r="BB268" i="5"/>
  <c r="AV291" i="5"/>
  <c r="AL266" i="5"/>
  <c r="AN266" i="5"/>
  <c r="AM266" i="5"/>
  <c r="AV266" i="5"/>
  <c r="AW225" i="5"/>
  <c r="BB225" i="5"/>
  <c r="AL103" i="5"/>
  <c r="AV103" i="5"/>
  <c r="AM103" i="5"/>
  <c r="AN103" i="5"/>
  <c r="AW209" i="5"/>
  <c r="BB209" i="5"/>
  <c r="AW161" i="5"/>
  <c r="BB161" i="5"/>
  <c r="AM118" i="5"/>
  <c r="AL118" i="5"/>
  <c r="AN118" i="5"/>
  <c r="AV118" i="5"/>
  <c r="AM94" i="5"/>
  <c r="AL94" i="5"/>
  <c r="AN94" i="5"/>
  <c r="AV94" i="5"/>
  <c r="AM78" i="5"/>
  <c r="AL78" i="5"/>
  <c r="AV78" i="5"/>
  <c r="AN78" i="5"/>
  <c r="BA272" i="5"/>
  <c r="AZ272" i="5" s="1"/>
  <c r="AR206" i="5"/>
  <c r="AP206" i="5"/>
  <c r="AQ206" i="5"/>
  <c r="AV216" i="5"/>
  <c r="AN216" i="5"/>
  <c r="AM216" i="5"/>
  <c r="AL216" i="5"/>
  <c r="AV140" i="5"/>
  <c r="AN140" i="5"/>
  <c r="AM140" i="5"/>
  <c r="AL140" i="5"/>
  <c r="AR128" i="5"/>
  <c r="AQ128" i="5"/>
  <c r="AP128" i="5"/>
  <c r="AR72" i="5"/>
  <c r="AQ72" i="5"/>
  <c r="AP72" i="5"/>
  <c r="AR143" i="5"/>
  <c r="AQ143" i="5"/>
  <c r="AP143" i="5"/>
  <c r="AR127" i="5"/>
  <c r="AQ127" i="5"/>
  <c r="AP127" i="5"/>
  <c r="AR111" i="5"/>
  <c r="AQ111" i="5"/>
  <c r="AP111" i="5"/>
  <c r="AR211" i="5"/>
  <c r="AP211" i="5"/>
  <c r="AQ211" i="5"/>
  <c r="AP208" i="5"/>
  <c r="AR208" i="5"/>
  <c r="AQ208" i="5"/>
  <c r="BB196" i="5"/>
  <c r="AW196" i="5"/>
  <c r="AP107" i="5"/>
  <c r="AR107" i="5"/>
  <c r="AQ107" i="5"/>
  <c r="BD80" i="5"/>
  <c r="BC80" i="5"/>
  <c r="AP52" i="5"/>
  <c r="AQ52" i="5"/>
  <c r="AR52" i="5"/>
  <c r="AL40" i="5"/>
  <c r="AV40" i="5"/>
  <c r="AN40" i="5"/>
  <c r="AM40" i="5"/>
  <c r="AW105" i="5"/>
  <c r="BB105" i="5"/>
  <c r="AL71" i="5"/>
  <c r="AN71" i="5"/>
  <c r="AM71" i="5"/>
  <c r="AV71" i="5"/>
  <c r="AV254" i="5"/>
  <c r="BB157" i="5"/>
  <c r="AW157" i="5"/>
  <c r="AV131" i="5"/>
  <c r="AN131" i="5"/>
  <c r="AM131" i="5"/>
  <c r="AL131" i="5"/>
  <c r="AV52" i="5"/>
  <c r="AN52" i="5"/>
  <c r="AM52" i="5"/>
  <c r="AL52" i="5"/>
  <c r="AQ32" i="5"/>
  <c r="AP32" i="5"/>
  <c r="AR32" i="5"/>
  <c r="BA138" i="5"/>
  <c r="AZ138" i="5" s="1"/>
  <c r="BB110" i="5"/>
  <c r="AW73" i="5"/>
  <c r="BB73" i="5"/>
  <c r="AR13" i="5"/>
  <c r="AQ13" i="5"/>
  <c r="AP13" i="5"/>
  <c r="BA62" i="5"/>
  <c r="AZ62" i="5" s="1"/>
  <c r="AV17" i="5"/>
  <c r="AN17" i="5"/>
  <c r="AL17" i="5"/>
  <c r="AM17" i="5"/>
  <c r="AY11" i="5"/>
  <c r="AX11" i="5"/>
  <c r="AY35" i="5"/>
  <c r="AX35" i="5"/>
  <c r="AV37" i="5"/>
  <c r="AN37" i="5"/>
  <c r="AL37" i="5"/>
  <c r="AM37" i="5"/>
  <c r="AV98" i="5"/>
  <c r="AP7" i="5"/>
  <c r="AR7" i="5"/>
  <c r="AQ7" i="5"/>
  <c r="AR108" i="5"/>
  <c r="AQ108" i="5"/>
  <c r="AP108" i="5"/>
  <c r="BB11" i="5"/>
  <c r="BC93" i="5" l="1"/>
  <c r="BC138" i="5"/>
  <c r="BB336" i="5"/>
  <c r="BC336" i="5" s="1"/>
  <c r="AY260" i="5"/>
  <c r="AX374" i="5"/>
  <c r="AY312" i="5"/>
  <c r="AX312" i="5"/>
  <c r="AX31" i="5"/>
  <c r="BC62" i="5"/>
  <c r="AW393" i="5"/>
  <c r="AW14" i="5"/>
  <c r="AW213" i="5"/>
  <c r="AX441" i="5"/>
  <c r="AW204" i="5"/>
  <c r="BC312" i="5"/>
  <c r="BD134" i="5"/>
  <c r="BE134" i="5" s="1"/>
  <c r="BF134" i="5" s="1"/>
  <c r="BB427" i="5"/>
  <c r="BB269" i="5"/>
  <c r="BC357" i="5"/>
  <c r="AX60" i="5"/>
  <c r="BB31" i="5"/>
  <c r="AW402" i="5"/>
  <c r="BB402" i="5"/>
  <c r="BB10" i="5"/>
  <c r="BB241" i="5"/>
  <c r="BC419" i="5"/>
  <c r="AW345" i="5"/>
  <c r="BC344" i="5"/>
  <c r="AX357" i="5"/>
  <c r="BC378" i="5"/>
  <c r="AW38" i="5"/>
  <c r="BC355" i="5"/>
  <c r="AW102" i="5"/>
  <c r="BB102" i="5"/>
  <c r="BB50" i="5"/>
  <c r="BC50" i="5" s="1"/>
  <c r="AW244" i="5"/>
  <c r="BB244" i="5"/>
  <c r="BD417" i="5"/>
  <c r="BB285" i="5"/>
  <c r="BC51" i="5"/>
  <c r="BC262" i="5"/>
  <c r="BD162" i="5"/>
  <c r="BE162" i="5" s="1"/>
  <c r="BF162" i="5" s="1"/>
  <c r="AX50" i="5"/>
  <c r="AY50" i="5"/>
  <c r="BA50" i="5" s="1"/>
  <c r="AZ50" i="5" s="1"/>
  <c r="BC374" i="5"/>
  <c r="BB426" i="5"/>
  <c r="AW426" i="5"/>
  <c r="BB237" i="5"/>
  <c r="BC237" i="5" s="1"/>
  <c r="AX320" i="5"/>
  <c r="BC264" i="5"/>
  <c r="BB19" i="5"/>
  <c r="BB333" i="5"/>
  <c r="BB304" i="5"/>
  <c r="AW61" i="5"/>
  <c r="BB61" i="5"/>
  <c r="BB177" i="5"/>
  <c r="AW177" i="5"/>
  <c r="AX19" i="5"/>
  <c r="AY427" i="5"/>
  <c r="BA427" i="5" s="1"/>
  <c r="AZ427" i="5" s="1"/>
  <c r="AX427" i="5"/>
  <c r="BB377" i="5"/>
  <c r="AW377" i="5"/>
  <c r="AW39" i="5"/>
  <c r="BB39" i="5"/>
  <c r="AX417" i="5"/>
  <c r="AW154" i="5"/>
  <c r="BB154" i="5"/>
  <c r="BB320" i="5"/>
  <c r="BB173" i="5"/>
  <c r="BC173" i="5" s="1"/>
  <c r="AW189" i="5"/>
  <c r="BB332" i="5"/>
  <c r="AY262" i="5"/>
  <c r="BA262" i="5" s="1"/>
  <c r="AZ262" i="5" s="1"/>
  <c r="AX93" i="5"/>
  <c r="AX418" i="5"/>
  <c r="AX228" i="5"/>
  <c r="AW146" i="5"/>
  <c r="BB146" i="5"/>
  <c r="AY273" i="5"/>
  <c r="BA273" i="5" s="1"/>
  <c r="AZ273" i="5" s="1"/>
  <c r="AX273" i="5"/>
  <c r="AW429" i="5"/>
  <c r="AX429" i="5" s="1"/>
  <c r="BC69" i="5"/>
  <c r="BB214" i="5"/>
  <c r="AW214" i="5"/>
  <c r="BC297" i="5"/>
  <c r="BD297" i="5"/>
  <c r="BE297" i="5" s="1"/>
  <c r="BF297" i="5" s="1"/>
  <c r="BD50" i="5"/>
  <c r="BE50" i="5" s="1"/>
  <c r="BF50" i="5" s="1"/>
  <c r="BB425" i="5"/>
  <c r="AW425" i="5"/>
  <c r="BD411" i="5"/>
  <c r="BE411" i="5" s="1"/>
  <c r="BF411" i="5" s="1"/>
  <c r="BC411" i="5"/>
  <c r="AW328" i="5"/>
  <c r="BB328" i="5"/>
  <c r="AY411" i="5"/>
  <c r="AX411" i="5"/>
  <c r="AY378" i="5"/>
  <c r="BA378" i="5" s="1"/>
  <c r="AZ378" i="5" s="1"/>
  <c r="AX378" i="5"/>
  <c r="BC106" i="5"/>
  <c r="AW54" i="5"/>
  <c r="AX289" i="5"/>
  <c r="AY289" i="5"/>
  <c r="BD435" i="5"/>
  <c r="BC435" i="5"/>
  <c r="BC60" i="5"/>
  <c r="BB434" i="5"/>
  <c r="AW434" i="5"/>
  <c r="AY435" i="5"/>
  <c r="AX435" i="5"/>
  <c r="BB185" i="5"/>
  <c r="AW185" i="5"/>
  <c r="BB353" i="5"/>
  <c r="AW353" i="5"/>
  <c r="AY281" i="5"/>
  <c r="AX281" i="5"/>
  <c r="BD130" i="5"/>
  <c r="BE130" i="5" s="1"/>
  <c r="BF130" i="5" s="1"/>
  <c r="BC130" i="5"/>
  <c r="AW15" i="5"/>
  <c r="BB15" i="5"/>
  <c r="BC281" i="5"/>
  <c r="BD281" i="5"/>
  <c r="BE281" i="5" s="1"/>
  <c r="BF281" i="5" s="1"/>
  <c r="AX336" i="5"/>
  <c r="BC114" i="5"/>
  <c r="BD114" i="5"/>
  <c r="BE114" i="5" s="1"/>
  <c r="BF114" i="5" s="1"/>
  <c r="BE126" i="5"/>
  <c r="BF126" i="5" s="1"/>
  <c r="BD336" i="5"/>
  <c r="BE336" i="5" s="1"/>
  <c r="BF336" i="5" s="1"/>
  <c r="AY304" i="5"/>
  <c r="BA304" i="5" s="1"/>
  <c r="AZ304" i="5" s="1"/>
  <c r="AX304" i="5"/>
  <c r="AX433" i="5"/>
  <c r="AX264" i="5"/>
  <c r="BC252" i="5"/>
  <c r="BD85" i="5"/>
  <c r="BC85" i="5"/>
  <c r="AY133" i="5"/>
  <c r="AX133" i="5"/>
  <c r="BD133" i="5"/>
  <c r="BE133" i="5" s="1"/>
  <c r="BF133" i="5" s="1"/>
  <c r="BC133" i="5"/>
  <c r="AW367" i="5"/>
  <c r="BB367" i="5"/>
  <c r="AY160" i="5"/>
  <c r="AX160" i="5"/>
  <c r="AW40" i="5"/>
  <c r="BB40" i="5"/>
  <c r="AW75" i="5"/>
  <c r="BB75" i="5"/>
  <c r="AW174" i="5"/>
  <c r="BB174" i="5"/>
  <c r="BD153" i="5"/>
  <c r="BC153" i="5"/>
  <c r="AY141" i="5"/>
  <c r="AX141" i="5"/>
  <c r="AY197" i="5"/>
  <c r="AX197" i="5"/>
  <c r="AY101" i="5"/>
  <c r="AX101" i="5"/>
  <c r="AY229" i="5"/>
  <c r="AX229" i="5"/>
  <c r="AX200" i="5"/>
  <c r="AY200" i="5"/>
  <c r="AY308" i="5"/>
  <c r="AX308" i="5"/>
  <c r="AY349" i="5"/>
  <c r="AX349" i="5"/>
  <c r="AW218" i="5"/>
  <c r="BB218" i="5"/>
  <c r="BD352" i="5"/>
  <c r="BC352" i="5"/>
  <c r="BD320" i="5"/>
  <c r="BC320" i="5"/>
  <c r="BD348" i="5"/>
  <c r="BC348" i="5"/>
  <c r="BD34" i="5"/>
  <c r="BC34" i="5"/>
  <c r="BD121" i="5"/>
  <c r="BC121" i="5"/>
  <c r="BB151" i="5"/>
  <c r="AW151" i="5"/>
  <c r="BB263" i="5"/>
  <c r="AW263" i="5"/>
  <c r="AW407" i="5"/>
  <c r="BB407" i="5"/>
  <c r="AW326" i="5"/>
  <c r="BB326" i="5"/>
  <c r="AW319" i="5"/>
  <c r="BB319" i="5"/>
  <c r="AW351" i="5"/>
  <c r="BB351" i="5"/>
  <c r="BD324" i="5"/>
  <c r="BC324" i="5"/>
  <c r="BB421" i="5"/>
  <c r="AW421" i="5"/>
  <c r="AW21" i="5"/>
  <c r="BB21" i="5"/>
  <c r="AW41" i="5"/>
  <c r="BB41" i="5"/>
  <c r="BB187" i="5"/>
  <c r="AW187" i="5"/>
  <c r="BA355" i="5"/>
  <c r="AZ355" i="5" s="1"/>
  <c r="BE49" i="5"/>
  <c r="BF49" i="5" s="1"/>
  <c r="AW9" i="5"/>
  <c r="BB9" i="5"/>
  <c r="AW190" i="5"/>
  <c r="BB190" i="5"/>
  <c r="AW123" i="5"/>
  <c r="BB123" i="5"/>
  <c r="AW256" i="5"/>
  <c r="BB256" i="5"/>
  <c r="AW86" i="5"/>
  <c r="BB86" i="5"/>
  <c r="AY180" i="5"/>
  <c r="AX180" i="5"/>
  <c r="AW194" i="5"/>
  <c r="BB194" i="5"/>
  <c r="BD284" i="5"/>
  <c r="BC284" i="5"/>
  <c r="AY373" i="5"/>
  <c r="AX373" i="5"/>
  <c r="AY293" i="5"/>
  <c r="AX293" i="5"/>
  <c r="AW5" i="5"/>
  <c r="BB5" i="5"/>
  <c r="BD19" i="5"/>
  <c r="BC19" i="5"/>
  <c r="BD89" i="5"/>
  <c r="BC89" i="5"/>
  <c r="BD160" i="5"/>
  <c r="BC160" i="5"/>
  <c r="BD82" i="5"/>
  <c r="BC82" i="5"/>
  <c r="BB95" i="5"/>
  <c r="AW95" i="5"/>
  <c r="AW170" i="5"/>
  <c r="BB170" i="5"/>
  <c r="BA264" i="5"/>
  <c r="AZ264" i="5" s="1"/>
  <c r="AW318" i="5"/>
  <c r="BB318" i="5"/>
  <c r="AY88" i="5"/>
  <c r="AX88" i="5"/>
  <c r="BA228" i="5"/>
  <c r="AZ228" i="5" s="1"/>
  <c r="AW211" i="5"/>
  <c r="BB211" i="5"/>
  <c r="BC345" i="5"/>
  <c r="BD345" i="5"/>
  <c r="AY249" i="5"/>
  <c r="AX249" i="5"/>
  <c r="AY277" i="5"/>
  <c r="AX277" i="5"/>
  <c r="BD221" i="5"/>
  <c r="BC221" i="5"/>
  <c r="AW302" i="5"/>
  <c r="BB302" i="5"/>
  <c r="AW250" i="5"/>
  <c r="BB250" i="5"/>
  <c r="BB362" i="5"/>
  <c r="AW362" i="5"/>
  <c r="BA19" i="5"/>
  <c r="AZ19" i="5" s="1"/>
  <c r="BB198" i="5"/>
  <c r="AW198" i="5"/>
  <c r="BD64" i="5"/>
  <c r="BC64" i="5"/>
  <c r="BD397" i="5"/>
  <c r="BC397" i="5"/>
  <c r="BD152" i="5"/>
  <c r="BC152" i="5"/>
  <c r="BD13" i="5"/>
  <c r="BC13" i="5"/>
  <c r="BD388" i="5"/>
  <c r="BC388" i="5"/>
  <c r="BB278" i="5"/>
  <c r="AW278" i="5"/>
  <c r="BB368" i="5"/>
  <c r="AW368" i="5"/>
  <c r="BD30" i="5"/>
  <c r="BC30" i="5"/>
  <c r="BA409" i="5"/>
  <c r="AZ409" i="5" s="1"/>
  <c r="AW139" i="5"/>
  <c r="BB139" i="5"/>
  <c r="BB74" i="5"/>
  <c r="AW74" i="5"/>
  <c r="BA201" i="5"/>
  <c r="AZ201" i="5" s="1"/>
  <c r="AW350" i="5"/>
  <c r="BB350" i="5"/>
  <c r="AY221" i="5"/>
  <c r="AX221" i="5"/>
  <c r="BE260" i="5"/>
  <c r="BF260" i="5" s="1"/>
  <c r="AY397" i="5"/>
  <c r="AX397" i="5"/>
  <c r="BB140" i="5"/>
  <c r="AW140" i="5"/>
  <c r="AY325" i="5"/>
  <c r="AX325" i="5"/>
  <c r="BD109" i="5"/>
  <c r="BC109" i="5"/>
  <c r="BB108" i="5"/>
  <c r="AW108" i="5"/>
  <c r="BD73" i="5"/>
  <c r="BC73" i="5"/>
  <c r="AY393" i="5"/>
  <c r="AX393" i="5"/>
  <c r="AW286" i="5"/>
  <c r="BB286" i="5"/>
  <c r="BC55" i="5"/>
  <c r="BD55" i="5"/>
  <c r="BD14" i="5"/>
  <c r="BC14" i="5"/>
  <c r="BB223" i="5"/>
  <c r="AW223" i="5"/>
  <c r="BB279" i="5"/>
  <c r="AW279" i="5"/>
  <c r="BB334" i="5"/>
  <c r="AW334" i="5"/>
  <c r="BE403" i="5"/>
  <c r="BF403" i="5" s="1"/>
  <c r="BB399" i="5"/>
  <c r="AW399" i="5"/>
  <c r="AW359" i="5"/>
  <c r="BB359" i="5"/>
  <c r="AY42" i="5"/>
  <c r="AX42" i="5"/>
  <c r="BB8" i="5"/>
  <c r="AW8" i="5"/>
  <c r="AY153" i="5"/>
  <c r="AX153" i="5"/>
  <c r="BD141" i="5"/>
  <c r="BC141" i="5"/>
  <c r="BD197" i="5"/>
  <c r="BC197" i="5"/>
  <c r="BD101" i="5"/>
  <c r="BC101" i="5"/>
  <c r="BD229" i="5"/>
  <c r="BC229" i="5"/>
  <c r="AW87" i="5"/>
  <c r="BB87" i="5"/>
  <c r="AY365" i="5"/>
  <c r="AX365" i="5"/>
  <c r="AW238" i="5"/>
  <c r="BB238" i="5"/>
  <c r="BC370" i="5"/>
  <c r="BD370" i="5"/>
  <c r="AW227" i="5"/>
  <c r="BB227" i="5"/>
  <c r="BD217" i="5"/>
  <c r="BC217" i="5"/>
  <c r="AY348" i="5"/>
  <c r="AX348" i="5"/>
  <c r="AY34" i="5"/>
  <c r="AX34" i="5"/>
  <c r="BA55" i="5"/>
  <c r="AZ55" i="5" s="1"/>
  <c r="AW56" i="5"/>
  <c r="BB56" i="5"/>
  <c r="AY121" i="5"/>
  <c r="AX121" i="5"/>
  <c r="AY305" i="5"/>
  <c r="AX305" i="5"/>
  <c r="BB301" i="5"/>
  <c r="AW301" i="5"/>
  <c r="BE296" i="5"/>
  <c r="BF296" i="5" s="1"/>
  <c r="AY324" i="5"/>
  <c r="AX324" i="5"/>
  <c r="AW354" i="5"/>
  <c r="BB354" i="5"/>
  <c r="AW358" i="5"/>
  <c r="BB358" i="5"/>
  <c r="AY164" i="5"/>
  <c r="AX164" i="5"/>
  <c r="BD65" i="5"/>
  <c r="BC65" i="5"/>
  <c r="BB246" i="5"/>
  <c r="AW246" i="5"/>
  <c r="BD180" i="5"/>
  <c r="BC180" i="5"/>
  <c r="BB231" i="5"/>
  <c r="AW231" i="5"/>
  <c r="BD341" i="5"/>
  <c r="BC341" i="5"/>
  <c r="AY284" i="5"/>
  <c r="AX284" i="5"/>
  <c r="AY172" i="5"/>
  <c r="AX172" i="5"/>
  <c r="AW143" i="5"/>
  <c r="BB143" i="5"/>
  <c r="AW327" i="5"/>
  <c r="BB327" i="5"/>
  <c r="BE374" i="5"/>
  <c r="BF374" i="5" s="1"/>
  <c r="AW45" i="5"/>
  <c r="BB45" i="5"/>
  <c r="BD35" i="5"/>
  <c r="BC35" i="5"/>
  <c r="AY89" i="5"/>
  <c r="AX89" i="5"/>
  <c r="AW147" i="5"/>
  <c r="BB147" i="5"/>
  <c r="AW84" i="5"/>
  <c r="BB84" i="5"/>
  <c r="AY236" i="5"/>
  <c r="AX236" i="5"/>
  <c r="BB148" i="5"/>
  <c r="AW148" i="5"/>
  <c r="BA312" i="5"/>
  <c r="AZ312" i="5" s="1"/>
  <c r="BA386" i="5"/>
  <c r="AZ386" i="5" s="1"/>
  <c r="BA46" i="5"/>
  <c r="AZ46" i="5" s="1"/>
  <c r="BD333" i="5"/>
  <c r="BC333" i="5"/>
  <c r="BA418" i="5"/>
  <c r="AZ418" i="5" s="1"/>
  <c r="BE344" i="5"/>
  <c r="BF344" i="5" s="1"/>
  <c r="BE442" i="5"/>
  <c r="BF442" i="5" s="1"/>
  <c r="BA260" i="5"/>
  <c r="AZ260" i="5" s="1"/>
  <c r="AY72" i="5"/>
  <c r="AX72" i="5"/>
  <c r="BA166" i="5"/>
  <c r="AZ166" i="5" s="1"/>
  <c r="AY389" i="5"/>
  <c r="AX389" i="5"/>
  <c r="AY267" i="5"/>
  <c r="AX267" i="5"/>
  <c r="AY128" i="5"/>
  <c r="AX128" i="5"/>
  <c r="BE360" i="5"/>
  <c r="BF360" i="5" s="1"/>
  <c r="BB282" i="5"/>
  <c r="AW282" i="5"/>
  <c r="BA442" i="5"/>
  <c r="AZ442" i="5" s="1"/>
  <c r="BE27" i="5"/>
  <c r="BF27" i="5" s="1"/>
  <c r="BD22" i="5"/>
  <c r="BC22" i="5"/>
  <c r="AY26" i="5"/>
  <c r="AX26" i="5"/>
  <c r="BB203" i="5"/>
  <c r="AW203" i="5"/>
  <c r="BD280" i="5"/>
  <c r="BC280" i="5"/>
  <c r="BC385" i="5"/>
  <c r="BD385" i="5"/>
  <c r="BD373" i="5"/>
  <c r="BC373" i="5"/>
  <c r="AW287" i="5"/>
  <c r="BB287" i="5"/>
  <c r="BA93" i="5"/>
  <c r="AZ93" i="5" s="1"/>
  <c r="BB179" i="5"/>
  <c r="AW179" i="5"/>
  <c r="AY64" i="5"/>
  <c r="AX64" i="5"/>
  <c r="AX13" i="5"/>
  <c r="AY13" i="5"/>
  <c r="BB387" i="5"/>
  <c r="AW387" i="5"/>
  <c r="AY157" i="5"/>
  <c r="AX157" i="5"/>
  <c r="AY292" i="5"/>
  <c r="AX292" i="5"/>
  <c r="AY73" i="5"/>
  <c r="AX73" i="5"/>
  <c r="BD105" i="5"/>
  <c r="BC105" i="5"/>
  <c r="BB103" i="5"/>
  <c r="AW103" i="5"/>
  <c r="AW234" i="5"/>
  <c r="BB234" i="5"/>
  <c r="BC393" i="5"/>
  <c r="BD393" i="5"/>
  <c r="AW439" i="5"/>
  <c r="BB439" i="5"/>
  <c r="AY329" i="5"/>
  <c r="AX329" i="5"/>
  <c r="AY257" i="5"/>
  <c r="AX257" i="5"/>
  <c r="BC10" i="5"/>
  <c r="BD10" i="5"/>
  <c r="BC269" i="5"/>
  <c r="BD269" i="5"/>
  <c r="AW366" i="5"/>
  <c r="BB366" i="5"/>
  <c r="BB428" i="5"/>
  <c r="AW428" i="5"/>
  <c r="BB445" i="5"/>
  <c r="AW445" i="5"/>
  <c r="BB306" i="5"/>
  <c r="AW306" i="5"/>
  <c r="BB437" i="5"/>
  <c r="AW437" i="5"/>
  <c r="BD332" i="5"/>
  <c r="BC332" i="5"/>
  <c r="BB24" i="5"/>
  <c r="AW24" i="5"/>
  <c r="BB167" i="5"/>
  <c r="AW167" i="5"/>
  <c r="BB222" i="5"/>
  <c r="AW222" i="5"/>
  <c r="BE166" i="5"/>
  <c r="BF166" i="5" s="1"/>
  <c r="BB247" i="5"/>
  <c r="AW247" i="5"/>
  <c r="BD365" i="5"/>
  <c r="BC365" i="5"/>
  <c r="BE378" i="5"/>
  <c r="BF378" i="5" s="1"/>
  <c r="BB423" i="5"/>
  <c r="AW423" i="5"/>
  <c r="AW432" i="5"/>
  <c r="BB432" i="5"/>
  <c r="AY217" i="5"/>
  <c r="AX217" i="5"/>
  <c r="BD43" i="5"/>
  <c r="BC43" i="5"/>
  <c r="AY149" i="5"/>
  <c r="AX149" i="5"/>
  <c r="BC305" i="5"/>
  <c r="BD305" i="5"/>
  <c r="BB206" i="5"/>
  <c r="AW206" i="5"/>
  <c r="BB171" i="5"/>
  <c r="AW171" i="5"/>
  <c r="BD340" i="5"/>
  <c r="BC340" i="5"/>
  <c r="BB372" i="5"/>
  <c r="AW372" i="5"/>
  <c r="AY401" i="5"/>
  <c r="AX401" i="5"/>
  <c r="AY379" i="5"/>
  <c r="AX379" i="5"/>
  <c r="BB6" i="5"/>
  <c r="AW6" i="5"/>
  <c r="BD113" i="5"/>
  <c r="BC113" i="5"/>
  <c r="BD164" i="5"/>
  <c r="BC164" i="5"/>
  <c r="AY65" i="5"/>
  <c r="AX65" i="5"/>
  <c r="BD57" i="5"/>
  <c r="BC57" i="5"/>
  <c r="AY341" i="5"/>
  <c r="AX341" i="5"/>
  <c r="BB431" i="5"/>
  <c r="AW431" i="5"/>
  <c r="AW408" i="5"/>
  <c r="BB408" i="5"/>
  <c r="BD172" i="5"/>
  <c r="BC172" i="5"/>
  <c r="BA51" i="5"/>
  <c r="AZ51" i="5" s="1"/>
  <c r="BE93" i="5"/>
  <c r="BF93" i="5" s="1"/>
  <c r="BE106" i="5"/>
  <c r="BF106" i="5" s="1"/>
  <c r="BD236" i="5"/>
  <c r="BC236" i="5"/>
  <c r="AW158" i="5"/>
  <c r="BB158" i="5"/>
  <c r="AW111" i="5"/>
  <c r="BB111" i="5"/>
  <c r="AY337" i="5"/>
  <c r="AX337" i="5"/>
  <c r="BA361" i="5"/>
  <c r="AZ361" i="5" s="1"/>
  <c r="BB274" i="5"/>
  <c r="AW274" i="5"/>
  <c r="AW66" i="5"/>
  <c r="BB66" i="5"/>
  <c r="BB255" i="5"/>
  <c r="AW255" i="5"/>
  <c r="AY333" i="5"/>
  <c r="AX333" i="5"/>
  <c r="AY117" i="5"/>
  <c r="AX117" i="5"/>
  <c r="BB79" i="5"/>
  <c r="AW79" i="5"/>
  <c r="BD72" i="5"/>
  <c r="BC72" i="5"/>
  <c r="BD389" i="5"/>
  <c r="BC389" i="5"/>
  <c r="BD267" i="5"/>
  <c r="BC267" i="5"/>
  <c r="BD429" i="5"/>
  <c r="BC429" i="5"/>
  <c r="BD128" i="5"/>
  <c r="BC128" i="5"/>
  <c r="AY276" i="5"/>
  <c r="AX276" i="5"/>
  <c r="BB16" i="5"/>
  <c r="AW16" i="5"/>
  <c r="AY181" i="5"/>
  <c r="AX181" i="5"/>
  <c r="BA410" i="5"/>
  <c r="AZ410" i="5" s="1"/>
  <c r="AW343" i="5"/>
  <c r="BB343" i="5"/>
  <c r="BD188" i="5"/>
  <c r="BC188" i="5"/>
  <c r="BB48" i="5"/>
  <c r="AW48" i="5"/>
  <c r="BA162" i="5"/>
  <c r="AZ162" i="5" s="1"/>
  <c r="BA374" i="5"/>
  <c r="AZ374" i="5" s="1"/>
  <c r="BC161" i="5"/>
  <c r="BD161" i="5"/>
  <c r="BD292" i="5"/>
  <c r="BC292" i="5"/>
  <c r="AY14" i="5"/>
  <c r="AX14" i="5"/>
  <c r="BD257" i="5"/>
  <c r="BC257" i="5"/>
  <c r="AW98" i="5"/>
  <c r="BB98" i="5"/>
  <c r="BA11" i="5"/>
  <c r="AZ11" i="5" s="1"/>
  <c r="BC110" i="5"/>
  <c r="BD110" i="5"/>
  <c r="BB254" i="5"/>
  <c r="AW254" i="5"/>
  <c r="AY105" i="5"/>
  <c r="AX105" i="5"/>
  <c r="BA433" i="5"/>
  <c r="AZ433" i="5" s="1"/>
  <c r="AY173" i="5"/>
  <c r="AX173" i="5"/>
  <c r="BE410" i="5"/>
  <c r="BF410" i="5" s="1"/>
  <c r="BB346" i="5"/>
  <c r="AW346" i="5"/>
  <c r="BB363" i="5"/>
  <c r="AW363" i="5"/>
  <c r="BC329" i="5"/>
  <c r="BD329" i="5"/>
  <c r="AY10" i="5"/>
  <c r="AX10" i="5"/>
  <c r="BB67" i="5"/>
  <c r="AW67" i="5"/>
  <c r="AY168" i="5"/>
  <c r="AX168" i="5"/>
  <c r="BD237" i="5"/>
  <c r="AY269" i="5"/>
  <c r="AX269" i="5"/>
  <c r="BA394" i="5"/>
  <c r="AZ394" i="5" s="1"/>
  <c r="BB384" i="5"/>
  <c r="AW384" i="5"/>
  <c r="AY332" i="5"/>
  <c r="AX332" i="5"/>
  <c r="BB33" i="5"/>
  <c r="AW33" i="5"/>
  <c r="AW150" i="5"/>
  <c r="BB150" i="5"/>
  <c r="BB235" i="5"/>
  <c r="AW235" i="5"/>
  <c r="AW99" i="5"/>
  <c r="BB99" i="5"/>
  <c r="AY49" i="5"/>
  <c r="AX49" i="5"/>
  <c r="BD149" i="5"/>
  <c r="BC149" i="5"/>
  <c r="BD300" i="5"/>
  <c r="BC300" i="5"/>
  <c r="BD241" i="5"/>
  <c r="BC241" i="5"/>
  <c r="BA360" i="5"/>
  <c r="AZ360" i="5" s="1"/>
  <c r="AY340" i="5"/>
  <c r="AX340" i="5"/>
  <c r="BC401" i="5"/>
  <c r="BD401" i="5"/>
  <c r="AY369" i="5"/>
  <c r="AX369" i="5"/>
  <c r="AY113" i="5"/>
  <c r="AX113" i="5"/>
  <c r="BA297" i="5"/>
  <c r="AZ297" i="5" s="1"/>
  <c r="AY57" i="5"/>
  <c r="AX57" i="5"/>
  <c r="AW155" i="5"/>
  <c r="BB155" i="5"/>
  <c r="BD233" i="5"/>
  <c r="BC233" i="5"/>
  <c r="BA252" i="5"/>
  <c r="AZ252" i="5" s="1"/>
  <c r="AW270" i="5"/>
  <c r="BB270" i="5"/>
  <c r="BC386" i="5"/>
  <c r="BD386" i="5"/>
  <c r="BE433" i="5"/>
  <c r="BF433" i="5" s="1"/>
  <c r="BE288" i="5"/>
  <c r="BF288" i="5" s="1"/>
  <c r="BE46" i="5"/>
  <c r="BF46" i="5" s="1"/>
  <c r="AW100" i="5"/>
  <c r="BB100" i="5"/>
  <c r="BE60" i="5"/>
  <c r="BF60" i="5" s="1"/>
  <c r="BE228" i="5"/>
  <c r="BF228" i="5" s="1"/>
  <c r="BD285" i="5"/>
  <c r="BC285" i="5"/>
  <c r="AW232" i="5"/>
  <c r="BB232" i="5"/>
  <c r="BC337" i="5"/>
  <c r="BD337" i="5"/>
  <c r="BA344" i="5"/>
  <c r="AZ344" i="5" s="1"/>
  <c r="AW271" i="5"/>
  <c r="BB271" i="5"/>
  <c r="AW392" i="5"/>
  <c r="BB392" i="5"/>
  <c r="BD184" i="5"/>
  <c r="BC184" i="5"/>
  <c r="AY321" i="5"/>
  <c r="AX321" i="5"/>
  <c r="AW127" i="5"/>
  <c r="BB127" i="5"/>
  <c r="AY265" i="5"/>
  <c r="AX265" i="5"/>
  <c r="BE441" i="5"/>
  <c r="BF441" i="5" s="1"/>
  <c r="BA280" i="5"/>
  <c r="AZ280" i="5" s="1"/>
  <c r="BB395" i="5"/>
  <c r="AW395" i="5"/>
  <c r="BD117" i="5"/>
  <c r="BC117" i="5"/>
  <c r="BE355" i="5"/>
  <c r="BF355" i="5" s="1"/>
  <c r="AW311" i="5"/>
  <c r="BB311" i="5"/>
  <c r="AY323" i="5"/>
  <c r="AX323" i="5"/>
  <c r="AY275" i="5"/>
  <c r="AX275" i="5"/>
  <c r="AY371" i="5"/>
  <c r="AX371" i="5"/>
  <c r="AY96" i="5"/>
  <c r="AX96" i="5"/>
  <c r="AY331" i="5"/>
  <c r="AX331" i="5"/>
  <c r="AY144" i="5"/>
  <c r="AX144" i="5"/>
  <c r="BB37" i="5"/>
  <c r="AW37" i="5"/>
  <c r="AY225" i="5"/>
  <c r="AX225" i="5"/>
  <c r="AY109" i="5"/>
  <c r="AX109" i="5"/>
  <c r="BB444" i="5"/>
  <c r="AW444" i="5"/>
  <c r="BD349" i="5"/>
  <c r="BC349" i="5"/>
  <c r="BD293" i="5"/>
  <c r="BC293" i="5"/>
  <c r="AW294" i="5"/>
  <c r="BB294" i="5"/>
  <c r="BD277" i="5"/>
  <c r="BC277" i="5"/>
  <c r="AW310" i="5"/>
  <c r="BB310" i="5"/>
  <c r="AY388" i="5"/>
  <c r="AX388" i="5"/>
  <c r="BE80" i="5"/>
  <c r="BF80" i="5" s="1"/>
  <c r="AW94" i="5"/>
  <c r="BB94" i="5"/>
  <c r="BB414" i="5"/>
  <c r="AW414" i="5"/>
  <c r="BA381" i="5"/>
  <c r="AZ381" i="5" s="1"/>
  <c r="BC47" i="5"/>
  <c r="BD47" i="5"/>
  <c r="BB208" i="5"/>
  <c r="AW208" i="5"/>
  <c r="BB17" i="5"/>
  <c r="AW17" i="5"/>
  <c r="AY161" i="5"/>
  <c r="AX161" i="5"/>
  <c r="BD157" i="5"/>
  <c r="BC157" i="5"/>
  <c r="BD11" i="5"/>
  <c r="BC11" i="5"/>
  <c r="AW52" i="5"/>
  <c r="BB52" i="5"/>
  <c r="AW71" i="5"/>
  <c r="BB71" i="5"/>
  <c r="BB216" i="5"/>
  <c r="AW216" i="5"/>
  <c r="AW118" i="5"/>
  <c r="BB118" i="5"/>
  <c r="BD209" i="5"/>
  <c r="BC209" i="5"/>
  <c r="AY189" i="5"/>
  <c r="AX189" i="5"/>
  <c r="BB291" i="5"/>
  <c r="AW291" i="5"/>
  <c r="BB315" i="5"/>
  <c r="AW315" i="5"/>
  <c r="BC261" i="5"/>
  <c r="BD261" i="5"/>
  <c r="BD129" i="5"/>
  <c r="BC129" i="5"/>
  <c r="BB4" i="5"/>
  <c r="AW4" i="5"/>
  <c r="BB20" i="5"/>
  <c r="AW20" i="5"/>
  <c r="BB36" i="5"/>
  <c r="AW36" i="5"/>
  <c r="AW63" i="5"/>
  <c r="BB63" i="5"/>
  <c r="BD168" i="5"/>
  <c r="BC168" i="5"/>
  <c r="BB116" i="5"/>
  <c r="AW116" i="5"/>
  <c r="AY237" i="5"/>
  <c r="AX237" i="5"/>
  <c r="BB119" i="5"/>
  <c r="AW119" i="5"/>
  <c r="AY313" i="5"/>
  <c r="AX313" i="5"/>
  <c r="AY364" i="5"/>
  <c r="AX364" i="5"/>
  <c r="BB404" i="5"/>
  <c r="AW404" i="5"/>
  <c r="AY213" i="5"/>
  <c r="AX213" i="5"/>
  <c r="BB58" i="5"/>
  <c r="AW58" i="5"/>
  <c r="BA47" i="5"/>
  <c r="AZ47" i="5" s="1"/>
  <c r="BD97" i="5"/>
  <c r="BC97" i="5"/>
  <c r="AW195" i="5"/>
  <c r="BB195" i="5"/>
  <c r="BD205" i="5"/>
  <c r="BC205" i="5"/>
  <c r="AW224" i="5"/>
  <c r="BB224" i="5"/>
  <c r="BB303" i="5"/>
  <c r="AW303" i="5"/>
  <c r="BA352" i="5"/>
  <c r="AZ352" i="5" s="1"/>
  <c r="BD18" i="5"/>
  <c r="BC18" i="5"/>
  <c r="AY125" i="5"/>
  <c r="AX125" i="5"/>
  <c r="AY300" i="5"/>
  <c r="AX300" i="5"/>
  <c r="AY241" i="5"/>
  <c r="AX241" i="5"/>
  <c r="AW135" i="5"/>
  <c r="BB135" i="5"/>
  <c r="BB191" i="5"/>
  <c r="AW191" i="5"/>
  <c r="AW242" i="5"/>
  <c r="BB242" i="5"/>
  <c r="AW335" i="5"/>
  <c r="BB335" i="5"/>
  <c r="BE381" i="5"/>
  <c r="BF381" i="5" s="1"/>
  <c r="BC369" i="5"/>
  <c r="BD369" i="5"/>
  <c r="BE419" i="5"/>
  <c r="BF419" i="5" s="1"/>
  <c r="AW92" i="5"/>
  <c r="BB92" i="5"/>
  <c r="BA184" i="5"/>
  <c r="AZ184" i="5" s="1"/>
  <c r="AW375" i="5"/>
  <c r="BB375" i="5"/>
  <c r="BC193" i="5"/>
  <c r="BD193" i="5"/>
  <c r="BE77" i="5"/>
  <c r="BF77" i="5" s="1"/>
  <c r="BE88" i="5"/>
  <c r="BF88" i="5" s="1"/>
  <c r="AY233" i="5"/>
  <c r="AX233" i="5"/>
  <c r="BB163" i="5"/>
  <c r="AW163" i="5"/>
  <c r="BC165" i="5"/>
  <c r="BD165" i="5"/>
  <c r="AY245" i="5"/>
  <c r="AX245" i="5"/>
  <c r="BE361" i="5"/>
  <c r="BF361" i="5" s="1"/>
  <c r="BB412" i="5"/>
  <c r="AW412" i="5"/>
  <c r="BA27" i="5"/>
  <c r="AZ27" i="5" s="1"/>
  <c r="AY285" i="5"/>
  <c r="AX285" i="5"/>
  <c r="AY253" i="5"/>
  <c r="AX253" i="5"/>
  <c r="AW226" i="5"/>
  <c r="BB226" i="5"/>
  <c r="BE272" i="5"/>
  <c r="BF272" i="5" s="1"/>
  <c r="AY80" i="5"/>
  <c r="AX80" i="5"/>
  <c r="BC321" i="5"/>
  <c r="BD321" i="5"/>
  <c r="AW240" i="5"/>
  <c r="BB240" i="5"/>
  <c r="BC265" i="5"/>
  <c r="BD265" i="5"/>
  <c r="AW202" i="5"/>
  <c r="BB202" i="5"/>
  <c r="BB298" i="5"/>
  <c r="AW298" i="5"/>
  <c r="AW251" i="5"/>
  <c r="BB251" i="5"/>
  <c r="BD323" i="5"/>
  <c r="BC323" i="5"/>
  <c r="BD275" i="5"/>
  <c r="BC275" i="5"/>
  <c r="BD371" i="5"/>
  <c r="BC371" i="5"/>
  <c r="BD96" i="5"/>
  <c r="BC96" i="5"/>
  <c r="BA82" i="5"/>
  <c r="AZ82" i="5" s="1"/>
  <c r="BD331" i="5"/>
  <c r="BC331" i="5"/>
  <c r="BD144" i="5"/>
  <c r="BC144" i="5"/>
  <c r="BD325" i="5"/>
  <c r="BC325" i="5"/>
  <c r="BA288" i="5"/>
  <c r="AZ288" i="5" s="1"/>
  <c r="BB44" i="5"/>
  <c r="AW44" i="5"/>
  <c r="BD90" i="5"/>
  <c r="BC90" i="5"/>
  <c r="AW258" i="5"/>
  <c r="BB258" i="5"/>
  <c r="BB299" i="5"/>
  <c r="AW299" i="5"/>
  <c r="BA320" i="5"/>
  <c r="AZ320" i="5" s="1"/>
  <c r="BE138" i="5"/>
  <c r="BF138" i="5" s="1"/>
  <c r="AW156" i="5"/>
  <c r="BB156" i="5"/>
  <c r="BD308" i="5"/>
  <c r="BC308" i="5"/>
  <c r="BA296" i="5"/>
  <c r="AZ296" i="5" s="1"/>
  <c r="BA370" i="5"/>
  <c r="AZ370" i="5" s="1"/>
  <c r="BD38" i="5"/>
  <c r="BC38" i="5"/>
  <c r="BB186" i="5"/>
  <c r="AW186" i="5"/>
  <c r="BA60" i="5"/>
  <c r="AZ60" i="5" s="1"/>
  <c r="AY345" i="5"/>
  <c r="AX345" i="5"/>
  <c r="BE62" i="5"/>
  <c r="BF62" i="5" s="1"/>
  <c r="AW266" i="5"/>
  <c r="BB266" i="5"/>
  <c r="BB28" i="5"/>
  <c r="AW28" i="5"/>
  <c r="BD42" i="5"/>
  <c r="BC42" i="5"/>
  <c r="AW440" i="5"/>
  <c r="BB440" i="5"/>
  <c r="AW78" i="5"/>
  <c r="BB78" i="5"/>
  <c r="AY209" i="5"/>
  <c r="AX209" i="5"/>
  <c r="BD189" i="5"/>
  <c r="BC189" i="5"/>
  <c r="AY268" i="5"/>
  <c r="AX268" i="5"/>
  <c r="BB347" i="5"/>
  <c r="AW347" i="5"/>
  <c r="AY261" i="5"/>
  <c r="AX261" i="5"/>
  <c r="BE262" i="5"/>
  <c r="BF262" i="5" s="1"/>
  <c r="BB413" i="5"/>
  <c r="AW413" i="5"/>
  <c r="AW416" i="5"/>
  <c r="BB416" i="5"/>
  <c r="AY129" i="5"/>
  <c r="AX129" i="5"/>
  <c r="BD316" i="5"/>
  <c r="BC316" i="5"/>
  <c r="BB115" i="5"/>
  <c r="AW115" i="5"/>
  <c r="BD81" i="5"/>
  <c r="BC81" i="5"/>
  <c r="BB83" i="5"/>
  <c r="AW83" i="5"/>
  <c r="BC313" i="5"/>
  <c r="BD313" i="5"/>
  <c r="BB295" i="5"/>
  <c r="AW295" i="5"/>
  <c r="BB376" i="5"/>
  <c r="AW376" i="5"/>
  <c r="BD213" i="5"/>
  <c r="BC213" i="5"/>
  <c r="BB215" i="5"/>
  <c r="AW215" i="5"/>
  <c r="AW342" i="5"/>
  <c r="BB342" i="5"/>
  <c r="AW415" i="5"/>
  <c r="BB415" i="5"/>
  <c r="BA43" i="5"/>
  <c r="AZ43" i="5" s="1"/>
  <c r="AY176" i="5"/>
  <c r="AX176" i="5"/>
  <c r="AY97" i="5"/>
  <c r="AX97" i="5"/>
  <c r="BB107" i="5"/>
  <c r="AW107" i="5"/>
  <c r="AW248" i="5"/>
  <c r="BB248" i="5"/>
  <c r="AY205" i="5"/>
  <c r="AX205" i="5"/>
  <c r="BD317" i="5"/>
  <c r="BC317" i="5"/>
  <c r="BE409" i="5"/>
  <c r="BF409" i="5" s="1"/>
  <c r="BB307" i="5"/>
  <c r="AW307" i="5"/>
  <c r="BB330" i="5"/>
  <c r="AW330" i="5"/>
  <c r="BB443" i="5"/>
  <c r="AW443" i="5"/>
  <c r="AY18" i="5"/>
  <c r="AX18" i="5"/>
  <c r="AW12" i="5"/>
  <c r="BB12" i="5"/>
  <c r="BD125" i="5"/>
  <c r="BC125" i="5"/>
  <c r="BA69" i="5"/>
  <c r="AZ69" i="5" s="1"/>
  <c r="BA106" i="5"/>
  <c r="AZ106" i="5" s="1"/>
  <c r="AY212" i="5"/>
  <c r="AX212" i="5"/>
  <c r="BA336" i="5"/>
  <c r="AZ336" i="5" s="1"/>
  <c r="BE357" i="5"/>
  <c r="BF357" i="5" s="1"/>
  <c r="AW422" i="5"/>
  <c r="BB422" i="5"/>
  <c r="BB290" i="5"/>
  <c r="AW290" i="5"/>
  <c r="BB380" i="5"/>
  <c r="AW380" i="5"/>
  <c r="BD145" i="5"/>
  <c r="BC145" i="5"/>
  <c r="BB239" i="5"/>
  <c r="AW239" i="5"/>
  <c r="AY193" i="5"/>
  <c r="AX193" i="5"/>
  <c r="AY165" i="5"/>
  <c r="AX165" i="5"/>
  <c r="BD245" i="5"/>
  <c r="BC245" i="5"/>
  <c r="BB199" i="5"/>
  <c r="AW199" i="5"/>
  <c r="BE264" i="5"/>
  <c r="BF264" i="5" s="1"/>
  <c r="AW314" i="5"/>
  <c r="BB314" i="5"/>
  <c r="AY169" i="5"/>
  <c r="AX169" i="5"/>
  <c r="BA441" i="5"/>
  <c r="AZ441" i="5" s="1"/>
  <c r="BB25" i="5"/>
  <c r="AW25" i="5"/>
  <c r="AW53" i="5"/>
  <c r="BB53" i="5"/>
  <c r="AW32" i="5"/>
  <c r="BB32" i="5"/>
  <c r="BA110" i="5"/>
  <c r="AZ110" i="5" s="1"/>
  <c r="BB219" i="5"/>
  <c r="AW219" i="5"/>
  <c r="BD253" i="5"/>
  <c r="BC253" i="5"/>
  <c r="AW438" i="5"/>
  <c r="BB438" i="5"/>
  <c r="BE252" i="5"/>
  <c r="BF252" i="5" s="1"/>
  <c r="BB322" i="5"/>
  <c r="AW322" i="5"/>
  <c r="BB112" i="5"/>
  <c r="AW112" i="5"/>
  <c r="AY204" i="5"/>
  <c r="AX204" i="5"/>
  <c r="AW124" i="5"/>
  <c r="BB124" i="5"/>
  <c r="AY220" i="5"/>
  <c r="AX220" i="5"/>
  <c r="AW182" i="5"/>
  <c r="BB182" i="5"/>
  <c r="BD356" i="5"/>
  <c r="BC356" i="5"/>
  <c r="BE312" i="5"/>
  <c r="BF312" i="5" s="1"/>
  <c r="AW383" i="5"/>
  <c r="BB383" i="5"/>
  <c r="BE69" i="5"/>
  <c r="BF69" i="5" s="1"/>
  <c r="BE200" i="5"/>
  <c r="BF200" i="5" s="1"/>
  <c r="BE379" i="5"/>
  <c r="BF379" i="5" s="1"/>
  <c r="AY396" i="5"/>
  <c r="AX396" i="5"/>
  <c r="AY339" i="5"/>
  <c r="AX339" i="5"/>
  <c r="AX7" i="5"/>
  <c r="AY7" i="5"/>
  <c r="AY104" i="5"/>
  <c r="AX104" i="5"/>
  <c r="BD398" i="5"/>
  <c r="BC398" i="5"/>
  <c r="BD192" i="5"/>
  <c r="BC192" i="5"/>
  <c r="BD196" i="5"/>
  <c r="BC196" i="5"/>
  <c r="AY137" i="5"/>
  <c r="AX137" i="5"/>
  <c r="BA417" i="5"/>
  <c r="AZ417" i="5" s="1"/>
  <c r="AW400" i="5"/>
  <c r="BB400" i="5"/>
  <c r="AW76" i="5"/>
  <c r="BB76" i="5"/>
  <c r="BD249" i="5"/>
  <c r="BC249" i="5"/>
  <c r="BE51" i="5"/>
  <c r="BF51" i="5" s="1"/>
  <c r="AY152" i="5"/>
  <c r="AX152" i="5"/>
  <c r="AW131" i="5"/>
  <c r="BB131" i="5"/>
  <c r="BB178" i="5"/>
  <c r="AW178" i="5"/>
  <c r="BA35" i="5"/>
  <c r="AZ35" i="5" s="1"/>
  <c r="BA403" i="5"/>
  <c r="AZ403" i="5" s="1"/>
  <c r="AY196" i="5"/>
  <c r="AX196" i="5"/>
  <c r="BD225" i="5"/>
  <c r="BC225" i="5"/>
  <c r="BD268" i="5"/>
  <c r="BC268" i="5"/>
  <c r="AW210" i="5"/>
  <c r="BB210" i="5"/>
  <c r="BB309" i="5"/>
  <c r="AW309" i="5"/>
  <c r="BD276" i="5"/>
  <c r="BC276" i="5"/>
  <c r="AY316" i="5"/>
  <c r="AX316" i="5"/>
  <c r="BE54" i="5"/>
  <c r="BF54" i="5" s="1"/>
  <c r="AY81" i="5"/>
  <c r="AX81" i="5"/>
  <c r="BB120" i="5"/>
  <c r="AW120" i="5"/>
  <c r="BC181" i="5"/>
  <c r="BD181" i="5"/>
  <c r="BB420" i="5"/>
  <c r="AW420" i="5"/>
  <c r="AW230" i="5"/>
  <c r="BB230" i="5"/>
  <c r="BE23" i="5"/>
  <c r="BF23" i="5" s="1"/>
  <c r="AY22" i="5"/>
  <c r="AX22" i="5"/>
  <c r="BD176" i="5"/>
  <c r="BC176" i="5"/>
  <c r="BB159" i="5"/>
  <c r="AW159" i="5"/>
  <c r="BB183" i="5"/>
  <c r="AW183" i="5"/>
  <c r="BB283" i="5"/>
  <c r="AW283" i="5"/>
  <c r="AY317" i="5"/>
  <c r="AX317" i="5"/>
  <c r="BA357" i="5"/>
  <c r="AZ357" i="5" s="1"/>
  <c r="AW430" i="5"/>
  <c r="BB430" i="5"/>
  <c r="AW142" i="5"/>
  <c r="BB142" i="5"/>
  <c r="BE394" i="5"/>
  <c r="BF394" i="5" s="1"/>
  <c r="BD26" i="5"/>
  <c r="BC26" i="5"/>
  <c r="AY30" i="5"/>
  <c r="AX30" i="5"/>
  <c r="AW68" i="5"/>
  <c r="BB68" i="5"/>
  <c r="BB132" i="5"/>
  <c r="AW132" i="5"/>
  <c r="BD212" i="5"/>
  <c r="BC212" i="5"/>
  <c r="BB243" i="5"/>
  <c r="AW243" i="5"/>
  <c r="BB405" i="5"/>
  <c r="AW405" i="5"/>
  <c r="BE417" i="5"/>
  <c r="BF417" i="5" s="1"/>
  <c r="AY385" i="5"/>
  <c r="AX385" i="5"/>
  <c r="AW59" i="5"/>
  <c r="BB59" i="5"/>
  <c r="AY145" i="5"/>
  <c r="AX145" i="5"/>
  <c r="AW29" i="5"/>
  <c r="BB29" i="5"/>
  <c r="AY38" i="5"/>
  <c r="AX38" i="5"/>
  <c r="BD137" i="5"/>
  <c r="BC137" i="5"/>
  <c r="AY188" i="5"/>
  <c r="AX188" i="5"/>
  <c r="BB382" i="5"/>
  <c r="AW382" i="5"/>
  <c r="BB436" i="5"/>
  <c r="AW436" i="5"/>
  <c r="AW406" i="5"/>
  <c r="BB406" i="5"/>
  <c r="AW446" i="5"/>
  <c r="BB446" i="5"/>
  <c r="AW424" i="5"/>
  <c r="BB424" i="5"/>
  <c r="BE136" i="5"/>
  <c r="BF136" i="5" s="1"/>
  <c r="BC169" i="5"/>
  <c r="BD169" i="5"/>
  <c r="AW70" i="5"/>
  <c r="BB70" i="5"/>
  <c r="BB207" i="5"/>
  <c r="AW207" i="5"/>
  <c r="BB259" i="5"/>
  <c r="AW259" i="5"/>
  <c r="AW390" i="5"/>
  <c r="BB390" i="5"/>
  <c r="BE418" i="5"/>
  <c r="BF418" i="5" s="1"/>
  <c r="AW391" i="5"/>
  <c r="BB391" i="5"/>
  <c r="BB338" i="5"/>
  <c r="AW338" i="5"/>
  <c r="BE201" i="5"/>
  <c r="BF201" i="5" s="1"/>
  <c r="BD204" i="5"/>
  <c r="BC204" i="5"/>
  <c r="AY136" i="5"/>
  <c r="AX136" i="5"/>
  <c r="BB175" i="5"/>
  <c r="AW175" i="5"/>
  <c r="BD220" i="5"/>
  <c r="BC220" i="5"/>
  <c r="AY356" i="5"/>
  <c r="AX356" i="5"/>
  <c r="BE364" i="5"/>
  <c r="BF364" i="5" s="1"/>
  <c r="AW91" i="5"/>
  <c r="BB91" i="5"/>
  <c r="BD396" i="5"/>
  <c r="BC396" i="5"/>
  <c r="BD339" i="5"/>
  <c r="BC339" i="5"/>
  <c r="BD7" i="5"/>
  <c r="BC7" i="5"/>
  <c r="BA90" i="5"/>
  <c r="AZ90" i="5" s="1"/>
  <c r="BD104" i="5"/>
  <c r="BC104" i="5"/>
  <c r="AX398" i="5"/>
  <c r="AY398" i="5"/>
  <c r="AX192" i="5"/>
  <c r="AY192" i="5"/>
  <c r="BC31" i="5" l="1"/>
  <c r="BD31" i="5"/>
  <c r="BE31" i="5" s="1"/>
  <c r="BF31" i="5" s="1"/>
  <c r="BC102" i="5"/>
  <c r="BD102" i="5"/>
  <c r="BE102" i="5" s="1"/>
  <c r="BF102" i="5" s="1"/>
  <c r="AY102" i="5"/>
  <c r="BA102" i="5" s="1"/>
  <c r="AZ102" i="5" s="1"/>
  <c r="AX102" i="5"/>
  <c r="BD427" i="5"/>
  <c r="BE427" i="5" s="1"/>
  <c r="BF427" i="5" s="1"/>
  <c r="BC427" i="5"/>
  <c r="BD173" i="5"/>
  <c r="BD402" i="5"/>
  <c r="BE402" i="5" s="1"/>
  <c r="BF402" i="5" s="1"/>
  <c r="BC402" i="5"/>
  <c r="AY402" i="5"/>
  <c r="BA402" i="5" s="1"/>
  <c r="AZ402" i="5" s="1"/>
  <c r="AX402" i="5"/>
  <c r="BC177" i="5"/>
  <c r="BD177" i="5"/>
  <c r="BE177" i="5" s="1"/>
  <c r="BF177" i="5" s="1"/>
  <c r="AY429" i="5"/>
  <c r="BD154" i="5"/>
  <c r="BE154" i="5" s="1"/>
  <c r="BF154" i="5" s="1"/>
  <c r="BC154" i="5"/>
  <c r="AY39" i="5"/>
  <c r="BA39" i="5" s="1"/>
  <c r="AZ39" i="5" s="1"/>
  <c r="AX39" i="5"/>
  <c r="BC61" i="5"/>
  <c r="BD61" i="5"/>
  <c r="BE61" i="5" s="1"/>
  <c r="BF61" i="5" s="1"/>
  <c r="AY426" i="5"/>
  <c r="BA426" i="5" s="1"/>
  <c r="AZ426" i="5" s="1"/>
  <c r="AX426" i="5"/>
  <c r="AY154" i="5"/>
  <c r="BA154" i="5" s="1"/>
  <c r="AZ154" i="5" s="1"/>
  <c r="AX154" i="5"/>
  <c r="AX377" i="5"/>
  <c r="AY377" i="5"/>
  <c r="BA377" i="5" s="1"/>
  <c r="AZ377" i="5" s="1"/>
  <c r="AY61" i="5"/>
  <c r="BA61" i="5" s="1"/>
  <c r="AZ61" i="5" s="1"/>
  <c r="AX61" i="5"/>
  <c r="BD426" i="5"/>
  <c r="BE426" i="5" s="1"/>
  <c r="BF426" i="5" s="1"/>
  <c r="BC426" i="5"/>
  <c r="BD146" i="5"/>
  <c r="BE146" i="5" s="1"/>
  <c r="BF146" i="5" s="1"/>
  <c r="BC146" i="5"/>
  <c r="BC377" i="5"/>
  <c r="BD377" i="5"/>
  <c r="BE377" i="5" s="1"/>
  <c r="BF377" i="5" s="1"/>
  <c r="BC304" i="5"/>
  <c r="BD304" i="5"/>
  <c r="BE304" i="5" s="1"/>
  <c r="BF304" i="5" s="1"/>
  <c r="BD244" i="5"/>
  <c r="BE244" i="5" s="1"/>
  <c r="BF244" i="5" s="1"/>
  <c r="BC244" i="5"/>
  <c r="AY177" i="5"/>
  <c r="BA177" i="5" s="1"/>
  <c r="AZ177" i="5" s="1"/>
  <c r="AX177" i="5"/>
  <c r="BC39" i="5"/>
  <c r="BD39" i="5"/>
  <c r="BE39" i="5" s="1"/>
  <c r="BF39" i="5" s="1"/>
  <c r="AX146" i="5"/>
  <c r="AY146" i="5"/>
  <c r="BA146" i="5" s="1"/>
  <c r="AZ146" i="5" s="1"/>
  <c r="AX244" i="5"/>
  <c r="AY244" i="5"/>
  <c r="BA244" i="5" s="1"/>
  <c r="AZ244" i="5" s="1"/>
  <c r="AY425" i="5"/>
  <c r="BA425" i="5" s="1"/>
  <c r="AZ425" i="5" s="1"/>
  <c r="AX425" i="5"/>
  <c r="BC425" i="5"/>
  <c r="BD425" i="5"/>
  <c r="BE425" i="5" s="1"/>
  <c r="BF425" i="5" s="1"/>
  <c r="AY214" i="5"/>
  <c r="BA214" i="5" s="1"/>
  <c r="AZ214" i="5" s="1"/>
  <c r="AX214" i="5"/>
  <c r="BC214" i="5"/>
  <c r="BD214" i="5"/>
  <c r="BE214" i="5" s="1"/>
  <c r="BF214" i="5" s="1"/>
  <c r="BC353" i="5"/>
  <c r="BD353" i="5"/>
  <c r="BE353" i="5" s="1"/>
  <c r="BF353" i="5" s="1"/>
  <c r="BD434" i="5"/>
  <c r="BE434" i="5" s="1"/>
  <c r="BF434" i="5" s="1"/>
  <c r="BC434" i="5"/>
  <c r="BC15" i="5"/>
  <c r="BD15" i="5"/>
  <c r="BE15" i="5" s="1"/>
  <c r="BF15" i="5" s="1"/>
  <c r="AY185" i="5"/>
  <c r="BA185" i="5" s="1"/>
  <c r="AZ185" i="5" s="1"/>
  <c r="AX185" i="5"/>
  <c r="AY15" i="5"/>
  <c r="BA15" i="5" s="1"/>
  <c r="AZ15" i="5" s="1"/>
  <c r="AX15" i="5"/>
  <c r="BC185" i="5"/>
  <c r="BD185" i="5"/>
  <c r="BE435" i="5"/>
  <c r="BF435" i="5" s="1"/>
  <c r="BA411" i="5"/>
  <c r="AZ411" i="5" s="1"/>
  <c r="BA435" i="5"/>
  <c r="AZ435" i="5" s="1"/>
  <c r="BA289" i="5"/>
  <c r="AZ289" i="5" s="1"/>
  <c r="BD328" i="5"/>
  <c r="BE328" i="5" s="1"/>
  <c r="BF328" i="5" s="1"/>
  <c r="BC328" i="5"/>
  <c r="AY328" i="5"/>
  <c r="BA328" i="5" s="1"/>
  <c r="AZ328" i="5" s="1"/>
  <c r="AX328" i="5"/>
  <c r="BA281" i="5"/>
  <c r="AZ281" i="5" s="1"/>
  <c r="AY54" i="5"/>
  <c r="AX54" i="5"/>
  <c r="AY353" i="5"/>
  <c r="BA353" i="5" s="1"/>
  <c r="AZ353" i="5" s="1"/>
  <c r="AX353" i="5"/>
  <c r="AY434" i="5"/>
  <c r="BA434" i="5" s="1"/>
  <c r="AZ434" i="5" s="1"/>
  <c r="AX434" i="5"/>
  <c r="BE85" i="5"/>
  <c r="BF85" i="5" s="1"/>
  <c r="BA133" i="5"/>
  <c r="AZ133" i="5" s="1"/>
  <c r="AY207" i="5"/>
  <c r="AX207" i="5"/>
  <c r="AY436" i="5"/>
  <c r="AX436" i="5"/>
  <c r="AX178" i="5"/>
  <c r="AY178" i="5"/>
  <c r="BD76" i="5"/>
  <c r="BC76" i="5"/>
  <c r="AY112" i="5"/>
  <c r="AX112" i="5"/>
  <c r="AY215" i="5"/>
  <c r="AX215" i="5"/>
  <c r="AY4" i="5"/>
  <c r="AX4" i="5"/>
  <c r="BD71" i="5"/>
  <c r="BC71" i="5"/>
  <c r="BD310" i="5"/>
  <c r="BC310" i="5"/>
  <c r="AX37" i="5"/>
  <c r="AY37" i="5"/>
  <c r="BD99" i="5"/>
  <c r="BC99" i="5"/>
  <c r="AX235" i="5"/>
  <c r="AY235" i="5"/>
  <c r="AX384" i="5"/>
  <c r="AY384" i="5"/>
  <c r="AX445" i="5"/>
  <c r="AY445" i="5"/>
  <c r="AX334" i="5"/>
  <c r="AY334" i="5"/>
  <c r="AX108" i="5"/>
  <c r="AY108" i="5"/>
  <c r="AX278" i="5"/>
  <c r="AY278" i="5"/>
  <c r="AY362" i="5"/>
  <c r="AX362" i="5"/>
  <c r="BE345" i="5"/>
  <c r="BF345" i="5" s="1"/>
  <c r="BD9" i="5"/>
  <c r="BC9" i="5"/>
  <c r="BD21" i="5"/>
  <c r="BC21" i="5"/>
  <c r="AY446" i="5"/>
  <c r="AX446" i="5"/>
  <c r="BA145" i="5"/>
  <c r="AZ145" i="5" s="1"/>
  <c r="BE26" i="5"/>
  <c r="BF26" i="5" s="1"/>
  <c r="AX131" i="5"/>
  <c r="AY131" i="5"/>
  <c r="AX182" i="5"/>
  <c r="AY182" i="5"/>
  <c r="AX53" i="5"/>
  <c r="AY53" i="5"/>
  <c r="BA253" i="5"/>
  <c r="AZ253" i="5" s="1"/>
  <c r="BE18" i="5"/>
  <c r="BF18" i="5" s="1"/>
  <c r="AY94" i="5"/>
  <c r="AX94" i="5"/>
  <c r="BA109" i="5"/>
  <c r="AZ109" i="5" s="1"/>
  <c r="BA10" i="5"/>
  <c r="AZ10" i="5" s="1"/>
  <c r="BC254" i="5"/>
  <c r="BD254" i="5"/>
  <c r="BD171" i="5"/>
  <c r="BC171" i="5"/>
  <c r="BC222" i="5"/>
  <c r="BD222" i="5"/>
  <c r="BD445" i="5"/>
  <c r="BC445" i="5"/>
  <c r="BE373" i="5"/>
  <c r="BF373" i="5" s="1"/>
  <c r="BA429" i="5"/>
  <c r="AZ429" i="5" s="1"/>
  <c r="BE333" i="5"/>
  <c r="BF333" i="5" s="1"/>
  <c r="BE35" i="5"/>
  <c r="BF35" i="5" s="1"/>
  <c r="BA348" i="5"/>
  <c r="AZ348" i="5" s="1"/>
  <c r="AX139" i="5"/>
  <c r="AY139" i="5"/>
  <c r="AX9" i="5"/>
  <c r="AY9" i="5"/>
  <c r="BE324" i="5"/>
  <c r="BF324" i="5" s="1"/>
  <c r="BA192" i="5"/>
  <c r="AZ192" i="5" s="1"/>
  <c r="BD91" i="5"/>
  <c r="BC91" i="5"/>
  <c r="BC70" i="5"/>
  <c r="BD70" i="5"/>
  <c r="BD406" i="5"/>
  <c r="BC406" i="5"/>
  <c r="AX382" i="5"/>
  <c r="AY382" i="5"/>
  <c r="BD29" i="5"/>
  <c r="BC29" i="5"/>
  <c r="BD59" i="5"/>
  <c r="BC59" i="5"/>
  <c r="AY132" i="5"/>
  <c r="AX132" i="5"/>
  <c r="AY183" i="5"/>
  <c r="AX183" i="5"/>
  <c r="AY420" i="5"/>
  <c r="AX420" i="5"/>
  <c r="AY309" i="5"/>
  <c r="AX309" i="5"/>
  <c r="BD400" i="5"/>
  <c r="BC400" i="5"/>
  <c r="BA7" i="5"/>
  <c r="AZ7" i="5" s="1"/>
  <c r="AX219" i="5"/>
  <c r="AY219" i="5"/>
  <c r="AX25" i="5"/>
  <c r="AY25" i="5"/>
  <c r="BD314" i="5"/>
  <c r="BC314" i="5"/>
  <c r="AY199" i="5"/>
  <c r="AX199" i="5"/>
  <c r="AY290" i="5"/>
  <c r="AX290" i="5"/>
  <c r="AX83" i="5"/>
  <c r="AY83" i="5"/>
  <c r="BD440" i="5"/>
  <c r="BC440" i="5"/>
  <c r="BD156" i="5"/>
  <c r="BC156" i="5"/>
  <c r="BD258" i="5"/>
  <c r="BC258" i="5"/>
  <c r="AY298" i="5"/>
  <c r="AX298" i="5"/>
  <c r="BD240" i="5"/>
  <c r="BC240" i="5"/>
  <c r="BD375" i="5"/>
  <c r="BC375" i="5"/>
  <c r="BD335" i="5"/>
  <c r="BC335" i="5"/>
  <c r="AY404" i="5"/>
  <c r="AX404" i="5"/>
  <c r="AY119" i="5"/>
  <c r="AX119" i="5"/>
  <c r="BD63" i="5"/>
  <c r="BC63" i="5"/>
  <c r="AY315" i="5"/>
  <c r="AX315" i="5"/>
  <c r="BC118" i="5"/>
  <c r="BD118" i="5"/>
  <c r="BD52" i="5"/>
  <c r="BC52" i="5"/>
  <c r="AY395" i="5"/>
  <c r="AX395" i="5"/>
  <c r="BD392" i="5"/>
  <c r="BC392" i="5"/>
  <c r="BD232" i="5"/>
  <c r="BC232" i="5"/>
  <c r="BD100" i="5"/>
  <c r="BC100" i="5"/>
  <c r="BD155" i="5"/>
  <c r="BC155" i="5"/>
  <c r="BE401" i="5"/>
  <c r="BF401" i="5" s="1"/>
  <c r="BC150" i="5"/>
  <c r="BD150" i="5"/>
  <c r="AY363" i="5"/>
  <c r="AX363" i="5"/>
  <c r="BE110" i="5"/>
  <c r="BF110" i="5" s="1"/>
  <c r="AY16" i="5"/>
  <c r="AX16" i="5"/>
  <c r="AY255" i="5"/>
  <c r="AX255" i="5"/>
  <c r="AY431" i="5"/>
  <c r="AX431" i="5"/>
  <c r="AY206" i="5"/>
  <c r="AX206" i="5"/>
  <c r="AY167" i="5"/>
  <c r="AX167" i="5"/>
  <c r="AY428" i="5"/>
  <c r="AX428" i="5"/>
  <c r="BE10" i="5"/>
  <c r="BF10" i="5" s="1"/>
  <c r="BD439" i="5"/>
  <c r="BC439" i="5"/>
  <c r="BE173" i="5"/>
  <c r="BF173" i="5" s="1"/>
  <c r="BA13" i="5"/>
  <c r="AZ13" i="5" s="1"/>
  <c r="AX203" i="5"/>
  <c r="AY203" i="5"/>
  <c r="BD84" i="5"/>
  <c r="BC84" i="5"/>
  <c r="BD45" i="5"/>
  <c r="BC45" i="5"/>
  <c r="AY246" i="5"/>
  <c r="AX246" i="5"/>
  <c r="BC87" i="5"/>
  <c r="BD87" i="5"/>
  <c r="BD359" i="5"/>
  <c r="BC359" i="5"/>
  <c r="AY279" i="5"/>
  <c r="AX279" i="5"/>
  <c r="BE55" i="5"/>
  <c r="BF55" i="5" s="1"/>
  <c r="BC211" i="5"/>
  <c r="BD211" i="5"/>
  <c r="BD256" i="5"/>
  <c r="BC256" i="5"/>
  <c r="AX187" i="5"/>
  <c r="AY187" i="5"/>
  <c r="BD351" i="5"/>
  <c r="BC351" i="5"/>
  <c r="AY263" i="5"/>
  <c r="AX263" i="5"/>
  <c r="BD174" i="5"/>
  <c r="BC174" i="5"/>
  <c r="BD40" i="5"/>
  <c r="BC40" i="5"/>
  <c r="BD367" i="5"/>
  <c r="BC367" i="5"/>
  <c r="BD391" i="5"/>
  <c r="BC391" i="5"/>
  <c r="AY239" i="5"/>
  <c r="AX239" i="5"/>
  <c r="BE193" i="5"/>
  <c r="BF193" i="5" s="1"/>
  <c r="BC94" i="5"/>
  <c r="BD94" i="5"/>
  <c r="AY222" i="5"/>
  <c r="AX222" i="5"/>
  <c r="AY103" i="5"/>
  <c r="AX103" i="5"/>
  <c r="BE212" i="5"/>
  <c r="BF212" i="5" s="1"/>
  <c r="BA22" i="5"/>
  <c r="AZ22" i="5" s="1"/>
  <c r="BA339" i="5"/>
  <c r="AZ339" i="5" s="1"/>
  <c r="BA193" i="5"/>
  <c r="AZ193" i="5" s="1"/>
  <c r="BE316" i="5"/>
  <c r="BF316" i="5" s="1"/>
  <c r="BE308" i="5"/>
  <c r="BF308" i="5" s="1"/>
  <c r="BD163" i="5"/>
  <c r="BC163" i="5"/>
  <c r="BE57" i="5"/>
  <c r="BF57" i="5" s="1"/>
  <c r="BE197" i="5"/>
  <c r="BF197" i="5" s="1"/>
  <c r="BD278" i="5"/>
  <c r="BC278" i="5"/>
  <c r="BD362" i="5"/>
  <c r="BC362" i="5"/>
  <c r="BA160" i="5"/>
  <c r="AZ160" i="5" s="1"/>
  <c r="BA356" i="5"/>
  <c r="AZ356" i="5" s="1"/>
  <c r="AY70" i="5"/>
  <c r="AX70" i="5"/>
  <c r="AX406" i="5"/>
  <c r="AY406" i="5"/>
  <c r="BD382" i="5"/>
  <c r="BC382" i="5"/>
  <c r="AX29" i="5"/>
  <c r="AY29" i="5"/>
  <c r="AY59" i="5"/>
  <c r="AX59" i="5"/>
  <c r="BD132" i="5"/>
  <c r="BC132" i="5"/>
  <c r="BD183" i="5"/>
  <c r="BC183" i="5"/>
  <c r="BD420" i="5"/>
  <c r="BC420" i="5"/>
  <c r="BA81" i="5"/>
  <c r="AZ81" i="5" s="1"/>
  <c r="BA316" i="5"/>
  <c r="AZ316" i="5" s="1"/>
  <c r="BD309" i="5"/>
  <c r="BC309" i="5"/>
  <c r="BA196" i="5"/>
  <c r="AZ196" i="5" s="1"/>
  <c r="AX400" i="5"/>
  <c r="AY400" i="5"/>
  <c r="BA137" i="5"/>
  <c r="AZ137" i="5" s="1"/>
  <c r="BE196" i="5"/>
  <c r="BF196" i="5" s="1"/>
  <c r="BA104" i="5"/>
  <c r="AZ104" i="5" s="1"/>
  <c r="BA220" i="5"/>
  <c r="AZ220" i="5" s="1"/>
  <c r="BC219" i="5"/>
  <c r="BD219" i="5"/>
  <c r="BD25" i="5"/>
  <c r="BC25" i="5"/>
  <c r="AY314" i="5"/>
  <c r="AX314" i="5"/>
  <c r="BD199" i="5"/>
  <c r="BC199" i="5"/>
  <c r="BE145" i="5"/>
  <c r="BF145" i="5" s="1"/>
  <c r="BD290" i="5"/>
  <c r="BC290" i="5"/>
  <c r="BA97" i="5"/>
  <c r="AZ97" i="5" s="1"/>
  <c r="BE213" i="5"/>
  <c r="BF213" i="5" s="1"/>
  <c r="BD83" i="5"/>
  <c r="BC83" i="5"/>
  <c r="BA129" i="5"/>
  <c r="AZ129" i="5" s="1"/>
  <c r="BE189" i="5"/>
  <c r="BF189" i="5" s="1"/>
  <c r="AY440" i="5"/>
  <c r="AX440" i="5"/>
  <c r="AY156" i="5"/>
  <c r="AX156" i="5"/>
  <c r="AY258" i="5"/>
  <c r="AX258" i="5"/>
  <c r="BE325" i="5"/>
  <c r="BF325" i="5" s="1"/>
  <c r="BE331" i="5"/>
  <c r="BF331" i="5" s="1"/>
  <c r="BE275" i="5"/>
  <c r="BF275" i="5" s="1"/>
  <c r="BC298" i="5"/>
  <c r="BD298" i="5"/>
  <c r="AX240" i="5"/>
  <c r="AY240" i="5"/>
  <c r="BA285" i="5"/>
  <c r="AZ285" i="5" s="1"/>
  <c r="BA233" i="5"/>
  <c r="AZ233" i="5" s="1"/>
  <c r="AY375" i="5"/>
  <c r="AX375" i="5"/>
  <c r="AY335" i="5"/>
  <c r="AX335" i="5"/>
  <c r="BA241" i="5"/>
  <c r="AZ241" i="5" s="1"/>
  <c r="BE205" i="5"/>
  <c r="BF205" i="5" s="1"/>
  <c r="BD404" i="5"/>
  <c r="BC404" i="5"/>
  <c r="BD119" i="5"/>
  <c r="BC119" i="5"/>
  <c r="AX63" i="5"/>
  <c r="AY63" i="5"/>
  <c r="BE129" i="5"/>
  <c r="BF129" i="5" s="1"/>
  <c r="BD315" i="5"/>
  <c r="BC315" i="5"/>
  <c r="AY118" i="5"/>
  <c r="AX118" i="5"/>
  <c r="AX52" i="5"/>
  <c r="AY52" i="5"/>
  <c r="BA161" i="5"/>
  <c r="AZ161" i="5" s="1"/>
  <c r="BE293" i="5"/>
  <c r="BF293" i="5" s="1"/>
  <c r="BE349" i="5"/>
  <c r="BF349" i="5" s="1"/>
  <c r="BA96" i="5"/>
  <c r="AZ96" i="5" s="1"/>
  <c r="BA371" i="5"/>
  <c r="AZ371" i="5" s="1"/>
  <c r="BA323" i="5"/>
  <c r="AZ323" i="5" s="1"/>
  <c r="BD395" i="5"/>
  <c r="BC395" i="5"/>
  <c r="BA265" i="5"/>
  <c r="AZ265" i="5" s="1"/>
  <c r="AX392" i="5"/>
  <c r="AY392" i="5"/>
  <c r="AX232" i="5"/>
  <c r="AY232" i="5"/>
  <c r="AY100" i="5"/>
  <c r="AX100" i="5"/>
  <c r="AX155" i="5"/>
  <c r="AY155" i="5"/>
  <c r="BE300" i="5"/>
  <c r="BF300" i="5" s="1"/>
  <c r="AY150" i="5"/>
  <c r="AX150" i="5"/>
  <c r="BE237" i="5"/>
  <c r="BF237" i="5" s="1"/>
  <c r="BD363" i="5"/>
  <c r="BC363" i="5"/>
  <c r="BA173" i="5"/>
  <c r="AZ173" i="5" s="1"/>
  <c r="BE292" i="5"/>
  <c r="BF292" i="5" s="1"/>
  <c r="BD16" i="5"/>
  <c r="BC16" i="5"/>
  <c r="BE267" i="5"/>
  <c r="BF267" i="5" s="1"/>
  <c r="BD255" i="5"/>
  <c r="BC255" i="5"/>
  <c r="BA337" i="5"/>
  <c r="AZ337" i="5" s="1"/>
  <c r="BE236" i="5"/>
  <c r="BF236" i="5" s="1"/>
  <c r="BE172" i="5"/>
  <c r="BF172" i="5" s="1"/>
  <c r="BD431" i="5"/>
  <c r="BC431" i="5"/>
  <c r="BA65" i="5"/>
  <c r="AZ65" i="5" s="1"/>
  <c r="BA401" i="5"/>
  <c r="AZ401" i="5" s="1"/>
  <c r="BC206" i="5"/>
  <c r="BD206" i="5"/>
  <c r="BE365" i="5"/>
  <c r="BF365" i="5" s="1"/>
  <c r="BD167" i="5"/>
  <c r="BC167" i="5"/>
  <c r="BD428" i="5"/>
  <c r="BC428" i="5"/>
  <c r="BA329" i="5"/>
  <c r="AZ329" i="5" s="1"/>
  <c r="AY439" i="5"/>
  <c r="AX439" i="5"/>
  <c r="BC203" i="5"/>
  <c r="BD203" i="5"/>
  <c r="BA267" i="5"/>
  <c r="AZ267" i="5" s="1"/>
  <c r="AY84" i="5"/>
  <c r="AX84" i="5"/>
  <c r="AX45" i="5"/>
  <c r="AY45" i="5"/>
  <c r="BA172" i="5"/>
  <c r="AZ172" i="5" s="1"/>
  <c r="BA284" i="5"/>
  <c r="AZ284" i="5" s="1"/>
  <c r="BC246" i="5"/>
  <c r="BD246" i="5"/>
  <c r="BA305" i="5"/>
  <c r="AZ305" i="5" s="1"/>
  <c r="BA34" i="5"/>
  <c r="AZ34" i="5" s="1"/>
  <c r="BE217" i="5"/>
  <c r="BF217" i="5" s="1"/>
  <c r="AY87" i="5"/>
  <c r="AX87" i="5"/>
  <c r="BE141" i="5"/>
  <c r="BF141" i="5" s="1"/>
  <c r="AY359" i="5"/>
  <c r="AX359" i="5"/>
  <c r="BD279" i="5"/>
  <c r="BC279" i="5"/>
  <c r="BA325" i="5"/>
  <c r="AZ325" i="5" s="1"/>
  <c r="BE388" i="5"/>
  <c r="BF388" i="5" s="1"/>
  <c r="BE221" i="5"/>
  <c r="BF221" i="5" s="1"/>
  <c r="AX211" i="5"/>
  <c r="AY211" i="5"/>
  <c r="BE160" i="5"/>
  <c r="BF160" i="5" s="1"/>
  <c r="BE284" i="5"/>
  <c r="BF284" i="5" s="1"/>
  <c r="AX256" i="5"/>
  <c r="AY256" i="5"/>
  <c r="BC187" i="5"/>
  <c r="BD187" i="5"/>
  <c r="AY351" i="5"/>
  <c r="AX351" i="5"/>
  <c r="BD263" i="5"/>
  <c r="BC263" i="5"/>
  <c r="BE320" i="5"/>
  <c r="BF320" i="5" s="1"/>
  <c r="BA308" i="5"/>
  <c r="AZ308" i="5" s="1"/>
  <c r="BA197" i="5"/>
  <c r="AZ197" i="5" s="1"/>
  <c r="AX174" i="5"/>
  <c r="AY174" i="5"/>
  <c r="AY40" i="5"/>
  <c r="AX40" i="5"/>
  <c r="AY367" i="5"/>
  <c r="AX367" i="5"/>
  <c r="AY120" i="5"/>
  <c r="AX120" i="5"/>
  <c r="AY299" i="5"/>
  <c r="AX299" i="5"/>
  <c r="BC251" i="5"/>
  <c r="BD251" i="5"/>
  <c r="BD311" i="5"/>
  <c r="BC311" i="5"/>
  <c r="BE386" i="5"/>
  <c r="BF386" i="5" s="1"/>
  <c r="BE269" i="5"/>
  <c r="BF269" i="5" s="1"/>
  <c r="AY387" i="5"/>
  <c r="AX387" i="5"/>
  <c r="AY301" i="5"/>
  <c r="AX301" i="5"/>
  <c r="BA38" i="5"/>
  <c r="AZ38" i="5" s="1"/>
  <c r="AX76" i="5"/>
  <c r="AY76" i="5"/>
  <c r="BD380" i="5"/>
  <c r="BC380" i="5"/>
  <c r="BE317" i="5"/>
  <c r="BF317" i="5" s="1"/>
  <c r="BD299" i="5"/>
  <c r="BC299" i="5"/>
  <c r="AX251" i="5"/>
  <c r="AY251" i="5"/>
  <c r="BE168" i="5"/>
  <c r="BF168" i="5" s="1"/>
  <c r="AX71" i="5"/>
  <c r="AY71" i="5"/>
  <c r="AX294" i="5"/>
  <c r="AY294" i="5"/>
  <c r="BE233" i="5"/>
  <c r="BF233" i="5" s="1"/>
  <c r="BE241" i="5"/>
  <c r="BF241" i="5" s="1"/>
  <c r="BC235" i="5"/>
  <c r="BD235" i="5"/>
  <c r="BA269" i="5"/>
  <c r="AZ269" i="5" s="1"/>
  <c r="BE257" i="5"/>
  <c r="BF257" i="5" s="1"/>
  <c r="BD423" i="5"/>
  <c r="BC423" i="5"/>
  <c r="BD387" i="5"/>
  <c r="BC387" i="5"/>
  <c r="BD282" i="5"/>
  <c r="BC282" i="5"/>
  <c r="AY143" i="5"/>
  <c r="AX143" i="5"/>
  <c r="BE180" i="5"/>
  <c r="BF180" i="5" s="1"/>
  <c r="BE14" i="5"/>
  <c r="BF14" i="5" s="1"/>
  <c r="AX5" i="5"/>
  <c r="AY5" i="5"/>
  <c r="AY86" i="5"/>
  <c r="AX86" i="5"/>
  <c r="BE34" i="5"/>
  <c r="BF34" i="5" s="1"/>
  <c r="AX91" i="5"/>
  <c r="AY91" i="5"/>
  <c r="BE204" i="5"/>
  <c r="BF204" i="5" s="1"/>
  <c r="AY338" i="5"/>
  <c r="AX338" i="5"/>
  <c r="BD390" i="5"/>
  <c r="BC390" i="5"/>
  <c r="BD424" i="5"/>
  <c r="BC424" i="5"/>
  <c r="AY405" i="5"/>
  <c r="AX405" i="5"/>
  <c r="BD68" i="5"/>
  <c r="BC68" i="5"/>
  <c r="AY159" i="5"/>
  <c r="AX159" i="5"/>
  <c r="BC230" i="5"/>
  <c r="BD230" i="5"/>
  <c r="BD210" i="5"/>
  <c r="BC210" i="5"/>
  <c r="BD124" i="5"/>
  <c r="BC124" i="5"/>
  <c r="AY322" i="5"/>
  <c r="AX322" i="5"/>
  <c r="BD422" i="5"/>
  <c r="BC422" i="5"/>
  <c r="AY307" i="5"/>
  <c r="AX307" i="5"/>
  <c r="BD415" i="5"/>
  <c r="BC415" i="5"/>
  <c r="AY376" i="5"/>
  <c r="AX376" i="5"/>
  <c r="BD416" i="5"/>
  <c r="BC416" i="5"/>
  <c r="BD266" i="5"/>
  <c r="BC266" i="5"/>
  <c r="AX186" i="5"/>
  <c r="AY186" i="5"/>
  <c r="BE321" i="5"/>
  <c r="BF321" i="5" s="1"/>
  <c r="AY412" i="5"/>
  <c r="AX412" i="5"/>
  <c r="BE369" i="5"/>
  <c r="BF369" i="5" s="1"/>
  <c r="BD242" i="5"/>
  <c r="BC242" i="5"/>
  <c r="BC195" i="5"/>
  <c r="BD195" i="5"/>
  <c r="AX58" i="5"/>
  <c r="AY58" i="5"/>
  <c r="AX36" i="5"/>
  <c r="AY36" i="5"/>
  <c r="AY291" i="5"/>
  <c r="AX291" i="5"/>
  <c r="AX216" i="5"/>
  <c r="AY216" i="5"/>
  <c r="AX17" i="5"/>
  <c r="AY17" i="5"/>
  <c r="BD127" i="5"/>
  <c r="BC127" i="5"/>
  <c r="BD271" i="5"/>
  <c r="BC271" i="5"/>
  <c r="BD270" i="5"/>
  <c r="BC270" i="5"/>
  <c r="AX33" i="5"/>
  <c r="AY33" i="5"/>
  <c r="BE329" i="5"/>
  <c r="BF329" i="5" s="1"/>
  <c r="AY346" i="5"/>
  <c r="AX346" i="5"/>
  <c r="BE161" i="5"/>
  <c r="BF161" i="5" s="1"/>
  <c r="AY79" i="5"/>
  <c r="AX79" i="5"/>
  <c r="AY274" i="5"/>
  <c r="AX274" i="5"/>
  <c r="BD111" i="5"/>
  <c r="BC111" i="5"/>
  <c r="AY372" i="5"/>
  <c r="AX372" i="5"/>
  <c r="BE305" i="5"/>
  <c r="BF305" i="5" s="1"/>
  <c r="BD432" i="5"/>
  <c r="BC432" i="5"/>
  <c r="AY247" i="5"/>
  <c r="AX247" i="5"/>
  <c r="AY24" i="5"/>
  <c r="AX24" i="5"/>
  <c r="AY437" i="5"/>
  <c r="AX437" i="5"/>
  <c r="BE393" i="5"/>
  <c r="BF393" i="5" s="1"/>
  <c r="BD287" i="5"/>
  <c r="BC287" i="5"/>
  <c r="BD147" i="5"/>
  <c r="BC147" i="5"/>
  <c r="BD358" i="5"/>
  <c r="BC358" i="5"/>
  <c r="BC227" i="5"/>
  <c r="BD227" i="5"/>
  <c r="BE370" i="5"/>
  <c r="BF370" i="5" s="1"/>
  <c r="AY399" i="5"/>
  <c r="AX399" i="5"/>
  <c r="AY140" i="5"/>
  <c r="AX140" i="5"/>
  <c r="BD350" i="5"/>
  <c r="BC350" i="5"/>
  <c r="BD250" i="5"/>
  <c r="BC250" i="5"/>
  <c r="BD170" i="5"/>
  <c r="BC170" i="5"/>
  <c r="BD194" i="5"/>
  <c r="BC194" i="5"/>
  <c r="BD123" i="5"/>
  <c r="BC123" i="5"/>
  <c r="AY421" i="5"/>
  <c r="AX421" i="5"/>
  <c r="BD319" i="5"/>
  <c r="BC319" i="5"/>
  <c r="AY151" i="5"/>
  <c r="AX151" i="5"/>
  <c r="BA200" i="5"/>
  <c r="AZ200" i="5" s="1"/>
  <c r="BD75" i="5"/>
  <c r="BC75" i="5"/>
  <c r="AY283" i="5"/>
  <c r="AX283" i="5"/>
  <c r="BD383" i="5"/>
  <c r="BC383" i="5"/>
  <c r="AX107" i="5"/>
  <c r="AY107" i="5"/>
  <c r="BD135" i="5"/>
  <c r="BC135" i="5"/>
  <c r="AY423" i="5"/>
  <c r="AX423" i="5"/>
  <c r="BD143" i="5"/>
  <c r="BC143" i="5"/>
  <c r="BD318" i="5"/>
  <c r="BC318" i="5"/>
  <c r="AY391" i="5"/>
  <c r="AX391" i="5"/>
  <c r="BD283" i="5"/>
  <c r="BC283" i="5"/>
  <c r="BE276" i="5"/>
  <c r="BF276" i="5" s="1"/>
  <c r="BA18" i="5"/>
  <c r="AZ18" i="5" s="1"/>
  <c r="BD37" i="5"/>
  <c r="BC37" i="5"/>
  <c r="BA332" i="5"/>
  <c r="AZ332" i="5" s="1"/>
  <c r="BA236" i="5"/>
  <c r="AZ236" i="5" s="1"/>
  <c r="BA365" i="5"/>
  <c r="AZ365" i="5" s="1"/>
  <c r="BA101" i="5"/>
  <c r="AZ101" i="5" s="1"/>
  <c r="BE104" i="5"/>
  <c r="BF104" i="5" s="1"/>
  <c r="BD338" i="5"/>
  <c r="BC338" i="5"/>
  <c r="AY424" i="5"/>
  <c r="AX424" i="5"/>
  <c r="BA188" i="5"/>
  <c r="AZ188" i="5" s="1"/>
  <c r="BD405" i="5"/>
  <c r="BC405" i="5"/>
  <c r="AY68" i="5"/>
  <c r="AX68" i="5"/>
  <c r="BD159" i="5"/>
  <c r="BC159" i="5"/>
  <c r="AY230" i="5"/>
  <c r="AX230" i="5"/>
  <c r="AY210" i="5"/>
  <c r="AX210" i="5"/>
  <c r="BE398" i="5"/>
  <c r="BF398" i="5" s="1"/>
  <c r="BA396" i="5"/>
  <c r="AZ396" i="5" s="1"/>
  <c r="BE356" i="5"/>
  <c r="BF356" i="5" s="1"/>
  <c r="AY124" i="5"/>
  <c r="AX124" i="5"/>
  <c r="BD322" i="5"/>
  <c r="BC322" i="5"/>
  <c r="BE245" i="5"/>
  <c r="BF245" i="5" s="1"/>
  <c r="AX422" i="5"/>
  <c r="AY422" i="5"/>
  <c r="BE125" i="5"/>
  <c r="BF125" i="5" s="1"/>
  <c r="BD307" i="5"/>
  <c r="BC307" i="5"/>
  <c r="BA205" i="5"/>
  <c r="AZ205" i="5" s="1"/>
  <c r="BA176" i="5"/>
  <c r="AZ176" i="5" s="1"/>
  <c r="AY415" i="5"/>
  <c r="AX415" i="5"/>
  <c r="BD376" i="5"/>
  <c r="BC376" i="5"/>
  <c r="BE81" i="5"/>
  <c r="BF81" i="5" s="1"/>
  <c r="AY416" i="5"/>
  <c r="AX416" i="5"/>
  <c r="BA261" i="5"/>
  <c r="AZ261" i="5" s="1"/>
  <c r="BA209" i="5"/>
  <c r="AZ209" i="5" s="1"/>
  <c r="BE42" i="5"/>
  <c r="BF42" i="5" s="1"/>
  <c r="AX266" i="5"/>
  <c r="AY266" i="5"/>
  <c r="BD186" i="5"/>
  <c r="BC186" i="5"/>
  <c r="BE90" i="5"/>
  <c r="BF90" i="5" s="1"/>
  <c r="BD412" i="5"/>
  <c r="BC412" i="5"/>
  <c r="BA245" i="5"/>
  <c r="AZ245" i="5" s="1"/>
  <c r="AY242" i="5"/>
  <c r="AX242" i="5"/>
  <c r="BA300" i="5"/>
  <c r="AZ300" i="5" s="1"/>
  <c r="AX195" i="5"/>
  <c r="AY195" i="5"/>
  <c r="BC58" i="5"/>
  <c r="BD58" i="5"/>
  <c r="BA364" i="5"/>
  <c r="AZ364" i="5" s="1"/>
  <c r="BA237" i="5"/>
  <c r="AZ237" i="5" s="1"/>
  <c r="BC36" i="5"/>
  <c r="BD36" i="5"/>
  <c r="BD291" i="5"/>
  <c r="BC291" i="5"/>
  <c r="BD216" i="5"/>
  <c r="BC216" i="5"/>
  <c r="BE11" i="5"/>
  <c r="BF11" i="5" s="1"/>
  <c r="BD17" i="5"/>
  <c r="BC17" i="5"/>
  <c r="BA388" i="5"/>
  <c r="AZ388" i="5" s="1"/>
  <c r="BA144" i="5"/>
  <c r="AZ144" i="5" s="1"/>
  <c r="BE117" i="5"/>
  <c r="BF117" i="5" s="1"/>
  <c r="AY127" i="5"/>
  <c r="AX127" i="5"/>
  <c r="AY271" i="5"/>
  <c r="AX271" i="5"/>
  <c r="BE285" i="5"/>
  <c r="BF285" i="5" s="1"/>
  <c r="AX270" i="5"/>
  <c r="AY270" i="5"/>
  <c r="BA57" i="5"/>
  <c r="AZ57" i="5" s="1"/>
  <c r="BA340" i="5"/>
  <c r="AZ340" i="5" s="1"/>
  <c r="BE149" i="5"/>
  <c r="BF149" i="5" s="1"/>
  <c r="BD33" i="5"/>
  <c r="BC33" i="5"/>
  <c r="BA168" i="5"/>
  <c r="AZ168" i="5" s="1"/>
  <c r="BD346" i="5"/>
  <c r="BC346" i="5"/>
  <c r="BA14" i="5"/>
  <c r="AZ14" i="5" s="1"/>
  <c r="BE128" i="5"/>
  <c r="BF128" i="5" s="1"/>
  <c r="BE389" i="5"/>
  <c r="BF389" i="5" s="1"/>
  <c r="BE72" i="5"/>
  <c r="BF72" i="5" s="1"/>
  <c r="BD79" i="5"/>
  <c r="BC79" i="5"/>
  <c r="BD274" i="5"/>
  <c r="BC274" i="5"/>
  <c r="AY111" i="5"/>
  <c r="AX111" i="5"/>
  <c r="BE164" i="5"/>
  <c r="BF164" i="5" s="1"/>
  <c r="BE113" i="5"/>
  <c r="BF113" i="5" s="1"/>
  <c r="BA379" i="5"/>
  <c r="AZ379" i="5" s="1"/>
  <c r="BD372" i="5"/>
  <c r="BC372" i="5"/>
  <c r="BA217" i="5"/>
  <c r="AZ217" i="5" s="1"/>
  <c r="AY432" i="5"/>
  <c r="AX432" i="5"/>
  <c r="BD247" i="5"/>
  <c r="BC247" i="5"/>
  <c r="BD24" i="5"/>
  <c r="BC24" i="5"/>
  <c r="BE332" i="5"/>
  <c r="BF332" i="5" s="1"/>
  <c r="BD437" i="5"/>
  <c r="BC437" i="5"/>
  <c r="BE105" i="5"/>
  <c r="BF105" i="5" s="1"/>
  <c r="BA64" i="5"/>
  <c r="AZ64" i="5" s="1"/>
  <c r="AY287" i="5"/>
  <c r="AX287" i="5"/>
  <c r="BA26" i="5"/>
  <c r="AZ26" i="5" s="1"/>
  <c r="BE22" i="5"/>
  <c r="BF22" i="5" s="1"/>
  <c r="BA128" i="5"/>
  <c r="AZ128" i="5" s="1"/>
  <c r="AX147" i="5"/>
  <c r="AY147" i="5"/>
  <c r="BE341" i="5"/>
  <c r="BF341" i="5" s="1"/>
  <c r="BE65" i="5"/>
  <c r="BF65" i="5" s="1"/>
  <c r="AX358" i="5"/>
  <c r="AY358" i="5"/>
  <c r="BA324" i="5"/>
  <c r="AZ324" i="5" s="1"/>
  <c r="BA121" i="5"/>
  <c r="AZ121" i="5" s="1"/>
  <c r="AX227" i="5"/>
  <c r="AY227" i="5"/>
  <c r="BE229" i="5"/>
  <c r="BF229" i="5" s="1"/>
  <c r="BA153" i="5"/>
  <c r="AZ153" i="5" s="1"/>
  <c r="BD399" i="5"/>
  <c r="BC399" i="5"/>
  <c r="BA393" i="5"/>
  <c r="AZ393" i="5" s="1"/>
  <c r="BD140" i="5"/>
  <c r="BC140" i="5"/>
  <c r="AX350" i="5"/>
  <c r="AY350" i="5"/>
  <c r="BE13" i="5"/>
  <c r="BF13" i="5" s="1"/>
  <c r="BE397" i="5"/>
  <c r="BF397" i="5" s="1"/>
  <c r="AY250" i="5"/>
  <c r="AX250" i="5"/>
  <c r="BA277" i="5"/>
  <c r="AZ277" i="5" s="1"/>
  <c r="AX170" i="5"/>
  <c r="AY170" i="5"/>
  <c r="BE89" i="5"/>
  <c r="BF89" i="5" s="1"/>
  <c r="AY194" i="5"/>
  <c r="AX194" i="5"/>
  <c r="AX123" i="5"/>
  <c r="AY123" i="5"/>
  <c r="BD421" i="5"/>
  <c r="BC421" i="5"/>
  <c r="AY319" i="5"/>
  <c r="AX319" i="5"/>
  <c r="BD151" i="5"/>
  <c r="BC151" i="5"/>
  <c r="BE348" i="5"/>
  <c r="BF348" i="5" s="1"/>
  <c r="BE352" i="5"/>
  <c r="BF352" i="5" s="1"/>
  <c r="BA141" i="5"/>
  <c r="AZ141" i="5" s="1"/>
  <c r="AX75" i="5"/>
  <c r="AY75" i="5"/>
  <c r="BE169" i="5"/>
  <c r="BF169" i="5" s="1"/>
  <c r="BD430" i="5"/>
  <c r="BC430" i="5"/>
  <c r="BD131" i="5"/>
  <c r="BC131" i="5"/>
  <c r="AY380" i="5"/>
  <c r="AX380" i="5"/>
  <c r="BE313" i="5"/>
  <c r="BF313" i="5" s="1"/>
  <c r="BE261" i="5"/>
  <c r="BF261" i="5" s="1"/>
  <c r="BD294" i="5"/>
  <c r="BC294" i="5"/>
  <c r="AY171" i="5"/>
  <c r="AX171" i="5"/>
  <c r="BD139" i="5"/>
  <c r="BC139" i="5"/>
  <c r="BA136" i="5"/>
  <c r="AZ136" i="5" s="1"/>
  <c r="BD207" i="5"/>
  <c r="BC207" i="5"/>
  <c r="BD436" i="5"/>
  <c r="BC436" i="5"/>
  <c r="BD178" i="5"/>
  <c r="BC178" i="5"/>
  <c r="AY383" i="5"/>
  <c r="AX383" i="5"/>
  <c r="BE253" i="5"/>
  <c r="BF253" i="5" s="1"/>
  <c r="BD107" i="5"/>
  <c r="BC107" i="5"/>
  <c r="BA268" i="5"/>
  <c r="AZ268" i="5" s="1"/>
  <c r="BA345" i="5"/>
  <c r="AZ345" i="5" s="1"/>
  <c r="BA213" i="5"/>
  <c r="AZ213" i="5" s="1"/>
  <c r="BD4" i="5"/>
  <c r="BC4" i="5"/>
  <c r="BE209" i="5"/>
  <c r="BF209" i="5" s="1"/>
  <c r="AX310" i="5"/>
  <c r="AY310" i="5"/>
  <c r="BA331" i="5"/>
  <c r="AZ331" i="5" s="1"/>
  <c r="BA369" i="5"/>
  <c r="AZ369" i="5" s="1"/>
  <c r="BD384" i="5"/>
  <c r="BC384" i="5"/>
  <c r="BE429" i="5"/>
  <c r="BF429" i="5" s="1"/>
  <c r="BD103" i="5"/>
  <c r="BC103" i="5"/>
  <c r="BA42" i="5"/>
  <c r="AZ42" i="5" s="1"/>
  <c r="BD334" i="5"/>
  <c r="BC334" i="5"/>
  <c r="BE152" i="5"/>
  <c r="BF152" i="5" s="1"/>
  <c r="AX302" i="5"/>
  <c r="AY302" i="5"/>
  <c r="AX318" i="5"/>
  <c r="AY318" i="5"/>
  <c r="AX21" i="5"/>
  <c r="AY21" i="5"/>
  <c r="AY407" i="5"/>
  <c r="AX407" i="5"/>
  <c r="BA349" i="5"/>
  <c r="AZ349" i="5" s="1"/>
  <c r="BE7" i="5"/>
  <c r="BF7" i="5" s="1"/>
  <c r="BE339" i="5"/>
  <c r="BF339" i="5" s="1"/>
  <c r="BE220" i="5"/>
  <c r="BF220" i="5"/>
  <c r="AX390" i="5"/>
  <c r="AY390" i="5"/>
  <c r="AX175" i="5"/>
  <c r="AY175" i="5"/>
  <c r="AY259" i="5"/>
  <c r="AX259" i="5"/>
  <c r="AX243" i="5"/>
  <c r="AY243" i="5"/>
  <c r="BC142" i="5"/>
  <c r="BD142" i="5"/>
  <c r="BE181" i="5"/>
  <c r="BF181" i="5" s="1"/>
  <c r="BD438" i="5"/>
  <c r="BC438" i="5"/>
  <c r="BD32" i="5"/>
  <c r="BC32" i="5"/>
  <c r="BC12" i="5"/>
  <c r="BD12" i="5"/>
  <c r="AY443" i="5"/>
  <c r="AX443" i="5"/>
  <c r="BD248" i="5"/>
  <c r="BC248" i="5"/>
  <c r="BD342" i="5"/>
  <c r="BC342" i="5"/>
  <c r="AY295" i="5"/>
  <c r="AX295" i="5"/>
  <c r="AX115" i="5"/>
  <c r="AY115" i="5"/>
  <c r="AY413" i="5"/>
  <c r="AX413" i="5"/>
  <c r="AY347" i="5"/>
  <c r="AX347" i="5"/>
  <c r="BC78" i="5"/>
  <c r="BD78" i="5"/>
  <c r="AX28" i="5"/>
  <c r="AY28" i="5"/>
  <c r="AX44" i="5"/>
  <c r="AY44" i="5"/>
  <c r="BD202" i="5"/>
  <c r="BC202" i="5"/>
  <c r="BD226" i="5"/>
  <c r="BC226" i="5"/>
  <c r="BE165" i="5"/>
  <c r="BF165" i="5" s="1"/>
  <c r="BD92" i="5"/>
  <c r="BC92" i="5"/>
  <c r="AY191" i="5"/>
  <c r="AX191" i="5"/>
  <c r="AY303" i="5"/>
  <c r="AX303" i="5"/>
  <c r="AY116" i="5"/>
  <c r="AX116" i="5"/>
  <c r="AX20" i="5"/>
  <c r="AY20" i="5"/>
  <c r="AX208" i="5"/>
  <c r="AY208" i="5"/>
  <c r="AX414" i="5"/>
  <c r="AY414" i="5"/>
  <c r="AY444" i="5"/>
  <c r="AX444" i="5"/>
  <c r="AX67" i="5"/>
  <c r="AY67" i="5"/>
  <c r="BD98" i="5"/>
  <c r="BC98" i="5"/>
  <c r="AY48" i="5"/>
  <c r="AX48" i="5"/>
  <c r="BD343" i="5"/>
  <c r="BC343" i="5"/>
  <c r="BC66" i="5"/>
  <c r="BD66" i="5"/>
  <c r="BD158" i="5"/>
  <c r="BC158" i="5"/>
  <c r="BD408" i="5"/>
  <c r="BC408" i="5"/>
  <c r="AY6" i="5"/>
  <c r="AX6" i="5"/>
  <c r="AY306" i="5"/>
  <c r="AX306" i="5"/>
  <c r="BC366" i="5"/>
  <c r="BD366" i="5"/>
  <c r="BD234" i="5"/>
  <c r="BC234" i="5"/>
  <c r="AX179" i="5"/>
  <c r="AY179" i="5"/>
  <c r="BE385" i="5"/>
  <c r="BF385" i="5" s="1"/>
  <c r="AY148" i="5"/>
  <c r="AX148" i="5"/>
  <c r="BD327" i="5"/>
  <c r="BC327" i="5"/>
  <c r="AY231" i="5"/>
  <c r="AX231" i="5"/>
  <c r="BD354" i="5"/>
  <c r="BC354" i="5"/>
  <c r="BC56" i="5"/>
  <c r="BD56" i="5"/>
  <c r="BC238" i="5"/>
  <c r="BD238" i="5"/>
  <c r="AY8" i="5"/>
  <c r="AX8" i="5"/>
  <c r="AY223" i="5"/>
  <c r="AX223" i="5"/>
  <c r="BD286" i="5"/>
  <c r="BC286" i="5"/>
  <c r="AX368" i="5"/>
  <c r="AY368" i="5"/>
  <c r="AX198" i="5"/>
  <c r="AY198" i="5"/>
  <c r="AY95" i="5"/>
  <c r="AX95" i="5"/>
  <c r="BC190" i="5"/>
  <c r="BD190" i="5"/>
  <c r="BD41" i="5"/>
  <c r="BC41" i="5"/>
  <c r="BD326" i="5"/>
  <c r="BC326" i="5"/>
  <c r="BD218" i="5"/>
  <c r="BC218" i="5"/>
  <c r="BA398" i="5"/>
  <c r="AZ398" i="5" s="1"/>
  <c r="BD446" i="5"/>
  <c r="BC446" i="5"/>
  <c r="BD182" i="5"/>
  <c r="BC182" i="5"/>
  <c r="BD53" i="5"/>
  <c r="BC53" i="5"/>
  <c r="AY330" i="5"/>
  <c r="AX330" i="5"/>
  <c r="BE265" i="5"/>
  <c r="BF265" i="5" s="1"/>
  <c r="AY163" i="5"/>
  <c r="AX163" i="5"/>
  <c r="BD224" i="5"/>
  <c r="BC224" i="5"/>
  <c r="BE47" i="5"/>
  <c r="BF47" i="5" s="1"/>
  <c r="BE337" i="5"/>
  <c r="BF337" i="5" s="1"/>
  <c r="AY254" i="5"/>
  <c r="AX254" i="5"/>
  <c r="AY282" i="5"/>
  <c r="AX282" i="5"/>
  <c r="AY74" i="5"/>
  <c r="AX74" i="5"/>
  <c r="BD302" i="5"/>
  <c r="BC302" i="5"/>
  <c r="BD5" i="5"/>
  <c r="BC5" i="5"/>
  <c r="BC86" i="5"/>
  <c r="BD86" i="5"/>
  <c r="BD407" i="5"/>
  <c r="BC407" i="5"/>
  <c r="BE396" i="5"/>
  <c r="BF396" i="5" s="1"/>
  <c r="AX430" i="5"/>
  <c r="AY430" i="5"/>
  <c r="BD120" i="5"/>
  <c r="BC120" i="5"/>
  <c r="BE225" i="5"/>
  <c r="BF225" i="5" s="1"/>
  <c r="BA152" i="5"/>
  <c r="AZ152" i="5" s="1"/>
  <c r="BD112" i="5"/>
  <c r="BC112" i="5"/>
  <c r="BA169" i="5"/>
  <c r="AZ169" i="5" s="1"/>
  <c r="BD239" i="5"/>
  <c r="BC239" i="5"/>
  <c r="BD330" i="5"/>
  <c r="BC330" i="5"/>
  <c r="BD215" i="5"/>
  <c r="BC215" i="5"/>
  <c r="AY135" i="5"/>
  <c r="AX135" i="5"/>
  <c r="AX224" i="5"/>
  <c r="AY224" i="5"/>
  <c r="AY311" i="5"/>
  <c r="AX311" i="5"/>
  <c r="BE184" i="5"/>
  <c r="BF184" i="5" s="1"/>
  <c r="AX99" i="5"/>
  <c r="AY99" i="5"/>
  <c r="BA276" i="5"/>
  <c r="AZ276" i="5" s="1"/>
  <c r="BA333" i="5"/>
  <c r="AZ333" i="5" s="1"/>
  <c r="BE43" i="5"/>
  <c r="BF43" i="5" s="1"/>
  <c r="BA257" i="5"/>
  <c r="AZ257" i="5" s="1"/>
  <c r="BA157" i="5"/>
  <c r="AZ157" i="5" s="1"/>
  <c r="BE280" i="5"/>
  <c r="BF280" i="5" s="1"/>
  <c r="BA389" i="5"/>
  <c r="AZ389" i="5" s="1"/>
  <c r="BD301" i="5"/>
  <c r="BC301" i="5"/>
  <c r="BD108" i="5"/>
  <c r="BC108" i="5"/>
  <c r="BD74" i="5"/>
  <c r="BC74" i="5"/>
  <c r="BE82" i="5"/>
  <c r="BF82" i="5" s="1"/>
  <c r="BD175" i="5"/>
  <c r="BC175" i="5"/>
  <c r="BD259" i="5"/>
  <c r="BC259" i="5"/>
  <c r="BE137" i="5"/>
  <c r="BF137" i="5" s="1"/>
  <c r="BA385" i="5"/>
  <c r="AZ385" i="5" s="1"/>
  <c r="BC243" i="5"/>
  <c r="BD243" i="5"/>
  <c r="BA30" i="5"/>
  <c r="AZ30" i="5" s="1"/>
  <c r="AY142" i="5"/>
  <c r="AX142" i="5"/>
  <c r="BA317" i="5"/>
  <c r="AZ317" i="5" s="1"/>
  <c r="BE176" i="5"/>
  <c r="BF176" i="5" s="1"/>
  <c r="BE268" i="5"/>
  <c r="BF268" i="5" s="1"/>
  <c r="BE249" i="5"/>
  <c r="BF249" i="5" s="1"/>
  <c r="BE192" i="5"/>
  <c r="BF192" i="5" s="1"/>
  <c r="BA204" i="5"/>
  <c r="AZ204" i="5" s="1"/>
  <c r="AX438" i="5"/>
  <c r="AY438" i="5"/>
  <c r="AY32" i="5"/>
  <c r="AX32" i="5"/>
  <c r="BA165" i="5"/>
  <c r="AZ165" i="5" s="1"/>
  <c r="BA212" i="5"/>
  <c r="AZ212" i="5" s="1"/>
  <c r="AX12" i="5"/>
  <c r="AY12" i="5"/>
  <c r="BD443" i="5"/>
  <c r="BC443" i="5"/>
  <c r="AX248" i="5"/>
  <c r="AY248" i="5"/>
  <c r="AX342" i="5"/>
  <c r="AY342" i="5"/>
  <c r="BD295" i="5"/>
  <c r="BC295" i="5"/>
  <c r="BD115" i="5"/>
  <c r="BC115" i="5"/>
  <c r="BD413" i="5"/>
  <c r="BC413" i="5"/>
  <c r="BD347" i="5"/>
  <c r="BC347" i="5"/>
  <c r="AY78" i="5"/>
  <c r="AX78" i="5"/>
  <c r="BC28" i="5"/>
  <c r="BD28" i="5"/>
  <c r="BE38" i="5"/>
  <c r="BF38" i="5" s="1"/>
  <c r="BD44" i="5"/>
  <c r="BC44" i="5"/>
  <c r="BE144" i="5"/>
  <c r="BF144" i="5" s="1"/>
  <c r="BE96" i="5"/>
  <c r="BF96" i="5" s="1"/>
  <c r="BE371" i="5"/>
  <c r="BF371" i="5" s="1"/>
  <c r="BE323" i="5"/>
  <c r="BF323" i="5" s="1"/>
  <c r="AY202" i="5"/>
  <c r="AX202" i="5"/>
  <c r="BA80" i="5"/>
  <c r="AZ80" i="5" s="1"/>
  <c r="AY226" i="5"/>
  <c r="AX226" i="5"/>
  <c r="AY92" i="5"/>
  <c r="AX92" i="5"/>
  <c r="BD191" i="5"/>
  <c r="BC191" i="5"/>
  <c r="BA125" i="5"/>
  <c r="AZ125" i="5" s="1"/>
  <c r="BD303" i="5"/>
  <c r="BC303" i="5"/>
  <c r="BE97" i="5"/>
  <c r="BF97" i="5" s="1"/>
  <c r="BA313" i="5"/>
  <c r="AZ313" i="5" s="1"/>
  <c r="BD116" i="5"/>
  <c r="BC116" i="5"/>
  <c r="BC20" i="5"/>
  <c r="BD20" i="5"/>
  <c r="BA189" i="5"/>
  <c r="AZ189" i="5" s="1"/>
  <c r="BE157" i="5"/>
  <c r="BF157" i="5" s="1"/>
  <c r="BD208" i="5"/>
  <c r="BC208" i="5"/>
  <c r="BD414" i="5"/>
  <c r="BC414" i="5"/>
  <c r="BE277" i="5"/>
  <c r="BF277" i="5" s="1"/>
  <c r="BD444" i="5"/>
  <c r="BC444" i="5"/>
  <c r="BA225" i="5"/>
  <c r="AZ225" i="5" s="1"/>
  <c r="BA275" i="5"/>
  <c r="AZ275" i="5" s="1"/>
  <c r="BA321" i="5"/>
  <c r="AZ321" i="5" s="1"/>
  <c r="BA113" i="5"/>
  <c r="AZ113" i="5" s="1"/>
  <c r="BA49" i="5"/>
  <c r="AZ49" i="5" s="1"/>
  <c r="BD67" i="5"/>
  <c r="BC67" i="5"/>
  <c r="BA105" i="5"/>
  <c r="AZ105" i="5" s="1"/>
  <c r="AY98" i="5"/>
  <c r="AX98" i="5"/>
  <c r="BC48" i="5"/>
  <c r="BD48" i="5"/>
  <c r="BE188" i="5"/>
  <c r="BF188" i="5" s="1"/>
  <c r="AY343" i="5"/>
  <c r="AX343" i="5"/>
  <c r="BA181" i="5"/>
  <c r="AZ181" i="5" s="1"/>
  <c r="BA117" i="5"/>
  <c r="AZ117" i="5" s="1"/>
  <c r="AY66" i="5"/>
  <c r="AX66" i="5"/>
  <c r="AY158" i="5"/>
  <c r="AX158" i="5"/>
  <c r="AY408" i="5"/>
  <c r="AX408" i="5"/>
  <c r="BA341" i="5"/>
  <c r="AZ341" i="5" s="1"/>
  <c r="BC6" i="5"/>
  <c r="BD6" i="5"/>
  <c r="BE340" i="5"/>
  <c r="BF340" i="5" s="1"/>
  <c r="BA149" i="5"/>
  <c r="AZ149" i="5" s="1"/>
  <c r="BD306" i="5"/>
  <c r="BC306" i="5"/>
  <c r="AX366" i="5"/>
  <c r="AY366" i="5"/>
  <c r="AY234" i="5"/>
  <c r="AX234" i="5"/>
  <c r="BA73" i="5"/>
  <c r="AZ73" i="5" s="1"/>
  <c r="BA292" i="5"/>
  <c r="AZ292" i="5" s="1"/>
  <c r="BC179" i="5"/>
  <c r="BD179" i="5"/>
  <c r="BA72" i="5"/>
  <c r="AZ72" i="5" s="1"/>
  <c r="BD148" i="5"/>
  <c r="BC148" i="5"/>
  <c r="BA89" i="5"/>
  <c r="AZ89" i="5" s="1"/>
  <c r="AY327" i="5"/>
  <c r="AX327" i="5"/>
  <c r="BD231" i="5"/>
  <c r="BC231" i="5"/>
  <c r="BA164" i="5"/>
  <c r="AZ164" i="5" s="1"/>
  <c r="AY354" i="5"/>
  <c r="AX354" i="5"/>
  <c r="AY56" i="5"/>
  <c r="AX56" i="5"/>
  <c r="AY238" i="5"/>
  <c r="AX238" i="5"/>
  <c r="BE101" i="5"/>
  <c r="BF101" i="5" s="1"/>
  <c r="BD8" i="5"/>
  <c r="BC8" i="5"/>
  <c r="BD223" i="5"/>
  <c r="BC223" i="5"/>
  <c r="AX286" i="5"/>
  <c r="AY286" i="5"/>
  <c r="BE73" i="5"/>
  <c r="BF73" i="5" s="1"/>
  <c r="BE109" i="5"/>
  <c r="BF109" i="5" s="1"/>
  <c r="BA397" i="5"/>
  <c r="AZ397" i="5" s="1"/>
  <c r="BA221" i="5"/>
  <c r="AZ221" i="5" s="1"/>
  <c r="BE30" i="5"/>
  <c r="BF30" i="5" s="1"/>
  <c r="BD368" i="5"/>
  <c r="BC368" i="5"/>
  <c r="BE64" i="5"/>
  <c r="BF64" i="5" s="1"/>
  <c r="BC198" i="5"/>
  <c r="BD198" i="5"/>
  <c r="BA249" i="5"/>
  <c r="AZ249" i="5" s="1"/>
  <c r="BA88" i="5"/>
  <c r="AZ88" i="5" s="1"/>
  <c r="BD95" i="5"/>
  <c r="BC95" i="5"/>
  <c r="BE19" i="5"/>
  <c r="BF19" i="5" s="1"/>
  <c r="BA293" i="5"/>
  <c r="AZ293" i="5" s="1"/>
  <c r="BA373" i="5"/>
  <c r="AZ373" i="5" s="1"/>
  <c r="BA180" i="5"/>
  <c r="AZ180" i="5" s="1"/>
  <c r="AX190" i="5"/>
  <c r="AY190" i="5"/>
  <c r="AY41" i="5"/>
  <c r="AX41" i="5"/>
  <c r="AX326" i="5"/>
  <c r="AY326" i="5"/>
  <c r="BE121" i="5"/>
  <c r="BF121" i="5" s="1"/>
  <c r="AY218" i="5"/>
  <c r="AX218" i="5"/>
  <c r="BA229" i="5"/>
  <c r="AZ229" i="5" s="1"/>
  <c r="BE153" i="5"/>
  <c r="BF153" i="5" s="1"/>
  <c r="BE185" i="5" l="1"/>
  <c r="BF185" i="5" s="1"/>
  <c r="BA54" i="5"/>
  <c r="AZ54" i="5" s="1"/>
  <c r="BE239" i="5"/>
  <c r="BF239" i="5" s="1"/>
  <c r="BE372" i="5"/>
  <c r="BF372" i="5" s="1"/>
  <c r="BE412" i="5"/>
  <c r="BF412" i="5" s="1"/>
  <c r="BE250" i="5"/>
  <c r="BF250" i="5" s="1"/>
  <c r="BE111" i="5"/>
  <c r="BF111" i="5" s="1"/>
  <c r="BE199" i="5"/>
  <c r="BF199" i="5" s="1"/>
  <c r="BE310" i="5"/>
  <c r="BF310" i="5" s="1"/>
  <c r="BA190" i="5"/>
  <c r="AZ190" i="5" s="1"/>
  <c r="BA366" i="5"/>
  <c r="AZ366" i="5" s="1"/>
  <c r="BA12" i="5"/>
  <c r="AZ12" i="5" s="1"/>
  <c r="BA438" i="5"/>
  <c r="AZ438" i="5" s="1"/>
  <c r="BA430" i="5"/>
  <c r="AZ430" i="5" s="1"/>
  <c r="BA368" i="5"/>
  <c r="AZ368" i="5" s="1"/>
  <c r="BE78" i="5"/>
  <c r="BF78" i="5" s="1"/>
  <c r="BA243" i="5"/>
  <c r="AZ243" i="5" s="1"/>
  <c r="BA21" i="5"/>
  <c r="AZ21" i="5" s="1"/>
  <c r="BA310" i="5"/>
  <c r="AZ310" i="5" s="1"/>
  <c r="BA75" i="5"/>
  <c r="AZ75" i="5" s="1"/>
  <c r="BE195" i="5"/>
  <c r="BF195" i="5" s="1"/>
  <c r="BA91" i="5"/>
  <c r="AZ91" i="5" s="1"/>
  <c r="BA174" i="5"/>
  <c r="AZ174" i="5" s="1"/>
  <c r="BE187" i="5"/>
  <c r="BF187" i="5" s="1"/>
  <c r="BA52" i="5"/>
  <c r="AZ52" i="5" s="1"/>
  <c r="BE87" i="5"/>
  <c r="BF87" i="5" s="1"/>
  <c r="BE150" i="5"/>
  <c r="BF150" i="5" s="1"/>
  <c r="BE70" i="5"/>
  <c r="BF70" i="5" s="1"/>
  <c r="BA9" i="5"/>
  <c r="AZ9" i="5" s="1"/>
  <c r="BE222" i="5"/>
  <c r="BF222" i="5" s="1"/>
  <c r="BA53" i="5"/>
  <c r="AZ53" i="5" s="1"/>
  <c r="BA278" i="5"/>
  <c r="AZ278" i="5" s="1"/>
  <c r="BA445" i="5"/>
  <c r="AZ445" i="5" s="1"/>
  <c r="BA235" i="5"/>
  <c r="AZ235" i="5" s="1"/>
  <c r="BA218" i="5"/>
  <c r="AZ218" i="5" s="1"/>
  <c r="BE74" i="5"/>
  <c r="BF74" i="5" s="1"/>
  <c r="BA8" i="5"/>
  <c r="AZ8" i="5" s="1"/>
  <c r="BE207" i="5"/>
  <c r="BF207" i="5" s="1"/>
  <c r="BE135" i="5"/>
  <c r="BF135" i="5" s="1"/>
  <c r="BA247" i="5"/>
  <c r="AZ247" i="5" s="1"/>
  <c r="BE416" i="5"/>
  <c r="BF416" i="5" s="1"/>
  <c r="BE263" i="5"/>
  <c r="BF263" i="5" s="1"/>
  <c r="BA375" i="5"/>
  <c r="AZ375" i="5" s="1"/>
  <c r="BA431" i="5"/>
  <c r="AZ431" i="5" s="1"/>
  <c r="BE258" i="5"/>
  <c r="BF258" i="5" s="1"/>
  <c r="BA446" i="5"/>
  <c r="AZ446" i="5" s="1"/>
  <c r="BE9" i="5"/>
  <c r="BF9" i="5" s="1"/>
  <c r="BE76" i="5"/>
  <c r="BF76" i="5" s="1"/>
  <c r="BA326" i="5"/>
  <c r="AZ326" i="5" s="1"/>
  <c r="BE28" i="5"/>
  <c r="BF28" i="5" s="1"/>
  <c r="BA99" i="5"/>
  <c r="AZ99" i="5" s="1"/>
  <c r="BE238" i="5"/>
  <c r="BF238" i="5" s="1"/>
  <c r="BA179" i="5"/>
  <c r="AZ179" i="5" s="1"/>
  <c r="BE366" i="5"/>
  <c r="BF366" i="5" s="1"/>
  <c r="BE66" i="5"/>
  <c r="BF66" i="5" s="1"/>
  <c r="BA67" i="5"/>
  <c r="AZ67" i="5" s="1"/>
  <c r="BA20" i="5"/>
  <c r="AZ20" i="5" s="1"/>
  <c r="BA115" i="5"/>
  <c r="AZ115" i="5" s="1"/>
  <c r="BE12" i="5"/>
  <c r="BF12" i="5" s="1"/>
  <c r="BA390" i="5"/>
  <c r="AZ390" i="5" s="1"/>
  <c r="BA123" i="5"/>
  <c r="AZ123" i="5" s="1"/>
  <c r="BA358" i="5"/>
  <c r="AZ358" i="5" s="1"/>
  <c r="BE58" i="5"/>
  <c r="BF58" i="5" s="1"/>
  <c r="BA422" i="5"/>
  <c r="AZ422" i="5" s="1"/>
  <c r="BA107" i="5"/>
  <c r="AZ107" i="5" s="1"/>
  <c r="BE227" i="5"/>
  <c r="BF227" i="5" s="1"/>
  <c r="BA17" i="5"/>
  <c r="AZ17" i="5" s="1"/>
  <c r="BA36" i="5"/>
  <c r="AZ36" i="5" s="1"/>
  <c r="BA186" i="5"/>
  <c r="AZ186" i="5" s="1"/>
  <c r="BE230" i="5"/>
  <c r="BF230" i="5" s="1"/>
  <c r="BE235" i="5"/>
  <c r="BF235" i="5" s="1"/>
  <c r="BA251" i="5"/>
  <c r="AZ251" i="5" s="1"/>
  <c r="BE251" i="5"/>
  <c r="BF251" i="5" s="1"/>
  <c r="BA256" i="5"/>
  <c r="AZ256" i="5" s="1"/>
  <c r="BA211" i="5"/>
  <c r="AZ211" i="5" s="1"/>
  <c r="BA63" i="5"/>
  <c r="AZ63" i="5"/>
  <c r="BE219" i="5"/>
  <c r="BF219" i="5" s="1"/>
  <c r="BA400" i="5"/>
  <c r="AZ400" i="5" s="1"/>
  <c r="BA406" i="5"/>
  <c r="AZ406" i="5" s="1"/>
  <c r="BA187" i="5"/>
  <c r="AZ187" i="5" s="1"/>
  <c r="BA203" i="5"/>
  <c r="AZ203" i="5" s="1"/>
  <c r="BA182" i="5"/>
  <c r="AZ182" i="5" s="1"/>
  <c r="BA108" i="5"/>
  <c r="AZ108" i="5" s="1"/>
  <c r="BA178" i="5"/>
  <c r="AZ178" i="5" s="1"/>
  <c r="BE446" i="5"/>
  <c r="BF446" i="5" s="1"/>
  <c r="BA6" i="5"/>
  <c r="AZ6" i="5" s="1"/>
  <c r="BE186" i="5"/>
  <c r="BF186" i="5" s="1"/>
  <c r="BE405" i="5"/>
  <c r="BF405" i="5" s="1"/>
  <c r="BA140" i="5"/>
  <c r="AZ140" i="5" s="1"/>
  <c r="BE271" i="5"/>
  <c r="BF271" i="5" s="1"/>
  <c r="BE367" i="5"/>
  <c r="BF367" i="5" s="1"/>
  <c r="BA16" i="5"/>
  <c r="AZ16" i="5" s="1"/>
  <c r="BA199" i="5"/>
  <c r="AZ199" i="5" s="1"/>
  <c r="BE306" i="5"/>
  <c r="BF306" i="5" s="1"/>
  <c r="BE444" i="5"/>
  <c r="BF444" i="5" s="1"/>
  <c r="BE414" i="5"/>
  <c r="BF414" i="5" s="1"/>
  <c r="BA142" i="5"/>
  <c r="AZ142" i="5" s="1"/>
  <c r="BE108" i="5"/>
  <c r="BF108" i="5" s="1"/>
  <c r="BE407" i="5"/>
  <c r="BF407" i="5" s="1"/>
  <c r="BE5" i="5"/>
  <c r="BF5" i="5" s="1"/>
  <c r="BA282" i="5"/>
  <c r="AZ282" i="5" s="1"/>
  <c r="BE182" i="5"/>
  <c r="BF182" i="5" s="1"/>
  <c r="BE218" i="5"/>
  <c r="BF218" i="5" s="1"/>
  <c r="BE408" i="5"/>
  <c r="BF408" i="5" s="1"/>
  <c r="BA444" i="5"/>
  <c r="AZ444" i="5" s="1"/>
  <c r="BA303" i="5"/>
  <c r="AZ303" i="5" s="1"/>
  <c r="BA191" i="5"/>
  <c r="AZ191" i="5" s="1"/>
  <c r="BA347" i="5"/>
  <c r="AZ347" i="5" s="1"/>
  <c r="BE342" i="5"/>
  <c r="BF342" i="5" s="1"/>
  <c r="BE107" i="5"/>
  <c r="BF107" i="5" s="1"/>
  <c r="BA383" i="5"/>
  <c r="AZ383" i="5" s="1"/>
  <c r="BE294" i="5"/>
  <c r="BF294" i="5" s="1"/>
  <c r="BE140" i="5"/>
  <c r="BF140" i="5" s="1"/>
  <c r="BE399" i="5"/>
  <c r="BF399" i="5" s="1"/>
  <c r="BA287" i="5"/>
  <c r="AZ287" i="5" s="1"/>
  <c r="BA127" i="5"/>
  <c r="AZ127" i="5" s="1"/>
  <c r="BE17" i="5"/>
  <c r="BF17" i="5" s="1"/>
  <c r="BA210" i="5"/>
  <c r="AZ210" i="5" s="1"/>
  <c r="BA230" i="5"/>
  <c r="AZ230" i="5" s="1"/>
  <c r="BA424" i="5"/>
  <c r="AZ424" i="5" s="1"/>
  <c r="BA391" i="5"/>
  <c r="AZ391" i="5" s="1"/>
  <c r="BE143" i="5"/>
  <c r="BF143" i="5" s="1"/>
  <c r="BE75" i="5"/>
  <c r="BF75" i="5" s="1"/>
  <c r="BA421" i="5"/>
  <c r="AZ421" i="5" s="1"/>
  <c r="BE147" i="5"/>
  <c r="BF147" i="5" s="1"/>
  <c r="BE287" i="5"/>
  <c r="BF287" i="5" s="1"/>
  <c r="BA437" i="5"/>
  <c r="AZ437" i="5" s="1"/>
  <c r="BE432" i="5"/>
  <c r="BF432" i="5" s="1"/>
  <c r="BA274" i="5"/>
  <c r="AZ274" i="5" s="1"/>
  <c r="BA79" i="5"/>
  <c r="AZ79" i="5" s="1"/>
  <c r="BE127" i="5"/>
  <c r="BF127" i="5" s="1"/>
  <c r="BE415" i="5"/>
  <c r="BF415" i="5" s="1"/>
  <c r="BA322" i="5"/>
  <c r="AZ322" i="5" s="1"/>
  <c r="BA338" i="5"/>
  <c r="AZ338" i="5" s="1"/>
  <c r="BA86" i="5"/>
  <c r="AZ86" i="5" s="1"/>
  <c r="BE387" i="5"/>
  <c r="BF387" i="5" s="1"/>
  <c r="BE311" i="5"/>
  <c r="BF311" i="5" s="1"/>
  <c r="BA120" i="5"/>
  <c r="AZ120" i="5" s="1"/>
  <c r="BA367" i="5"/>
  <c r="AZ367" i="5" s="1"/>
  <c r="BA351" i="5"/>
  <c r="AZ351" i="5" s="1"/>
  <c r="BE431" i="5"/>
  <c r="BF431" i="5" s="1"/>
  <c r="BE255" i="5"/>
  <c r="BF255" i="5" s="1"/>
  <c r="BE363" i="5"/>
  <c r="BF363" i="5" s="1"/>
  <c r="BA150" i="5"/>
  <c r="AZ150" i="5" s="1"/>
  <c r="BA100" i="5"/>
  <c r="AZ100" i="5" s="1"/>
  <c r="BE395" i="5"/>
  <c r="BF395" i="5" s="1"/>
  <c r="BA118" i="5"/>
  <c r="AZ118" i="5" s="1"/>
  <c r="BA335" i="5"/>
  <c r="AZ335" i="5" s="1"/>
  <c r="BE83" i="5"/>
  <c r="BF83" i="5" s="1"/>
  <c r="BE290" i="5"/>
  <c r="BF290" i="5" s="1"/>
  <c r="BA314" i="5"/>
  <c r="AZ314" i="5" s="1"/>
  <c r="BA239" i="5"/>
  <c r="AZ239" i="5" s="1"/>
  <c r="BE40" i="5"/>
  <c r="BF40" i="5" s="1"/>
  <c r="BA263" i="5"/>
  <c r="AZ263" i="5" s="1"/>
  <c r="BE359" i="5"/>
  <c r="BF359" i="5" s="1"/>
  <c r="BA428" i="5"/>
  <c r="AZ428" i="5" s="1"/>
  <c r="BA255" i="5"/>
  <c r="AZ255" i="5" s="1"/>
  <c r="BE155" i="5"/>
  <c r="BF155" i="5" s="1"/>
  <c r="BE392" i="5"/>
  <c r="BF392" i="5" s="1"/>
  <c r="BE375" i="5"/>
  <c r="BF375" i="5" s="1"/>
  <c r="BE240" i="5"/>
  <c r="BF240" i="5" s="1"/>
  <c r="BE314" i="5"/>
  <c r="BF314" i="5" s="1"/>
  <c r="BA309" i="5"/>
  <c r="AZ309" i="5" s="1"/>
  <c r="BA132" i="5"/>
  <c r="AZ132" i="5" s="1"/>
  <c r="BE29" i="5"/>
  <c r="BF29" i="5" s="1"/>
  <c r="BE91" i="5"/>
  <c r="BF91" i="5" s="1"/>
  <c r="BE171" i="5"/>
  <c r="BF171" i="5" s="1"/>
  <c r="BA94" i="5"/>
  <c r="AZ94" i="5" s="1"/>
  <c r="BE99" i="5"/>
  <c r="BF99" i="5" s="1"/>
  <c r="BE71" i="5"/>
  <c r="BF71" i="5" s="1"/>
  <c r="BA158" i="5"/>
  <c r="AZ158" i="5" s="1"/>
  <c r="BA135" i="5"/>
  <c r="AZ135" i="5" s="1"/>
  <c r="BE354" i="5"/>
  <c r="BF354" i="5" s="1"/>
  <c r="BE92" i="5"/>
  <c r="BF92" i="5" s="1"/>
  <c r="BE390" i="5"/>
  <c r="BF390" i="5" s="1"/>
  <c r="BE382" i="5"/>
  <c r="BF382" i="5" s="1"/>
  <c r="BA315" i="5"/>
  <c r="AZ315" i="5" s="1"/>
  <c r="BA56" i="5"/>
  <c r="AZ56" i="5" s="1"/>
  <c r="BE198" i="5"/>
  <c r="BF198" i="5" s="1"/>
  <c r="BA286" i="5"/>
  <c r="AZ286" i="5" s="1"/>
  <c r="BE179" i="5"/>
  <c r="BF179" i="5" s="1"/>
  <c r="BA342" i="5"/>
  <c r="AZ342" i="5" s="1"/>
  <c r="BA414" i="5"/>
  <c r="AZ414" i="5" s="1"/>
  <c r="BA44" i="5"/>
  <c r="AZ44" i="5" s="1"/>
  <c r="BA175" i="5"/>
  <c r="AZ175" i="5" s="1"/>
  <c r="BA318" i="5"/>
  <c r="AZ318" i="5" s="1"/>
  <c r="BA170" i="5"/>
  <c r="AZ170" i="5" s="1"/>
  <c r="BA147" i="5"/>
  <c r="AZ147" i="5" s="1"/>
  <c r="BA195" i="5"/>
  <c r="AZ195" i="5" s="1"/>
  <c r="BA266" i="5"/>
  <c r="AZ266" i="5" s="1"/>
  <c r="BA33" i="5"/>
  <c r="AZ33" i="5" s="1"/>
  <c r="BA216" i="5"/>
  <c r="AZ216" i="5" s="1"/>
  <c r="BA5" i="5"/>
  <c r="AZ5" i="5" s="1"/>
  <c r="BA294" i="5"/>
  <c r="AZ294" i="5" s="1"/>
  <c r="BA76" i="5"/>
  <c r="AZ76" i="5" s="1"/>
  <c r="BE246" i="5"/>
  <c r="BF246" i="5" s="1"/>
  <c r="BA155" i="5"/>
  <c r="AZ155" i="5" s="1"/>
  <c r="BA232" i="5"/>
  <c r="AZ232" i="5" s="1"/>
  <c r="BA240" i="5"/>
  <c r="AZ240" i="5" s="1"/>
  <c r="BE94" i="5"/>
  <c r="BF94" i="5" s="1"/>
  <c r="BA25" i="5"/>
  <c r="AZ25" i="5" s="1"/>
  <c r="BA382" i="5"/>
  <c r="AZ382" i="5" s="1"/>
  <c r="BE254" i="5"/>
  <c r="BF254" i="5" s="1"/>
  <c r="BA334" i="5"/>
  <c r="AZ334" i="5" s="1"/>
  <c r="BE116" i="5"/>
  <c r="BF116" i="5" s="1"/>
  <c r="BA202" i="5"/>
  <c r="AZ202" i="5" s="1"/>
  <c r="BE443" i="5"/>
  <c r="BF443" i="5" s="1"/>
  <c r="BE226" i="5"/>
  <c r="BF226" i="5" s="1"/>
  <c r="BE421" i="5"/>
  <c r="BF421" i="5" s="1"/>
  <c r="BA346" i="5"/>
  <c r="AZ346" i="5" s="1"/>
  <c r="BA87" i="5"/>
  <c r="AZ87" i="5" s="1"/>
  <c r="BA439" i="5"/>
  <c r="AZ439" i="5" s="1"/>
  <c r="BA440" i="5"/>
  <c r="AZ440" i="5" s="1"/>
  <c r="BE232" i="5"/>
  <c r="BF232" i="5" s="1"/>
  <c r="BA404" i="5"/>
  <c r="AZ404" i="5" s="1"/>
  <c r="BE440" i="5"/>
  <c r="BF440" i="5" s="1"/>
  <c r="BA420" i="5"/>
  <c r="AZ420" i="5" s="1"/>
  <c r="BA343" i="5"/>
  <c r="AZ343" i="5" s="1"/>
  <c r="BE368" i="5"/>
  <c r="BF368" i="5" s="1"/>
  <c r="BA238" i="5"/>
  <c r="AZ238" i="5" s="1"/>
  <c r="BA354" i="5"/>
  <c r="AZ354" i="5" s="1"/>
  <c r="BE231" i="5"/>
  <c r="BF231" i="5" s="1"/>
  <c r="BA327" i="5"/>
  <c r="AZ327" i="5" s="1"/>
  <c r="BA234" i="5"/>
  <c r="AZ234" i="5" s="1"/>
  <c r="BA408" i="5"/>
  <c r="AZ408" i="5" s="1"/>
  <c r="BA66" i="5"/>
  <c r="AZ66" i="5" s="1"/>
  <c r="BA98" i="5"/>
  <c r="AZ98" i="5" s="1"/>
  <c r="BE67" i="5"/>
  <c r="BF67" i="5" s="1"/>
  <c r="BE208" i="5"/>
  <c r="BF208" i="5" s="1"/>
  <c r="BE303" i="5"/>
  <c r="BF303" i="5" s="1"/>
  <c r="BA92" i="5"/>
  <c r="AZ92" i="5" s="1"/>
  <c r="BA78" i="5"/>
  <c r="AZ78" i="5" s="1"/>
  <c r="BE115" i="5"/>
  <c r="BF115" i="5" s="1"/>
  <c r="BE215" i="5"/>
  <c r="BF215" i="5" s="1"/>
  <c r="BE112" i="5"/>
  <c r="BF112" i="5" s="1"/>
  <c r="BE302" i="5"/>
  <c r="BF302" i="5" s="1"/>
  <c r="BA163" i="5"/>
  <c r="AZ163" i="5" s="1"/>
  <c r="BE41" i="5"/>
  <c r="BF41" i="5" s="1"/>
  <c r="BA95" i="5"/>
  <c r="AZ95" i="5" s="1"/>
  <c r="BE286" i="5"/>
  <c r="BF286" i="5" s="1"/>
  <c r="BA231" i="5"/>
  <c r="AZ231" i="5" s="1"/>
  <c r="BE327" i="5"/>
  <c r="BF327" i="5" s="1"/>
  <c r="BA306" i="5"/>
  <c r="AZ306" i="5" s="1"/>
  <c r="BE343" i="5"/>
  <c r="BF343" i="5" s="1"/>
  <c r="BE98" i="5"/>
  <c r="BF98" i="5" s="1"/>
  <c r="BA116" i="5"/>
  <c r="AZ116" i="5" s="1"/>
  <c r="BA413" i="5"/>
  <c r="AZ413" i="5" s="1"/>
  <c r="BA295" i="5"/>
  <c r="AZ295" i="5" s="1"/>
  <c r="BE248" i="5"/>
  <c r="BF248" i="5" s="1"/>
  <c r="BE32" i="5"/>
  <c r="BF32" i="5" s="1"/>
  <c r="BE334" i="5"/>
  <c r="BF334" i="5" s="1"/>
  <c r="BE384" i="5"/>
  <c r="BF384" i="5" s="1"/>
  <c r="BE4" i="5"/>
  <c r="BF4" i="5" s="1"/>
  <c r="BE430" i="5"/>
  <c r="BF430" i="5" s="1"/>
  <c r="BE151" i="5"/>
  <c r="BF151" i="5" s="1"/>
  <c r="BA194" i="5"/>
  <c r="AZ194" i="5" s="1"/>
  <c r="BE24" i="5"/>
  <c r="BF24" i="5" s="1"/>
  <c r="BA111" i="5"/>
  <c r="AZ111" i="5" s="1"/>
  <c r="BE33" i="5"/>
  <c r="BF33" i="5" s="1"/>
  <c r="BA271" i="5"/>
  <c r="AZ271" i="5" s="1"/>
  <c r="BA416" i="5"/>
  <c r="AZ416" i="5" s="1"/>
  <c r="BE376" i="5"/>
  <c r="BF376" i="5" s="1"/>
  <c r="BE322" i="5"/>
  <c r="BF322" i="5" s="1"/>
  <c r="BE159" i="5"/>
  <c r="BF159" i="5" s="1"/>
  <c r="BE37" i="5"/>
  <c r="BF37" i="5" s="1"/>
  <c r="BE383" i="5"/>
  <c r="BF383" i="5" s="1"/>
  <c r="BE170" i="5"/>
  <c r="BF170" i="5" s="1"/>
  <c r="BA399" i="5"/>
  <c r="AZ399" i="5" s="1"/>
  <c r="BE270" i="5"/>
  <c r="BF270" i="5" s="1"/>
  <c r="BA412" i="5"/>
  <c r="AZ412" i="5" s="1"/>
  <c r="BA307" i="5"/>
  <c r="AZ307" i="5" s="1"/>
  <c r="BE124" i="5"/>
  <c r="BF124" i="5" s="1"/>
  <c r="BE210" i="5"/>
  <c r="BF210" i="5" s="1"/>
  <c r="BA159" i="5"/>
  <c r="AZ159" i="5" s="1"/>
  <c r="BE68" i="5"/>
  <c r="BF68" i="5" s="1"/>
  <c r="BE424" i="5"/>
  <c r="BF424" i="5" s="1"/>
  <c r="BA143" i="5"/>
  <c r="AZ143" i="5" s="1"/>
  <c r="BE299" i="5"/>
  <c r="BF299" i="5" s="1"/>
  <c r="BE380" i="5"/>
  <c r="BF380" i="5" s="1"/>
  <c r="BA299" i="5"/>
  <c r="AZ299" i="5" s="1"/>
  <c r="BA40" i="5"/>
  <c r="AZ40" i="5" s="1"/>
  <c r="BE279" i="5"/>
  <c r="BF279" i="5" s="1"/>
  <c r="BE167" i="5"/>
  <c r="BF167" i="5" s="1"/>
  <c r="BE315" i="5"/>
  <c r="BF315" i="5" s="1"/>
  <c r="BE119" i="5"/>
  <c r="BF119" i="5" s="1"/>
  <c r="BA258" i="5"/>
  <c r="AZ258" i="5" s="1"/>
  <c r="BE309" i="5"/>
  <c r="BF309" i="5" s="1"/>
  <c r="BE183" i="5"/>
  <c r="BF183" i="5" s="1"/>
  <c r="BE132" i="5"/>
  <c r="BF132" i="5" s="1"/>
  <c r="BA59" i="5"/>
  <c r="AZ59" i="5" s="1"/>
  <c r="BE163" i="5"/>
  <c r="BF163" i="5" s="1"/>
  <c r="BA103" i="5"/>
  <c r="AZ103" i="5" s="1"/>
  <c r="BE391" i="5"/>
  <c r="BF391" i="5" s="1"/>
  <c r="BE174" i="5"/>
  <c r="BF174" i="5" s="1"/>
  <c r="BE351" i="5"/>
  <c r="BF351" i="5" s="1"/>
  <c r="BE256" i="5"/>
  <c r="BF256" i="5" s="1"/>
  <c r="BE45" i="5"/>
  <c r="BF45" i="5" s="1"/>
  <c r="BE439" i="5"/>
  <c r="BF439" i="5" s="1"/>
  <c r="BA167" i="5"/>
  <c r="AZ167" i="5" s="1"/>
  <c r="BA206" i="5"/>
  <c r="AZ206" i="5" s="1"/>
  <c r="BA363" i="5"/>
  <c r="AZ363" i="5" s="1"/>
  <c r="BE52" i="5"/>
  <c r="BF52" i="5" s="1"/>
  <c r="BE63" i="5"/>
  <c r="BF63" i="5" s="1"/>
  <c r="BE335" i="5"/>
  <c r="BF335" i="5" s="1"/>
  <c r="BA298" i="5"/>
  <c r="AZ298" i="5" s="1"/>
  <c r="BE156" i="5"/>
  <c r="BF156" i="5" s="1"/>
  <c r="BA290" i="5"/>
  <c r="AZ290" i="5" s="1"/>
  <c r="BE400" i="5"/>
  <c r="BF400" i="5" s="1"/>
  <c r="BA183" i="5"/>
  <c r="AZ183" i="5" s="1"/>
  <c r="BA4" i="5"/>
  <c r="AZ4" i="5" s="1"/>
  <c r="BA215" i="5"/>
  <c r="AZ215" i="5" s="1"/>
  <c r="BA436" i="5"/>
  <c r="AZ436" i="5" s="1"/>
  <c r="BE8" i="5"/>
  <c r="BF8" i="5" s="1"/>
  <c r="BE413" i="5"/>
  <c r="BF413" i="5" s="1"/>
  <c r="BE224" i="5"/>
  <c r="BF224" i="5" s="1"/>
  <c r="BE202" i="5"/>
  <c r="BF202" i="5" s="1"/>
  <c r="BA432" i="5"/>
  <c r="AZ432" i="5" s="1"/>
  <c r="BE346" i="5"/>
  <c r="BF346" i="5" s="1"/>
  <c r="BA242" i="5"/>
  <c r="AZ242" i="5" s="1"/>
  <c r="BE319" i="5"/>
  <c r="BF319" i="5" s="1"/>
  <c r="BA372" i="5"/>
  <c r="AZ372" i="5" s="1"/>
  <c r="BE282" i="5"/>
  <c r="BF282" i="5" s="1"/>
  <c r="BA70" i="5"/>
  <c r="AZ70" i="5" s="1"/>
  <c r="BE6" i="5"/>
  <c r="BF6" i="5" s="1"/>
  <c r="BE20" i="5"/>
  <c r="BF20" i="5" s="1"/>
  <c r="BA248" i="5"/>
  <c r="AZ248" i="5" s="1"/>
  <c r="BE243" i="5"/>
  <c r="BF243" i="5" s="1"/>
  <c r="BA224" i="5"/>
  <c r="AZ224" i="5" s="1"/>
  <c r="BE86" i="5"/>
  <c r="BF86" i="5" s="1"/>
  <c r="BE190" i="5"/>
  <c r="BF190" i="5" s="1"/>
  <c r="BA198" i="5"/>
  <c r="AZ198" i="5" s="1"/>
  <c r="BE56" i="5"/>
  <c r="BF56" i="5" s="1"/>
  <c r="BA208" i="5"/>
  <c r="AZ208" i="5" s="1"/>
  <c r="BA28" i="5"/>
  <c r="AZ28" i="5" s="1"/>
  <c r="BE142" i="5"/>
  <c r="BF142" i="5" s="1"/>
  <c r="BA302" i="5"/>
  <c r="AZ302" i="5" s="1"/>
  <c r="BA350" i="5"/>
  <c r="AZ350" i="5" s="1"/>
  <c r="BA227" i="5"/>
  <c r="AZ227" i="5" s="1"/>
  <c r="BA270" i="5"/>
  <c r="AZ270" i="5" s="1"/>
  <c r="BE36" i="5"/>
  <c r="BF36" i="5" s="1"/>
  <c r="BA58" i="5"/>
  <c r="AZ58" i="5" s="1"/>
  <c r="BA71" i="5"/>
  <c r="AZ71" i="5" s="1"/>
  <c r="BA45" i="5"/>
  <c r="AZ45" i="5" s="1"/>
  <c r="BE203" i="5"/>
  <c r="BF203" i="5" s="1"/>
  <c r="BE206" i="5"/>
  <c r="BF206" i="5" s="1"/>
  <c r="BA392" i="5"/>
  <c r="AZ392" i="5" s="1"/>
  <c r="BE298" i="5"/>
  <c r="BF298" i="5" s="1"/>
  <c r="BA29" i="5"/>
  <c r="AZ29" i="5" s="1"/>
  <c r="BE211" i="5"/>
  <c r="BF211" i="5" s="1"/>
  <c r="BE118" i="5"/>
  <c r="BF118" i="5" s="1"/>
  <c r="BA83" i="5"/>
  <c r="AZ83" i="5" s="1"/>
  <c r="BA219" i="5"/>
  <c r="AZ219" i="5" s="1"/>
  <c r="BA139" i="5"/>
  <c r="AZ139" i="5" s="1"/>
  <c r="BA131" i="5"/>
  <c r="AZ131" i="5" s="1"/>
  <c r="BA384" i="5"/>
  <c r="AZ384" i="5" s="1"/>
  <c r="BA37" i="5"/>
  <c r="AZ37" i="5" s="1"/>
  <c r="BE148" i="5"/>
  <c r="BF148" i="5" s="1"/>
  <c r="BE259" i="5"/>
  <c r="BF259" i="5" s="1"/>
  <c r="BE53" i="5"/>
  <c r="BF53" i="5" s="1"/>
  <c r="BE139" i="5"/>
  <c r="BF139" i="5" s="1"/>
  <c r="BE291" i="5"/>
  <c r="BF291" i="5" s="1"/>
  <c r="BA415" i="5"/>
  <c r="AZ415" i="5" s="1"/>
  <c r="BE194" i="5"/>
  <c r="BF194" i="5" s="1"/>
  <c r="BA387" i="5"/>
  <c r="AZ387" i="5" s="1"/>
  <c r="BA84" i="5"/>
  <c r="AZ84" i="5" s="1"/>
  <c r="BA156" i="5"/>
  <c r="AZ156" i="5" s="1"/>
  <c r="BE25" i="5"/>
  <c r="BF25" i="5" s="1"/>
  <c r="BE278" i="5"/>
  <c r="BF278" i="5" s="1"/>
  <c r="BA279" i="5"/>
  <c r="AZ279" i="5" s="1"/>
  <c r="BE59" i="5"/>
  <c r="BF59" i="5" s="1"/>
  <c r="BE48" i="5"/>
  <c r="BF48" i="5" s="1"/>
  <c r="BA41" i="5"/>
  <c r="AZ41" i="5" s="1"/>
  <c r="BE95" i="5"/>
  <c r="BF95" i="5" s="1"/>
  <c r="BE223" i="5"/>
  <c r="BF223" i="5" s="1"/>
  <c r="BE191" i="5"/>
  <c r="BF191" i="5" s="1"/>
  <c r="BA226" i="5"/>
  <c r="AZ226" i="5" s="1"/>
  <c r="BE44" i="5"/>
  <c r="BF44" i="5" s="1"/>
  <c r="BE347" i="5"/>
  <c r="BF347" i="5" s="1"/>
  <c r="BE295" i="5"/>
  <c r="BF295" i="5" s="1"/>
  <c r="BA32" i="5"/>
  <c r="AZ32" i="5" s="1"/>
  <c r="BE175" i="5"/>
  <c r="BF175" i="5" s="1"/>
  <c r="BE301" i="5"/>
  <c r="BF301" i="5" s="1"/>
  <c r="BA311" i="5"/>
  <c r="AZ311" i="5" s="1"/>
  <c r="BE330" i="5"/>
  <c r="BF330" i="5" s="1"/>
  <c r="BE120" i="5"/>
  <c r="BF120" i="5" s="1"/>
  <c r="BA74" i="5"/>
  <c r="AZ74" i="5" s="1"/>
  <c r="BA254" i="5"/>
  <c r="AZ254" i="5" s="1"/>
  <c r="BA330" i="5"/>
  <c r="AZ330" i="5" s="1"/>
  <c r="BE326" i="5"/>
  <c r="BF326" i="5" s="1"/>
  <c r="BA223" i="5"/>
  <c r="AZ223" i="5" s="1"/>
  <c r="BA148" i="5"/>
  <c r="AZ148" i="5" s="1"/>
  <c r="BE234" i="5"/>
  <c r="BF234" i="5" s="1"/>
  <c r="BE158" i="5"/>
  <c r="BF158" i="5" s="1"/>
  <c r="BA48" i="5"/>
  <c r="AZ48" i="5" s="1"/>
  <c r="BA443" i="5"/>
  <c r="AZ443" i="5" s="1"/>
  <c r="BE438" i="5"/>
  <c r="BF438" i="5" s="1"/>
  <c r="BA259" i="5"/>
  <c r="AZ259" i="5" s="1"/>
  <c r="BA407" i="5"/>
  <c r="AZ407" i="5" s="1"/>
  <c r="BE103" i="5"/>
  <c r="BF103" i="5" s="1"/>
  <c r="BE178" i="5"/>
  <c r="BF178" i="5" s="1"/>
  <c r="BE436" i="5"/>
  <c r="BF436" i="5" s="1"/>
  <c r="BA171" i="5"/>
  <c r="AZ171" i="5" s="1"/>
  <c r="BA380" i="5"/>
  <c r="AZ380" i="5" s="1"/>
  <c r="BE131" i="5"/>
  <c r="BF131" i="5" s="1"/>
  <c r="BA319" i="5"/>
  <c r="AZ319" i="5" s="1"/>
  <c r="BA250" i="5"/>
  <c r="AZ250" i="5" s="1"/>
  <c r="BE437" i="5"/>
  <c r="BF437" i="5" s="1"/>
  <c r="BE247" i="5"/>
  <c r="BF247" i="5" s="1"/>
  <c r="BE274" i="5"/>
  <c r="BF274" i="5" s="1"/>
  <c r="BE79" i="5"/>
  <c r="BF79" i="5" s="1"/>
  <c r="BE216" i="5"/>
  <c r="BF216" i="5" s="1"/>
  <c r="BE307" i="5"/>
  <c r="BF307" i="5" s="1"/>
  <c r="BA124" i="5"/>
  <c r="AZ124" i="5" s="1"/>
  <c r="BA68" i="5"/>
  <c r="AZ68" i="5" s="1"/>
  <c r="BE338" i="5"/>
  <c r="BF338" i="5" s="1"/>
  <c r="BE283" i="5"/>
  <c r="BF283" i="5" s="1"/>
  <c r="BE318" i="5"/>
  <c r="BF318" i="5" s="1"/>
  <c r="BA423" i="5"/>
  <c r="AZ423" i="5" s="1"/>
  <c r="BA283" i="5"/>
  <c r="AZ283" i="5" s="1"/>
  <c r="BA151" i="5"/>
  <c r="AZ151" i="5" s="1"/>
  <c r="BE123" i="5"/>
  <c r="BF123" i="5" s="1"/>
  <c r="BE350" i="5"/>
  <c r="BF350" i="5" s="1"/>
  <c r="BE358" i="5"/>
  <c r="BF358" i="5" s="1"/>
  <c r="BA24" i="5"/>
  <c r="AZ24" i="5" s="1"/>
  <c r="BA291" i="5"/>
  <c r="AZ291" i="5" s="1"/>
  <c r="BE242" i="5"/>
  <c r="BF242" i="5" s="1"/>
  <c r="BE266" i="5"/>
  <c r="BF266" i="5" s="1"/>
  <c r="BA376" i="5"/>
  <c r="AZ376" i="5" s="1"/>
  <c r="BE422" i="5"/>
  <c r="BF422" i="5" s="1"/>
  <c r="BA405" i="5"/>
  <c r="AZ405" i="5" s="1"/>
  <c r="BE423" i="5"/>
  <c r="BF423" i="5"/>
  <c r="BA301" i="5"/>
  <c r="AZ301" i="5" s="1"/>
  <c r="BA359" i="5"/>
  <c r="AZ359" i="5" s="1"/>
  <c r="BE428" i="5"/>
  <c r="BF428" i="5" s="1"/>
  <c r="BE16" i="5"/>
  <c r="BF16" i="5" s="1"/>
  <c r="BE404" i="5"/>
  <c r="BF404" i="5" s="1"/>
  <c r="BE420" i="5"/>
  <c r="BF420" i="5" s="1"/>
  <c r="BE362" i="5"/>
  <c r="BF362" i="5" s="1"/>
  <c r="BA222" i="5"/>
  <c r="AZ222" i="5" s="1"/>
  <c r="BA246" i="5"/>
  <c r="AZ246" i="5" s="1"/>
  <c r="BE84" i="5"/>
  <c r="BF84" i="5" s="1"/>
  <c r="BE100" i="5"/>
  <c r="BF100" i="5" s="1"/>
  <c r="BA395" i="5"/>
  <c r="AZ395" i="5" s="1"/>
  <c r="BA119" i="5"/>
  <c r="AZ119" i="5" s="1"/>
  <c r="BE406" i="5"/>
  <c r="BF406" i="5" s="1"/>
  <c r="BE445" i="5"/>
  <c r="BF445" i="5" s="1"/>
  <c r="BE21" i="5"/>
  <c r="BF21" i="5" s="1"/>
  <c r="BA362" i="5"/>
  <c r="AZ362" i="5" s="1"/>
  <c r="BA112" i="5"/>
  <c r="AZ112" i="5" s="1"/>
  <c r="BA207" i="5"/>
  <c r="AZ207" i="5" s="1"/>
  <c r="G447" i="5" l="1"/>
  <c r="AH447" i="5"/>
  <c r="AI447" i="5"/>
  <c r="AK447" i="5" s="1"/>
  <c r="AH448" i="5"/>
  <c r="A459" i="5" s="1"/>
  <c r="AH449" i="5"/>
  <c r="A458" i="5"/>
  <c r="A469" i="5" s="1"/>
  <c r="G458" i="5"/>
  <c r="Q470" i="5" s="1"/>
  <c r="H458" i="5"/>
  <c r="I458" i="5"/>
  <c r="L462" i="5" s="1"/>
  <c r="J458" i="5"/>
  <c r="K458" i="5"/>
  <c r="C475" i="5" s="1"/>
  <c r="L458" i="5"/>
  <c r="E460" i="5" s="1"/>
  <c r="L464" i="5" s="1"/>
  <c r="M464" i="5" s="1"/>
  <c r="M458" i="5"/>
  <c r="E462" i="5" s="1"/>
  <c r="L466" i="5" s="1"/>
  <c r="M466" i="5" s="1"/>
  <c r="T458" i="5"/>
  <c r="D470" i="5" s="1"/>
  <c r="U458" i="5"/>
  <c r="Q475" i="5"/>
  <c r="Q476" i="5"/>
  <c r="Q477" i="5"/>
  <c r="D469" i="5" l="1"/>
  <c r="C473" i="5"/>
  <c r="AM447" i="5"/>
  <c r="AN447" i="5"/>
  <c r="M462" i="5"/>
  <c r="C474" i="5"/>
  <c r="E459" i="5"/>
  <c r="L463" i="5" s="1"/>
  <c r="M463" i="5" s="1"/>
  <c r="E458" i="5"/>
  <c r="AO447" i="5"/>
  <c r="AP447" i="5" s="1"/>
  <c r="AL447" i="5"/>
  <c r="C476" i="5" l="1"/>
  <c r="AR447" i="5"/>
  <c r="AQ447" i="5"/>
  <c r="P458" i="5" l="1"/>
  <c r="C469" i="5" l="1"/>
  <c r="G474" i="5"/>
  <c r="Z458" i="5"/>
  <c r="Q479" i="5"/>
  <c r="Q478" i="5" s="1"/>
  <c r="N458" i="5"/>
  <c r="O458" i="5"/>
  <c r="Q458" i="5" s="1"/>
  <c r="AT449" i="5"/>
  <c r="A473" i="5" s="1"/>
  <c r="AS449" i="5"/>
  <c r="D473" i="5" s="1"/>
  <c r="E473" i="5" s="1"/>
  <c r="AO449" i="5"/>
  <c r="D471" i="5" s="1"/>
  <c r="AU449" i="5" l="1"/>
  <c r="AK449" i="5"/>
  <c r="D472" i="5" s="1"/>
  <c r="E469" i="5"/>
  <c r="F475" i="5"/>
  <c r="F473" i="5"/>
  <c r="F474" i="5"/>
  <c r="AR449" i="5"/>
  <c r="C471" i="5" s="1"/>
  <c r="AQ449" i="5"/>
  <c r="AP449" i="5"/>
  <c r="A471" i="5" s="1"/>
  <c r="AN449" i="5" l="1"/>
  <c r="C472" i="5" s="1"/>
  <c r="C470" i="5" s="1"/>
  <c r="AV449" i="5"/>
  <c r="A477" i="5" s="1"/>
  <c r="AL449" i="5"/>
  <c r="A472" i="5" s="1"/>
  <c r="A470" i="5" s="1"/>
  <c r="F471" i="5"/>
  <c r="E471" i="5"/>
  <c r="AM449" i="5"/>
  <c r="BB449" i="5" l="1"/>
  <c r="D478" i="5" s="1"/>
  <c r="F472" i="5"/>
  <c r="E472" i="5"/>
  <c r="D477" i="5"/>
  <c r="AW449" i="5"/>
  <c r="D479" i="5" s="1"/>
  <c r="E470" i="5"/>
  <c r="F470" i="5"/>
  <c r="G473" i="5"/>
  <c r="BC449" i="5" l="1"/>
  <c r="A478" i="5" s="1"/>
  <c r="AY449" i="5"/>
  <c r="BD449" i="5"/>
  <c r="AX449" i="5"/>
  <c r="A479" i="5" s="1"/>
  <c r="BA449" i="5" l="1"/>
  <c r="AZ449" i="5"/>
  <c r="BF449" i="5"/>
  <c r="BE449" i="5"/>
  <c r="B1" i="5"/>
  <c r="C17" i="13"/>
  <c r="C16" i="13"/>
  <c r="C15" i="13"/>
  <c r="C14" i="13"/>
  <c r="J5" i="8"/>
  <c r="K5" i="8" s="1"/>
  <c r="L5" i="8" s="1"/>
  <c r="J6" i="8"/>
  <c r="K6" i="8" s="1"/>
  <c r="L6" i="8" s="1"/>
  <c r="J7" i="8"/>
  <c r="K7" i="8" s="1"/>
  <c r="L7" i="8" s="1"/>
  <c r="J8" i="8"/>
  <c r="K8" i="8" s="1"/>
  <c r="L8" i="8" s="1"/>
  <c r="J9" i="8"/>
  <c r="K9" i="8" s="1"/>
  <c r="L9" i="8" s="1"/>
  <c r="J10" i="8"/>
  <c r="K10" i="8" s="1"/>
  <c r="L10" i="8" s="1"/>
  <c r="J11" i="8"/>
  <c r="K11" i="8" s="1"/>
  <c r="L11" i="8" s="1"/>
  <c r="J12" i="8"/>
  <c r="K12" i="8" s="1"/>
  <c r="L12" i="8" s="1"/>
  <c r="J13" i="8"/>
  <c r="K13" i="8" s="1"/>
  <c r="L13" i="8" s="1"/>
  <c r="J14" i="8"/>
  <c r="K14" i="8" s="1"/>
  <c r="L14" i="8" s="1"/>
  <c r="J15" i="8"/>
  <c r="J16" i="8"/>
  <c r="K16" i="8" s="1"/>
  <c r="L16" i="8" s="1"/>
  <c r="J17" i="8"/>
  <c r="K17" i="8" s="1"/>
  <c r="L17" i="8" s="1"/>
  <c r="J18" i="8"/>
  <c r="K18" i="8" s="1"/>
  <c r="L18" i="8" s="1"/>
  <c r="J19" i="8"/>
  <c r="K19" i="8" s="1"/>
  <c r="L19" i="8" s="1"/>
  <c r="J20" i="8"/>
  <c r="K20" i="8" s="1"/>
  <c r="L20" i="8" s="1"/>
  <c r="J21" i="8"/>
  <c r="K21" i="8" s="1"/>
  <c r="L21" i="8" s="1"/>
  <c r="J22" i="8"/>
  <c r="K22" i="8" s="1"/>
  <c r="L22" i="8" s="1"/>
  <c r="J23" i="8"/>
  <c r="K23" i="8" s="1"/>
  <c r="L23" i="8" s="1"/>
  <c r="J24" i="8"/>
  <c r="K24" i="8" s="1"/>
  <c r="L24" i="8" s="1"/>
  <c r="I26" i="8"/>
  <c r="J447" i="5" s="1"/>
  <c r="H26" i="8"/>
  <c r="I447" i="5" s="1"/>
  <c r="A26" i="8"/>
  <c r="AS447" i="5" l="1"/>
  <c r="AT447" i="5" s="1"/>
  <c r="O447" i="5"/>
  <c r="C479" i="5"/>
  <c r="E479" i="5" s="1"/>
  <c r="C478" i="5"/>
  <c r="K15" i="8"/>
  <c r="K26" i="8" s="1"/>
  <c r="C19" i="13"/>
  <c r="J26" i="8"/>
  <c r="E461" i="5" s="1"/>
  <c r="L465" i="5" l="1"/>
  <c r="I461" i="5"/>
  <c r="E463" i="5"/>
  <c r="Q471" i="5" s="1"/>
  <c r="AJ447" i="5"/>
  <c r="AU447" i="5"/>
  <c r="AV447" i="5" s="1"/>
  <c r="F479" i="5"/>
  <c r="C477" i="5"/>
  <c r="E477" i="5" s="1"/>
  <c r="F478" i="5"/>
  <c r="E478" i="5"/>
  <c r="L15" i="8"/>
  <c r="L26" i="8" s="1"/>
  <c r="Q473" i="5" l="1"/>
  <c r="Q472" i="5"/>
  <c r="BB447" i="5"/>
  <c r="AW447" i="5"/>
  <c r="M465" i="5"/>
  <c r="M467" i="5" s="1"/>
  <c r="L467" i="5"/>
  <c r="F477" i="5"/>
  <c r="H469" i="5" s="1"/>
  <c r="G469" i="5" s="1"/>
  <c r="E482" i="5" s="1"/>
  <c r="AY447" i="5" l="1"/>
  <c r="BA447" i="5" s="1"/>
  <c r="AZ447" i="5" s="1"/>
  <c r="AX447" i="5"/>
  <c r="BD447" i="5"/>
  <c r="BE447" i="5" s="1"/>
  <c r="BF447" i="5" s="1"/>
  <c r="BC447" i="5"/>
  <c r="F482" i="5"/>
  <c r="F469" i="5"/>
</calcChain>
</file>

<file path=xl/sharedStrings.xml><?xml version="1.0" encoding="utf-8"?>
<sst xmlns="http://schemas.openxmlformats.org/spreadsheetml/2006/main" count="1775" uniqueCount="1147">
  <si>
    <t>COD</t>
  </si>
  <si>
    <t>CLIENTE</t>
  </si>
  <si>
    <t>TELEFONO</t>
  </si>
  <si>
    <t>LOCALIDAD</t>
  </si>
  <si>
    <t>SOLI</t>
  </si>
  <si>
    <t>CTA</t>
  </si>
  <si>
    <t>IMPORTE</t>
  </si>
  <si>
    <t>PAGO</t>
  </si>
  <si>
    <t>SALDO</t>
  </si>
  <si>
    <t>BAJA</t>
  </si>
  <si>
    <t>OBSERVACIONES</t>
  </si>
  <si>
    <t>paramet 1</t>
  </si>
  <si>
    <t>paramet 2</t>
  </si>
  <si>
    <t>BAJAS 7-X</t>
  </si>
  <si>
    <t>CLIENTES</t>
  </si>
  <si>
    <t>$</t>
  </si>
  <si>
    <t>BAJAS 1-6</t>
  </si>
  <si>
    <t>PAGADOS</t>
  </si>
  <si>
    <t>MOROSOS</t>
  </si>
  <si>
    <t>MOROSOS 7 -X</t>
  </si>
  <si>
    <t>MOROSOS 1 -6</t>
  </si>
  <si>
    <t>A COBRAR</t>
  </si>
  <si>
    <t>*******</t>
  </si>
  <si>
    <t>%</t>
  </si>
  <si>
    <t>CUOTAS</t>
  </si>
  <si>
    <t>X CLIENTE</t>
  </si>
  <si>
    <t>TOTAL</t>
  </si>
  <si>
    <t>BAJAS</t>
  </si>
  <si>
    <t>BAJA CTA 1-6</t>
  </si>
  <si>
    <t>BAJA CTA 7-X</t>
  </si>
  <si>
    <t>C/BAJAS</t>
  </si>
  <si>
    <t>MOROSOS CTA 1-6</t>
  </si>
  <si>
    <t>MOROSOS CTA 7-X</t>
  </si>
  <si>
    <t>PROBLEMAS</t>
  </si>
  <si>
    <t>CORDOBA</t>
  </si>
  <si>
    <t>NO PASO</t>
  </si>
  <si>
    <t>PAGARA</t>
  </si>
  <si>
    <t>CON VEND</t>
  </si>
  <si>
    <t>CON VENTAS</t>
  </si>
  <si>
    <t>CON PROP. EC</t>
  </si>
  <si>
    <t>EL COB</t>
  </si>
  <si>
    <t>OTROS</t>
  </si>
  <si>
    <t>MOTIVO</t>
  </si>
  <si>
    <t>CAMBIO DE PLAN</t>
  </si>
  <si>
    <t>X DEVOLUCION</t>
  </si>
  <si>
    <t>MOTIVOS</t>
  </si>
  <si>
    <t>X LITIGIO Y DEVOL.</t>
  </si>
  <si>
    <t>PAGO ANTES</t>
  </si>
  <si>
    <t>PAGOS</t>
  </si>
  <si>
    <t>X AJUSTE</t>
  </si>
  <si>
    <t>X AJUSTES CAJAS</t>
  </si>
  <si>
    <t>NORMAL</t>
  </si>
  <si>
    <t>ADELANTADO</t>
  </si>
  <si>
    <t>PAGOS X ADEL</t>
  </si>
  <si>
    <t>PAGO X ADEL</t>
  </si>
  <si>
    <t>X ADEL</t>
  </si>
  <si>
    <t>MOROSO</t>
  </si>
  <si>
    <t>CALCULO</t>
  </si>
  <si>
    <t>NO PONER DEVOLUCION EN CUOTAS MENOR 15</t>
  </si>
  <si>
    <t xml:space="preserve">COLOCAR  LAS BAJAS COMO SIEMPRE </t>
  </si>
  <si>
    <t>PERO EN EL MOTIVO SOLO EN LA CUOTA MAS BAJA</t>
  </si>
  <si>
    <t>SI ES DEVOL X LITIGIO SE PUEDE COLOCAR EN CUOTAS</t>
  </si>
  <si>
    <t>MENORES A 15</t>
  </si>
  <si>
    <t>C/PXADL</t>
  </si>
  <si>
    <t>PAGOS X AJUSTE</t>
  </si>
  <si>
    <t>PAGOS A IMPUTAR</t>
  </si>
  <si>
    <t>COMISION</t>
  </si>
  <si>
    <t>TOTALES</t>
  </si>
  <si>
    <t>TOTAL COB SIN CUP</t>
  </si>
  <si>
    <t>EL ARRASTE ES EL DINERO PENDIENTE O A FAVOR DEL CLIENTE</t>
  </si>
  <si>
    <t>ARRASTRE</t>
  </si>
  <si>
    <t>SALDO /P ESTAD</t>
  </si>
  <si>
    <t>DIF. FINANCIERA</t>
  </si>
  <si>
    <t>TOTAL CLIENTES</t>
  </si>
  <si>
    <t>A RENDIR</t>
  </si>
  <si>
    <t>VALOR CUOTA</t>
  </si>
  <si>
    <t>COBRANZA SIN CUPONES</t>
  </si>
  <si>
    <t>COBRADORES</t>
  </si>
  <si>
    <t>SUCURSALES</t>
  </si>
  <si>
    <t xml:space="preserve">COB </t>
  </si>
  <si>
    <t xml:space="preserve">SI EL </t>
  </si>
  <si>
    <t>CLIEN PAGO</t>
  </si>
  <si>
    <t>SI EL CLIENTE</t>
  </si>
  <si>
    <t>DEBE ALGO</t>
  </si>
  <si>
    <t>15 C 1-6</t>
  </si>
  <si>
    <t>25 C 7-X</t>
  </si>
  <si>
    <t>MORO O BAJA</t>
  </si>
  <si>
    <t>N° CLIEN</t>
  </si>
  <si>
    <t>OTRO MEDIO</t>
  </si>
  <si>
    <t>OFICINA SAN JUAN</t>
  </si>
  <si>
    <t>BANCO</t>
  </si>
  <si>
    <t>N°CUOTA</t>
  </si>
  <si>
    <t>AUTOHOGAR</t>
  </si>
  <si>
    <t>FALTA DE PAGA</t>
  </si>
  <si>
    <t>PLANILLA SALIDA</t>
  </si>
  <si>
    <t>SAL. REAL</t>
  </si>
  <si>
    <t>CON MORA</t>
  </si>
  <si>
    <t>SISTEMA</t>
  </si>
  <si>
    <t>ESTO SUCEDE PORQUE HAY CLIENTES QUE PAGAN X ADELANTADO</t>
  </si>
  <si>
    <t>COMISION %</t>
  </si>
  <si>
    <t>PROGR/ENTREGA</t>
  </si>
  <si>
    <t>N° COBRADOR</t>
  </si>
  <si>
    <t>TOTAL COBRANZA NORMAL ----&gt;</t>
  </si>
  <si>
    <t>TOTAL COBRANZA S/CUPONES -&gt;</t>
  </si>
  <si>
    <t>TOTAL COBRANZA DE TERCEROS-&gt;</t>
  </si>
  <si>
    <t>RAWSON</t>
  </si>
  <si>
    <t>SAN JUAN</t>
  </si>
  <si>
    <t xml:space="preserve">FECHAS </t>
  </si>
  <si>
    <t>OBLIGACION DE PAGO</t>
  </si>
  <si>
    <t>CATAMARCA</t>
  </si>
  <si>
    <t>TOTAL SALIDO</t>
  </si>
  <si>
    <t>TOTAL COBRADO</t>
  </si>
  <si>
    <t>PORCENTAJE COBRANZA</t>
  </si>
  <si>
    <t>TERMOMETRO</t>
  </si>
  <si>
    <t>PAGO MES ANT</t>
  </si>
  <si>
    <t>Etiquetas de columna</t>
  </si>
  <si>
    <t>Etiquetas de fila</t>
  </si>
  <si>
    <t>(en blanco)</t>
  </si>
  <si>
    <t>Total general</t>
  </si>
  <si>
    <t>(Todas)</t>
  </si>
  <si>
    <t>SALDO P/</t>
  </si>
  <si>
    <t>TOTAL ABONADO AL COBRADOR--&gt;</t>
  </si>
  <si>
    <t xml:space="preserve">TOTAL COBRANZA </t>
  </si>
  <si>
    <t>COBRANZA</t>
  </si>
  <si>
    <t>SIN CUPONES</t>
  </si>
  <si>
    <t>X ADELANTADO</t>
  </si>
  <si>
    <t>TOTAL COBRANZA X M. ELECT-&gt;</t>
  </si>
  <si>
    <t>TOTAL COBRANZA X ADELANTADO-&gt;</t>
  </si>
  <si>
    <t>X M ELECTRONICOS</t>
  </si>
  <si>
    <t>Suma de CON MORA</t>
  </si>
  <si>
    <t>X OFICINA</t>
  </si>
  <si>
    <t>COMISION XOFICINA</t>
  </si>
  <si>
    <t>BCO O ELECT</t>
  </si>
  <si>
    <t>COB XX</t>
  </si>
  <si>
    <t>COMISION PAGO X ADEL %</t>
  </si>
  <si>
    <t>COMISION X BCO. POSNET O M.P %</t>
  </si>
  <si>
    <t>COBRADOR MENDOZA</t>
  </si>
  <si>
    <t>MARTIN SAN JUAN</t>
  </si>
  <si>
    <t>BAJAS DEL PERIODO</t>
  </si>
  <si>
    <t>*</t>
  </si>
  <si>
    <t>BAJAS DEL PERIODO (mora)</t>
  </si>
  <si>
    <t>**</t>
  </si>
  <si>
    <t>MOROSOS DEL PERIODO</t>
  </si>
  <si>
    <t>***</t>
  </si>
  <si>
    <t>TOTAL NO COBRADO DEL PERIDODO</t>
  </si>
  <si>
    <t>* Dinero que no ingresa mas a la empresa</t>
  </si>
  <si>
    <t>** Mora que se convirtio en baja</t>
  </si>
  <si>
    <t>POCITOS</t>
  </si>
  <si>
    <t>TOTAL BAJAS</t>
  </si>
  <si>
    <t>****</t>
  </si>
  <si>
    <t>*****</t>
  </si>
  <si>
    <t>*** Total de bajas</t>
  </si>
  <si>
    <t>**** Clientes que no abonaron  con o sin obligacion</t>
  </si>
  <si>
    <t>BANCO O M ELECTRONICOS</t>
  </si>
  <si>
    <t>ESTRELLA MICAELA DEL ROCIO</t>
  </si>
  <si>
    <t>RAMIREZ PAULA ALEJANDRA</t>
  </si>
  <si>
    <t>MOLINI BETINA LAURA</t>
  </si>
  <si>
    <t>CHIMBAS</t>
  </si>
  <si>
    <t>AGUILAR FIDEL CHOQUE</t>
  </si>
  <si>
    <t>OYOLA SANCHEZ SABRINA MAILEN</t>
  </si>
  <si>
    <t>9 DE JULIO</t>
  </si>
  <si>
    <t>CARRIZO ALEJANDRA NELLY</t>
  </si>
  <si>
    <t>HERRERA FRANCISCO ANTONIO</t>
  </si>
  <si>
    <t>CARPIO NORMA ANA</t>
  </si>
  <si>
    <t>LORENZETTI LANZILOTTA SANDRA P.</t>
  </si>
  <si>
    <t>VARGAS MARIA HORTENCIA</t>
  </si>
  <si>
    <t>BALMACEDA MAZA FRANCISCO EMILIO</t>
  </si>
  <si>
    <t>CAJAS HUGO RICARDO</t>
  </si>
  <si>
    <t>OCHOA BARBARA YAMILA</t>
  </si>
  <si>
    <t>ALANIZ CINTIA MACARENA</t>
  </si>
  <si>
    <t>HEREDIA JUAN CARLOS</t>
  </si>
  <si>
    <t>AGÜERO PATRICIO JAVIER</t>
  </si>
  <si>
    <t>BUSTOS NELLY MABEL</t>
  </si>
  <si>
    <t>SANTA LUCIA</t>
  </si>
  <si>
    <t>ZAMBRA MARIA SOLEDAD</t>
  </si>
  <si>
    <t>GALDEANO CARRIZO HERNAN</t>
  </si>
  <si>
    <t>PASTEN OLMOS ROSA MANUELA</t>
  </si>
  <si>
    <t>PUJADO LOBOS MARTIN DAVID</t>
  </si>
  <si>
    <t>MARINERO GERMAN ANTONIO</t>
  </si>
  <si>
    <t>MOLINA EMANUEL MARCOS JAIRO</t>
  </si>
  <si>
    <t>OCAMPO BLAS RICARDO</t>
  </si>
  <si>
    <t>MERCADO ANA BELEN</t>
  </si>
  <si>
    <t>KENNY NOELIA VANESA</t>
  </si>
  <si>
    <t>AGUERO CARLOS MORENO</t>
  </si>
  <si>
    <t>CAROSELLI YANINA CAROLINA</t>
  </si>
  <si>
    <t>PEREZ LUCAS SEBASTIAN</t>
  </si>
  <si>
    <t>SALCEDO JORGE LUIS</t>
  </si>
  <si>
    <t>NUÑEZ PAMELA GISELLE</t>
  </si>
  <si>
    <t>GUTIERREZ ATENCIO ELDA VANESA</t>
  </si>
  <si>
    <t>264-4580614</t>
  </si>
  <si>
    <t>ZONDA</t>
  </si>
  <si>
    <t>CEVALLE JORGE LEONARDO</t>
  </si>
  <si>
    <t>SILLERO GABRIELA SOLEDAD</t>
  </si>
  <si>
    <t>NAVARRO EDUARDO AGUSTIN</t>
  </si>
  <si>
    <t>RIVEROS DAYANA ESTEFANIA</t>
  </si>
  <si>
    <t>CASTRO OSCAR ALBERTO</t>
  </si>
  <si>
    <t>ARIA MIRTA GLADYS</t>
  </si>
  <si>
    <t>SANTAMARIA RIVEROS DAYANA ELIANA</t>
  </si>
  <si>
    <t>MALLEA ATENCIO PAULA CECILIA</t>
  </si>
  <si>
    <t>FERRA CASTRO GASTON MAXIMILIANO</t>
  </si>
  <si>
    <t>GATICA SEBASTIAN DARIO</t>
  </si>
  <si>
    <t>MERCADO MOLINA LEILA BELEN</t>
  </si>
  <si>
    <t>PARRA SIXTO ANTONIO</t>
  </si>
  <si>
    <t>GOMEZ CARINA JULIETA</t>
  </si>
  <si>
    <t>OLIVERA GISELA ROMINA</t>
  </si>
  <si>
    <t>JOFRE CAROLINA IVANA</t>
  </si>
  <si>
    <t>ILLANES EDUARDO ADRIAN</t>
  </si>
  <si>
    <t>JANAVEL SILVIA LILIANA</t>
  </si>
  <si>
    <t>CASTAN MARIA ARGENTINA</t>
  </si>
  <si>
    <t>ANDRADA JORGELINA AIDA</t>
  </si>
  <si>
    <t>MERCADO MOLINA  DAYANA ELIZABETH</t>
  </si>
  <si>
    <t>LIZARDE SERGIO DANIEL</t>
  </si>
  <si>
    <t>PAEZ EDUARDO ANTONIO</t>
  </si>
  <si>
    <t>JOFRE GRACIELA CRISTINA</t>
  </si>
  <si>
    <t>PEREYRA NUVIA CELESTE</t>
  </si>
  <si>
    <t>264-4829505</t>
  </si>
  <si>
    <t>ELIZONDO MARIO SANTIAGO</t>
  </si>
  <si>
    <t>264-5061888</t>
  </si>
  <si>
    <t>ALBARDON</t>
  </si>
  <si>
    <t>COBRADOR SAN JUAN</t>
  </si>
  <si>
    <t>CAUCETE</t>
  </si>
  <si>
    <t>RIVADAVIA</t>
  </si>
  <si>
    <t>CARRIZO VANESA BERNARDINA</t>
  </si>
  <si>
    <t>264-6241000</t>
  </si>
  <si>
    <t>TRIGO ESPEJO CARLOS JAVIER</t>
  </si>
  <si>
    <t>264-5789951</t>
  </si>
  <si>
    <t>FERNANDEZ GORIA GABRIELA CELESTE</t>
  </si>
  <si>
    <t>264-5676031</t>
  </si>
  <si>
    <t>GERARDO</t>
  </si>
  <si>
    <t>SUAREZ BEATRIZ CAROLINA</t>
  </si>
  <si>
    <t>011-62747711</t>
  </si>
  <si>
    <t>AVELLANEDA</t>
  </si>
  <si>
    <t>REGION NOA</t>
  </si>
  <si>
    <t>JACHAL</t>
  </si>
  <si>
    <t>AGUERO EZEQUIEL JACINTO</t>
  </si>
  <si>
    <t>264-5091143</t>
  </si>
  <si>
    <t>GUEVARA ANTONIO NICOLAS</t>
  </si>
  <si>
    <t>264-4837119</t>
  </si>
  <si>
    <t>HUACO</t>
  </si>
  <si>
    <t>JOFRE ELIZABETH DEL VALLE</t>
  </si>
  <si>
    <t>264-4122541</t>
  </si>
  <si>
    <t>ARIAS LOPEZ JAVIER ALEJANDRO</t>
  </si>
  <si>
    <t>264-5622309</t>
  </si>
  <si>
    <t>PASTEN EMILCE SABRINA</t>
  </si>
  <si>
    <t>264-4739119</t>
  </si>
  <si>
    <t>LUNA OLGA</t>
  </si>
  <si>
    <t>264-4189233</t>
  </si>
  <si>
    <t>TRIGO ALEJANDRO JOSE</t>
  </si>
  <si>
    <t>264-4118920</t>
  </si>
  <si>
    <t>MANRIQUE BRIZUELA BARBARA ELIZABETH</t>
  </si>
  <si>
    <t>264-6611493</t>
  </si>
  <si>
    <t>SEVILLA MAXIMILIANO ALFREDO</t>
  </si>
  <si>
    <t>264-4992333</t>
  </si>
  <si>
    <t>RIVEROS HUGO GUSTAVO</t>
  </si>
  <si>
    <t>264-4816549</t>
  </si>
  <si>
    <t>MELIAN LILIANA BEATRIZ</t>
  </si>
  <si>
    <t>264-4047597</t>
  </si>
  <si>
    <t>NUÑEZ MARIANELA JANET</t>
  </si>
  <si>
    <t>264-6031014</t>
  </si>
  <si>
    <t>MEDIA AGUA</t>
  </si>
  <si>
    <t>VALLEJOS ROSA MARICEL</t>
  </si>
  <si>
    <t>264-5612536</t>
  </si>
  <si>
    <t>MERCADO FLAVIA LIDIA</t>
  </si>
  <si>
    <t>264-6034864</t>
  </si>
  <si>
    <t>ESQUIVEL MARTA</t>
  </si>
  <si>
    <t>AGÜERO LUCERO ESTELA ROSMANI</t>
  </si>
  <si>
    <t>264-5568670</t>
  </si>
  <si>
    <t>PAEZ MARIO JAVIER</t>
  </si>
  <si>
    <t>264-4675674</t>
  </si>
  <si>
    <t>ESCALANTE LUIS MARCELO</t>
  </si>
  <si>
    <t>264-4576759</t>
  </si>
  <si>
    <t>ROJAS RAQUEL EVANGELINA</t>
  </si>
  <si>
    <t>264-5213213</t>
  </si>
  <si>
    <t>OCHOA ERICA DEBORA</t>
  </si>
  <si>
    <t>264-5178841</t>
  </si>
  <si>
    <t>BUENO VALERIA VANESA</t>
  </si>
  <si>
    <t>264-5435239</t>
  </si>
  <si>
    <t>NUÑEZ CHIRINO VIVIANA DEL CARMEN</t>
  </si>
  <si>
    <t>264-6730916</t>
  </si>
  <si>
    <t>LUCERO ROSSANA ELIZABET</t>
  </si>
  <si>
    <t>264-4656502</t>
  </si>
  <si>
    <t>MERINO ZARATE ELIANA SOLEDAD</t>
  </si>
  <si>
    <t>264-6226889</t>
  </si>
  <si>
    <t>FERNANDEZ SILVIA BEATRIZ DEL VALLE</t>
  </si>
  <si>
    <t>264-4857486</t>
  </si>
  <si>
    <t>ALCANIS SUSANA ELIZABETH</t>
  </si>
  <si>
    <t>264-5778208</t>
  </si>
  <si>
    <t>PAZ MAURICIO DANIEL</t>
  </si>
  <si>
    <t>264-5519338</t>
  </si>
  <si>
    <t>VALDEZ DANISA ANGELES</t>
  </si>
  <si>
    <t>264-6292028</t>
  </si>
  <si>
    <t>AMANTE VALVERDE CECILIA DEL VALLE</t>
  </si>
  <si>
    <t>264-4284516</t>
  </si>
  <si>
    <t>CASTRO RAQUEL VIRGINIA</t>
  </si>
  <si>
    <t>264-4459168</t>
  </si>
  <si>
    <t>MARQUESADO</t>
  </si>
  <si>
    <t>TRIGO IBAÑEZ GRACIELA DEL VALLE</t>
  </si>
  <si>
    <t>264-4367196</t>
  </si>
  <si>
    <t>264-5154583</t>
  </si>
  <si>
    <t>264-6294296</t>
  </si>
  <si>
    <t>MONTENEGRO DURAND NOELIA JAQUELINA</t>
  </si>
  <si>
    <t>264-4369622</t>
  </si>
  <si>
    <t>PEREIRA JULIO DAVID</t>
  </si>
  <si>
    <t>264-5808073</t>
  </si>
  <si>
    <t>ESPEJO PAOLA GISELA</t>
  </si>
  <si>
    <t>264-5692712</t>
  </si>
  <si>
    <t>ESCUELA ANA LORENA</t>
  </si>
  <si>
    <t>264-5424491</t>
  </si>
  <si>
    <t>NARVAY FERNANDA MALENA</t>
  </si>
  <si>
    <t>264-6307722</t>
  </si>
  <si>
    <t>ALVARES TEJADA MICAELA MILAGROS</t>
  </si>
  <si>
    <t>264-6271218</t>
  </si>
  <si>
    <t>BULIAN MARIA CRISTINA</t>
  </si>
  <si>
    <t>264-4605564</t>
  </si>
  <si>
    <t>MOLINA AGÜERO AYELEN VICTORIA</t>
  </si>
  <si>
    <t>264-4855430</t>
  </si>
  <si>
    <t>ARGUELLO FELIPE NORBERTO</t>
  </si>
  <si>
    <t>264-5633816</t>
  </si>
  <si>
    <t>GUZMAN EMILCE</t>
  </si>
  <si>
    <t>264-6732584</t>
  </si>
  <si>
    <t>AGÜERO GUSTAVO LEONARDO</t>
  </si>
  <si>
    <t>264-6732819</t>
  </si>
  <si>
    <t>CASTRO CARLOS ESTEBAN</t>
  </si>
  <si>
    <t>264-5715274</t>
  </si>
  <si>
    <t>QUIROZ BRAIAN GASTON</t>
  </si>
  <si>
    <t>264-4442085</t>
  </si>
  <si>
    <t xml:space="preserve">MERCADO PAGO </t>
  </si>
  <si>
    <t xml:space="preserve">EFECTIVO </t>
  </si>
  <si>
    <t>aumenta a 55.000</t>
  </si>
  <si>
    <t>aumenta a 60.000</t>
  </si>
  <si>
    <t>GALICIA</t>
  </si>
  <si>
    <t xml:space="preserve">EFECTIVO / LE CAMBIARON LA FECHA DE COBRO . 10 AL 15 DE CADA MES </t>
  </si>
  <si>
    <t>aumenta a 65.000</t>
  </si>
  <si>
    <t>MEDIO ELECTRONICO</t>
  </si>
  <si>
    <t>CHAVES TANIA DANIELA</t>
  </si>
  <si>
    <t>264-5162860</t>
  </si>
  <si>
    <t>REYES BRIZUELA ERNESTO FABIAN</t>
  </si>
  <si>
    <t>264-6258738</t>
  </si>
  <si>
    <t>CALDERON ROSANA ANALIA</t>
  </si>
  <si>
    <t>264-5315461</t>
  </si>
  <si>
    <t>SELVA RODRIGO GABRIEL</t>
  </si>
  <si>
    <t>264-4393989</t>
  </si>
  <si>
    <t>UREÑA AVILA MARIA GLADIS</t>
  </si>
  <si>
    <t>264-4513851</t>
  </si>
  <si>
    <t>ARIAS YESICA TAMARA</t>
  </si>
  <si>
    <t>299-5486406</t>
  </si>
  <si>
    <t>NEUQUEN</t>
  </si>
  <si>
    <t>CRUZ INES CAROLINA</t>
  </si>
  <si>
    <t>264-5111481</t>
  </si>
  <si>
    <t>BARREAL</t>
  </si>
  <si>
    <t>BUENO YAMILA YAEL</t>
  </si>
  <si>
    <t>264-4636636</t>
  </si>
  <si>
    <t>CARBAJAL NORMA JORGELINA</t>
  </si>
  <si>
    <t>264-6226421</t>
  </si>
  <si>
    <t>MUÑOZ MERCADO ELIZABETH</t>
  </si>
  <si>
    <t>PAEZ JOFRE MARIANELA FABIANA</t>
  </si>
  <si>
    <t>264-5168204</t>
  </si>
  <si>
    <t>ILLANES VILLAFAÑE MARIA LAURA</t>
  </si>
  <si>
    <t>264-4110199</t>
  </si>
  <si>
    <t>ZARATE PASTORIZA NAHUEL AGUSTIN</t>
  </si>
  <si>
    <t>264-3172812</t>
  </si>
  <si>
    <t>ROJAS VIDELA DAIANA MICAELA</t>
  </si>
  <si>
    <t>264-4741680</t>
  </si>
  <si>
    <t>MORALES OSCAR ANTONIO</t>
  </si>
  <si>
    <t>264-5605130</t>
  </si>
  <si>
    <t>GAITAN MONICA MARIA</t>
  </si>
  <si>
    <t>264-4833909</t>
  </si>
  <si>
    <t>TELLO DOMINGA MANUELA</t>
  </si>
  <si>
    <t>264-5260938</t>
  </si>
  <si>
    <t>ALMAZAN ELIZABETH IDOLINA</t>
  </si>
  <si>
    <t>264-5560179</t>
  </si>
  <si>
    <t>NIEVAS AGUILERA AIXA GUADALUPE</t>
  </si>
  <si>
    <t>264-4584988</t>
  </si>
  <si>
    <t>LA PUNTILLA</t>
  </si>
  <si>
    <t>GOMEZ PERALTA NICOLAS SEBASTIAN</t>
  </si>
  <si>
    <t>264-5545990</t>
  </si>
  <si>
    <t>AGUIRRE LOPEZ RITA NAHIR</t>
  </si>
  <si>
    <t>264-5184625</t>
  </si>
  <si>
    <t>REYES OSCAR ALFREDO</t>
  </si>
  <si>
    <t>264-5416398</t>
  </si>
  <si>
    <t>CORDOBA GIAMATEO  YODALIA MILAGROS</t>
  </si>
  <si>
    <t>264-4146576</t>
  </si>
  <si>
    <t>CASTRO FLORES DANIELA SOLANGE</t>
  </si>
  <si>
    <t>264-5593021</t>
  </si>
  <si>
    <t>LOS BERROS</t>
  </si>
  <si>
    <t>ARANCIBIA GALLARDO JORGE IVAN</t>
  </si>
  <si>
    <t>264-5713755</t>
  </si>
  <si>
    <t>HIDALGO ARACENA ENZO NAHUEL</t>
  </si>
  <si>
    <t>264-5039183</t>
  </si>
  <si>
    <t>GUIAMATEO RAMONA ISABEL</t>
  </si>
  <si>
    <t>264-5673501</t>
  </si>
  <si>
    <t>QUIROGA BARZOLA CLARA BELEN</t>
  </si>
  <si>
    <t>264-5536465</t>
  </si>
  <si>
    <t>CHAMORRO PEREA MARTIN ALFREDO</t>
  </si>
  <si>
    <t>264-4647030</t>
  </si>
  <si>
    <t>PONTORIERO MARIA DE LOS ANGELES</t>
  </si>
  <si>
    <t>264-4543404</t>
  </si>
  <si>
    <t>CASTRO AILEN BETIANA</t>
  </si>
  <si>
    <t>264-5483290</t>
  </si>
  <si>
    <t>SARMIENTO ZEBALLOS REBECA</t>
  </si>
  <si>
    <t>264-5846954</t>
  </si>
  <si>
    <t>BERMEJO BRUNO EXEQUIEL</t>
  </si>
  <si>
    <t>264-3203561</t>
  </si>
  <si>
    <t>SUERO F. LUIS ANTONIO</t>
  </si>
  <si>
    <t>264-5439684</t>
  </si>
  <si>
    <t>SANCHEZ GARCIA GLADYS MARCELA</t>
  </si>
  <si>
    <t>261-6205439</t>
  </si>
  <si>
    <t>GUIAMATEO FLAVIA SABRINA</t>
  </si>
  <si>
    <t>264-5780672</t>
  </si>
  <si>
    <t>ALCARAZ RICARDO RAMON</t>
  </si>
  <si>
    <t>264-5794260</t>
  </si>
  <si>
    <t>EL RINCON</t>
  </si>
  <si>
    <t>VARGAS ROSA NELIDA</t>
  </si>
  <si>
    <t>264-3207124</t>
  </si>
  <si>
    <t>ORTEGA ROSA DEL JESUS</t>
  </si>
  <si>
    <t>264-4101302</t>
  </si>
  <si>
    <t>BARQUIEL PATRICIA ROXANA</t>
  </si>
  <si>
    <t>264-6735847</t>
  </si>
  <si>
    <t>CALDERON KIEFER YANINA VANESA</t>
  </si>
  <si>
    <t>264-6118331</t>
  </si>
  <si>
    <t>POCITO</t>
  </si>
  <si>
    <t>CHIRINO GUSTAVO ESTEBAN</t>
  </si>
  <si>
    <t>264-5709112</t>
  </si>
  <si>
    <t>CHAVES EDUARDO OSCAR</t>
  </si>
  <si>
    <t>BUSTAMANTE FACUNDO DAVID</t>
  </si>
  <si>
    <t>264-6131748</t>
  </si>
  <si>
    <t>DONOSO DEBORA ELIZABETH</t>
  </si>
  <si>
    <t>264-5414429</t>
  </si>
  <si>
    <t>FLORES JUAREZ ROCIO JAQUELINA</t>
  </si>
  <si>
    <t>264-5634405</t>
  </si>
  <si>
    <t>PAEZ ELBA NATALIA</t>
  </si>
  <si>
    <t>264-5868657</t>
  </si>
  <si>
    <t>SORIA INES DEL CARMEN</t>
  </si>
  <si>
    <t>264-6776546</t>
  </si>
  <si>
    <t>MARTI MARIO</t>
  </si>
  <si>
    <t>264-6741510</t>
  </si>
  <si>
    <t>REYNA VILLAFAÑE TAMARA ELINA</t>
  </si>
  <si>
    <t>264-5834008</t>
  </si>
  <si>
    <t>PORRAS FLAVIO MAXIMILIANO</t>
  </si>
  <si>
    <t>264-4571774</t>
  </si>
  <si>
    <t>TELLO HERRERA MARIA SOLEDAD</t>
  </si>
  <si>
    <t>264-3185173</t>
  </si>
  <si>
    <t>RIVAS ESTELA MYRIAM</t>
  </si>
  <si>
    <t>264-4139436</t>
  </si>
  <si>
    <t>REYNOSO TAMARA ANABELA</t>
  </si>
  <si>
    <t>264-5287397</t>
  </si>
  <si>
    <t>MENDOZA BARROS CYNTHIA ROCIO</t>
  </si>
  <si>
    <t>264-4195855</t>
  </si>
  <si>
    <t>ACEVEDO PABLO NAHUEL</t>
  </si>
  <si>
    <t>264-6295446</t>
  </si>
  <si>
    <t>aumenta a 60000</t>
  </si>
  <si>
    <t>no aumenta</t>
  </si>
  <si>
    <t>aumenta a 30000</t>
  </si>
  <si>
    <t>aumetna a 60000</t>
  </si>
  <si>
    <t>pausa plan paga la carpeta carbajl norma 3 carpetas mas</t>
  </si>
  <si>
    <t>en febro aumenta esta con un prestamo</t>
  </si>
  <si>
    <t>posible baja no aumenta</t>
  </si>
  <si>
    <t>no aumenta mas no puede</t>
  </si>
  <si>
    <t xml:space="preserve">no aumenta </t>
  </si>
  <si>
    <t>no puede aumenta mas</t>
  </si>
  <si>
    <t xml:space="preserve">tiene discapacida no puede aumentar </t>
  </si>
  <si>
    <t>no puede pagar mas</t>
  </si>
  <si>
    <t>esta con problema de salud estuvo grave</t>
  </si>
  <si>
    <t>no puede pagar mas q 30.000</t>
  </si>
  <si>
    <t>no peude pagar mas q 30.000</t>
  </si>
  <si>
    <t>no quiere auemntar mas quiere la casa se le hablo mas de una vez queria poner abogado</t>
  </si>
  <si>
    <t>ya aumento</t>
  </si>
  <si>
    <t xml:space="preserve">paga en 2 veces porque no le alcanza no puede aumentar </t>
  </si>
  <si>
    <t>no puede aumentar</t>
  </si>
  <si>
    <t xml:space="preserve">no puede aumentar </t>
  </si>
  <si>
    <t>no puede aumentar todavia en unos meses mas</t>
  </si>
  <si>
    <t>aumenta a 80.000</t>
  </si>
  <si>
    <t>VEGA HERRERA ALEJANDRO</t>
  </si>
  <si>
    <t>264-4479669</t>
  </si>
  <si>
    <t>MALLEA REYNA MARY</t>
  </si>
  <si>
    <t>2647-404418</t>
  </si>
  <si>
    <t>BALMACEDA ESTER MARIA</t>
  </si>
  <si>
    <t>264-7420363</t>
  </si>
  <si>
    <t>MANRIQUE MARIA DEL CARMEN</t>
  </si>
  <si>
    <t>264-4754914</t>
  </si>
  <si>
    <t>GARAY MARCELO</t>
  </si>
  <si>
    <t>264-5269535</t>
  </si>
  <si>
    <t>OLMOS CLAUDIO EZEQUIEL</t>
  </si>
  <si>
    <t>264-5701783</t>
  </si>
  <si>
    <t>GARAY MARCELO ROBERTO</t>
  </si>
  <si>
    <t>GARAY JUAN ARIEL</t>
  </si>
  <si>
    <t>264-4894243</t>
  </si>
  <si>
    <t>MAÑE MERCEDES CAROLINA</t>
  </si>
  <si>
    <t>264-6118911</t>
  </si>
  <si>
    <t>ALMAZAN JUAN ARIEL</t>
  </si>
  <si>
    <t>264-6245764</t>
  </si>
  <si>
    <t>BUSTOS ELIZABETH NOEMI</t>
  </si>
  <si>
    <t>264-5207638</t>
  </si>
  <si>
    <t>ROBLEDO NELIDA LOURDES</t>
  </si>
  <si>
    <t>264-4428110</t>
  </si>
  <si>
    <t>AZCURRA RUBEN ISAAC</t>
  </si>
  <si>
    <t>261-2530350</t>
  </si>
  <si>
    <t>MUÑOZ ALICIA ADRIANA</t>
  </si>
  <si>
    <t>264-4700323</t>
  </si>
  <si>
    <t>CEPEDA MANUEL ALFREDO</t>
  </si>
  <si>
    <t>264-5252064</t>
  </si>
  <si>
    <t>CERDA FABIAN ALEJANDRO</t>
  </si>
  <si>
    <t>264-6621777</t>
  </si>
  <si>
    <t>264-6053240</t>
  </si>
  <si>
    <t>PEREZ JOSE ISMAEL</t>
  </si>
  <si>
    <t>264-5122570</t>
  </si>
  <si>
    <t>OLMOS DUILIO ABEL</t>
  </si>
  <si>
    <t>264-6311530</t>
  </si>
  <si>
    <t>FIGUEROA JORGE LUIS</t>
  </si>
  <si>
    <t>264-4912320</t>
  </si>
  <si>
    <t>PAREDES HUGO ARIEL</t>
  </si>
  <si>
    <t>264-7409479</t>
  </si>
  <si>
    <t>RODEO</t>
  </si>
  <si>
    <t>CASTRO MARIA EUGENIA</t>
  </si>
  <si>
    <t>264-5708738</t>
  </si>
  <si>
    <t>CORTEZ MAURICIO GASTON</t>
  </si>
  <si>
    <t>264-5744075</t>
  </si>
  <si>
    <t>ORTIZ GLADYS VANESSA</t>
  </si>
  <si>
    <t>264-6727558</t>
  </si>
  <si>
    <t>ORELLANO VERA YESICA BEATRIZ</t>
  </si>
  <si>
    <t>264-5242068</t>
  </si>
  <si>
    <t>RAMOS SANDRA FABIANA</t>
  </si>
  <si>
    <t>264-4117747</t>
  </si>
  <si>
    <t>GOMEZ LILIANA ANDREA</t>
  </si>
  <si>
    <t>264-4706681</t>
  </si>
  <si>
    <t>RUIZ FABIANA ANDREA</t>
  </si>
  <si>
    <t>264-4519628</t>
  </si>
  <si>
    <t>ESCUDERO MIRTA DEL ROSARIO</t>
  </si>
  <si>
    <t>264-4513395</t>
  </si>
  <si>
    <t>ESCUDERO ANGELA VICTORIA</t>
  </si>
  <si>
    <t>264-5534094</t>
  </si>
  <si>
    <t>GALLARDO CRISTINA NOELIA</t>
  </si>
  <si>
    <t>264-5056449</t>
  </si>
  <si>
    <t>DOMINGUEZ MIRIAM EDIT</t>
  </si>
  <si>
    <t>264-4846202</t>
  </si>
  <si>
    <t>TORRES PEREZ DARIO RAMON</t>
  </si>
  <si>
    <t>264-4563844</t>
  </si>
  <si>
    <t>ARABENA HECTOR ARIEL</t>
  </si>
  <si>
    <t>264-4742020</t>
  </si>
  <si>
    <t>ROMERO RODRIGO SEBASTIAN</t>
  </si>
  <si>
    <t>290-1512977</t>
  </si>
  <si>
    <t>USHUAIA</t>
  </si>
  <si>
    <t>PORRAS NESTOR DARIO</t>
  </si>
  <si>
    <t>264-5820499</t>
  </si>
  <si>
    <t>VILLAFAÑE JOHANA BELEN</t>
  </si>
  <si>
    <t>264-4693995</t>
  </si>
  <si>
    <t>ANDRES ESPINDOLA WALTER DARIO</t>
  </si>
  <si>
    <t>264-4158966</t>
  </si>
  <si>
    <t>BARRIONUEVO RICARDO EMMANUEL</t>
  </si>
  <si>
    <t>264-6239199</t>
  </si>
  <si>
    <t>HERRERA FANTINI CHRISTIAN DAVID</t>
  </si>
  <si>
    <t>264-4429237</t>
  </si>
  <si>
    <t>CORTES VICTOR MANUEL</t>
  </si>
  <si>
    <t>264-4565862</t>
  </si>
  <si>
    <t>FUENTES EMILIANO</t>
  </si>
  <si>
    <t>264-4593106</t>
  </si>
  <si>
    <t>YACANTE ALLENDE FRANCISCO JAVIER</t>
  </si>
  <si>
    <t>264-4557852</t>
  </si>
  <si>
    <t>BARRIONUEVO SILVIA EDITH</t>
  </si>
  <si>
    <t>264-5698327</t>
  </si>
  <si>
    <t>ARCE MATUS CARLOS ALEJANDRO</t>
  </si>
  <si>
    <t>264-4985863</t>
  </si>
  <si>
    <t>SANZ MARIA BELEN</t>
  </si>
  <si>
    <t>264-4218590</t>
  </si>
  <si>
    <t>HIDALGO MORENO MAURO</t>
  </si>
  <si>
    <t>264-4059779</t>
  </si>
  <si>
    <t>DIAZ ANTONELLA YAMILA</t>
  </si>
  <si>
    <t>264-4743505</t>
  </si>
  <si>
    <t>LARA ELVIO ARNALDO</t>
  </si>
  <si>
    <t>264-6613176</t>
  </si>
  <si>
    <t>VAZQUEZ LUCIA NILDA</t>
  </si>
  <si>
    <t>264-6194557</t>
  </si>
  <si>
    <t>FUENTEALBA BETANCOURT NATALIA L</t>
  </si>
  <si>
    <t>264-6603964</t>
  </si>
  <si>
    <t>LUNA OSVALDO MARIO</t>
  </si>
  <si>
    <t>264-8838887</t>
  </si>
  <si>
    <t>HORQUERA BARRRIONUEVO CLAUDIA ELIZABETH</t>
  </si>
  <si>
    <t>264-4047122</t>
  </si>
  <si>
    <t>SIDASMED NOELIA PATRICIA</t>
  </si>
  <si>
    <t>264-4503678</t>
  </si>
  <si>
    <t>LEPEZ MEDINA MIRIAM AYELEN</t>
  </si>
  <si>
    <t>264-5143197</t>
  </si>
  <si>
    <t>CALDERON ELIANA ELIZABETH</t>
  </si>
  <si>
    <t>264-4147056</t>
  </si>
  <si>
    <t>SANCHEZ CESAR ALEJANDRO</t>
  </si>
  <si>
    <t>264-4731496</t>
  </si>
  <si>
    <t>GOMEZ EDITH JORGELINA</t>
  </si>
  <si>
    <t>264-5069722</t>
  </si>
  <si>
    <t>MERCADO LEONARDO FRANCISCO</t>
  </si>
  <si>
    <t>264-4638570</t>
  </si>
  <si>
    <t>FERNANDEZ ALEJANDRA EDITH</t>
  </si>
  <si>
    <t>264-5168910</t>
  </si>
  <si>
    <t>OCHOA MARIA LUISA</t>
  </si>
  <si>
    <t>264-4449786</t>
  </si>
  <si>
    <t>LA RIOJA CAPITAL</t>
  </si>
  <si>
    <t>ESPIN CRISTINA CECILIA</t>
  </si>
  <si>
    <t>264-6702585</t>
  </si>
  <si>
    <t>VILLA DOLORES</t>
  </si>
  <si>
    <t>BRITOS MARIA DE LOS ANGELES</t>
  </si>
  <si>
    <t>264-4363490</t>
  </si>
  <si>
    <t>PAEZ SONIA EVA</t>
  </si>
  <si>
    <t>264-5671020</t>
  </si>
  <si>
    <t>DE LOS SANTOS ROMINA DE LOURDES</t>
  </si>
  <si>
    <t>264-4983622</t>
  </si>
  <si>
    <t>VILLALA MONICA PATRICIA</t>
  </si>
  <si>
    <t>264-4710263</t>
  </si>
  <si>
    <t>BUSTOS ROSA ALICIA</t>
  </si>
  <si>
    <t>264-4042831</t>
  </si>
  <si>
    <t>PALACIO ANDREA VERONICA</t>
  </si>
  <si>
    <t xml:space="preserve">264-4562716_x000D_
</t>
  </si>
  <si>
    <t>VILLACORTA FABIANA ALEJANDRA</t>
  </si>
  <si>
    <t>264-6726589</t>
  </si>
  <si>
    <t>MILLA VERONICA ANTONIA</t>
  </si>
  <si>
    <t>264-4727755</t>
  </si>
  <si>
    <t>BORDON BARBARITA ANGELA</t>
  </si>
  <si>
    <t>264-4844842</t>
  </si>
  <si>
    <t>SORIA PALACIO GERMAN OMAR</t>
  </si>
  <si>
    <t>264-4758154</t>
  </si>
  <si>
    <t>ARROYO MARIANA DEOLINDA</t>
  </si>
  <si>
    <t>264-5725038</t>
  </si>
  <si>
    <t>ANGACO</t>
  </si>
  <si>
    <t>AMIN NOELIA ELIZABETH</t>
  </si>
  <si>
    <t>264-4450884</t>
  </si>
  <si>
    <t>MALDONADO NELLY LEONOR</t>
  </si>
  <si>
    <t>264-6716597</t>
  </si>
  <si>
    <t>ALVAREZ MORAN CARMEN BEATRIZ</t>
  </si>
  <si>
    <t>264-5895577</t>
  </si>
  <si>
    <t>PEREZ ALEJANDRO MAXIMILIANO</t>
  </si>
  <si>
    <t>264-6706973</t>
  </si>
  <si>
    <t>ANGUALASTO</t>
  </si>
  <si>
    <t>DELGADO JESUS ALEJANDRO</t>
  </si>
  <si>
    <t>264-5820769</t>
  </si>
  <si>
    <t>MERCADO ANDRES</t>
  </si>
  <si>
    <t>264-6710519</t>
  </si>
  <si>
    <t>ARAYA PABLO RAUL</t>
  </si>
  <si>
    <t>261-7751681</t>
  </si>
  <si>
    <t>VILLA TULUMAYA</t>
  </si>
  <si>
    <t>GOMEZ MARIA OLGA</t>
  </si>
  <si>
    <t>264-5274175</t>
  </si>
  <si>
    <t>ESPINOZA SALAS ELVIA MATILDE</t>
  </si>
  <si>
    <t>264-6719959</t>
  </si>
  <si>
    <t>RUARTE MARIANA MICAELA</t>
  </si>
  <si>
    <t>264-5727885</t>
  </si>
  <si>
    <t>SISTERNA RIVERO MARIA FLORENCIA</t>
  </si>
  <si>
    <t>264-5209958</t>
  </si>
  <si>
    <t>CONTRERAS ORTIZ JESUS OMAR</t>
  </si>
  <si>
    <t>264-6222031</t>
  </si>
  <si>
    <t>ALTO DE SIERRA</t>
  </si>
  <si>
    <t>DELGADO FERNANDO EXEQUIEL</t>
  </si>
  <si>
    <t>264-6614350</t>
  </si>
  <si>
    <t>MARTINEZ CARLOS ALBERTO</t>
  </si>
  <si>
    <t>264-4506224</t>
  </si>
  <si>
    <t>DIAZ DIAZ ROXANA ELIANA</t>
  </si>
  <si>
    <t>264-6757476</t>
  </si>
  <si>
    <t>NAVARRO NOELIA GISEL</t>
  </si>
  <si>
    <t>264-6255735</t>
  </si>
  <si>
    <t>VARGAS ESPINOSA MARCELA FRANCISCA</t>
  </si>
  <si>
    <t>264-6737776</t>
  </si>
  <si>
    <t>TORRES VEDOYA PABLO EZEQUIEL</t>
  </si>
  <si>
    <t>264-4701542</t>
  </si>
  <si>
    <t>GAITAN VALERIA VANESA</t>
  </si>
  <si>
    <t>264-5818904</t>
  </si>
  <si>
    <t>OLIVERA ELISA VALERIA</t>
  </si>
  <si>
    <t>264-4447849</t>
  </si>
  <si>
    <t>JACAMO KARINA ITATI</t>
  </si>
  <si>
    <t>264-6702641</t>
  </si>
  <si>
    <t>PEREZ GUSTAVO MARCELO</t>
  </si>
  <si>
    <t>264-5119091</t>
  </si>
  <si>
    <t>HUANCA QUISPE MIRIAM NANCY</t>
  </si>
  <si>
    <t>264-5645707</t>
  </si>
  <si>
    <t>ORMEÑO DEGO ANDRES</t>
  </si>
  <si>
    <t>264-4993610</t>
  </si>
  <si>
    <t>ESPEJO ALEXANDRA VANESA</t>
  </si>
  <si>
    <t>264-5163415</t>
  </si>
  <si>
    <t>CHAVEZ FELIPE RAUL</t>
  </si>
  <si>
    <t>264-5865262</t>
  </si>
  <si>
    <t>QUIROGA MAYRA GISELA</t>
  </si>
  <si>
    <t>264-5304024</t>
  </si>
  <si>
    <t>CASTILLO DARIO ANGEL</t>
  </si>
  <si>
    <t>264-4525444</t>
  </si>
  <si>
    <t>CHIFFEL CARDOZO RENZO EMANUEL</t>
  </si>
  <si>
    <t>264-5759513</t>
  </si>
  <si>
    <t>IBAÑEZ ROBERTO EXEQUIEL</t>
  </si>
  <si>
    <t>264-4197299</t>
  </si>
  <si>
    <t>BARRIONUEVO BENITEZ LUJAN LUCIA</t>
  </si>
  <si>
    <t>264-5191115</t>
  </si>
  <si>
    <t>NARVAEZ ESTELA NANCY</t>
  </si>
  <si>
    <t>264-5190382</t>
  </si>
  <si>
    <t>MALLA SILVIA MARCELA</t>
  </si>
  <si>
    <t>BS AS</t>
  </si>
  <si>
    <t>CASTRO GONZALEZ ANA BELEN</t>
  </si>
  <si>
    <t>264-5272781</t>
  </si>
  <si>
    <t>MARTINEZ CRISTIAN IVAN</t>
  </si>
  <si>
    <t>264-5738515</t>
  </si>
  <si>
    <t>DOMINGUEZ IBACETA IVANNA ANDREA</t>
  </si>
  <si>
    <t>299-4565379</t>
  </si>
  <si>
    <t>MENDEZ LAURA VIVIANA</t>
  </si>
  <si>
    <t>264-4820757</t>
  </si>
  <si>
    <t>FORTUNA VICTOR OSVALDO</t>
  </si>
  <si>
    <t>264-4465443</t>
  </si>
  <si>
    <t>PEÑA BARRIONUEVO BEATRIZ MERCEDES</t>
  </si>
  <si>
    <t>264-6191587</t>
  </si>
  <si>
    <t>MARIN FARIAS MAURICIO ALEJANDRO</t>
  </si>
  <si>
    <t>264-5858110</t>
  </si>
  <si>
    <t>ESPEJO MARIA LUDMILA</t>
  </si>
  <si>
    <t>264-5821292</t>
  </si>
  <si>
    <t>DOMINGUEZ ESTEBAN RUBEN</t>
  </si>
  <si>
    <t>264-4034817</t>
  </si>
  <si>
    <t>SABATINO MARCOS ADRIAN</t>
  </si>
  <si>
    <t>264-4648181</t>
  </si>
  <si>
    <t>QUIROGA IBAÑEZ CAMILA BELEN</t>
  </si>
  <si>
    <t>264-4745430</t>
  </si>
  <si>
    <t>TAPIA GONZALEZ CATERINA</t>
  </si>
  <si>
    <t>264-5863829</t>
  </si>
  <si>
    <t>SALINAS OSCAR LUIS</t>
  </si>
  <si>
    <t>264-5873414</t>
  </si>
  <si>
    <t>GARRAMUÑO JESUS ARIEL</t>
  </si>
  <si>
    <t>264-5621445</t>
  </si>
  <si>
    <t>ROBLEDO LAURA BEATRIZ</t>
  </si>
  <si>
    <t>264-5298054</t>
  </si>
  <si>
    <t>MADRID CARLOS MARCELO</t>
  </si>
  <si>
    <t>264-5697471</t>
  </si>
  <si>
    <t>PELAYES NARVAEZ PAOLA NOELIA</t>
  </si>
  <si>
    <t>264-4405509</t>
  </si>
  <si>
    <t>HERRERA ROCIO BELEN</t>
  </si>
  <si>
    <t>264-5835013</t>
  </si>
  <si>
    <t>OLIVERA ROMINA EMILCE</t>
  </si>
  <si>
    <t>264-4637816</t>
  </si>
  <si>
    <t>TAPIA SOSA LAURA ISABEL</t>
  </si>
  <si>
    <t>264-4821113</t>
  </si>
  <si>
    <t>LUCERO CARMONA YAQUELINA ELIZABETH</t>
  </si>
  <si>
    <t>264-6106850</t>
  </si>
  <si>
    <t>MOLINA DOMINGA NOEMI</t>
  </si>
  <si>
    <t>264-5531366</t>
  </si>
  <si>
    <t>SANCHEZ ADARVEZ FEDERICO JAVIER</t>
  </si>
  <si>
    <t>264-5413514</t>
  </si>
  <si>
    <t>OLIVERA SILVANA ESTER</t>
  </si>
  <si>
    <t>264-5156377</t>
  </si>
  <si>
    <t>FALCON ARTEZ YANINA VANESA</t>
  </si>
  <si>
    <t>264-4806498</t>
  </si>
  <si>
    <t>MACHUCA DIEGO MARTIN</t>
  </si>
  <si>
    <t>264-6735637</t>
  </si>
  <si>
    <t>PAREDES MAXIMILIANO OSCAR</t>
  </si>
  <si>
    <t>264-5727386</t>
  </si>
  <si>
    <t>CARRIZO GONZALEZ FLORENCIA ANAHI</t>
  </si>
  <si>
    <t>264-5479395</t>
  </si>
  <si>
    <t>DI CARLO DIAZ FLORENCIA BELEN</t>
  </si>
  <si>
    <t>264-5057070</t>
  </si>
  <si>
    <t>ELIZONDO LAURA EDITH</t>
  </si>
  <si>
    <t>264-6295342</t>
  </si>
  <si>
    <t>RAMIREZ GARCIA BLANCA ISABEL</t>
  </si>
  <si>
    <t>264-4121780</t>
  </si>
  <si>
    <t>GONZALEZ MARCELA VERONICA</t>
  </si>
  <si>
    <t>298-4878458</t>
  </si>
  <si>
    <t>TAPIAS CASTRO CANDELA DEL VALLE</t>
  </si>
  <si>
    <t>264-5115214</t>
  </si>
  <si>
    <t>LAIMES INGRID NICOLE SOLEDAD</t>
  </si>
  <si>
    <t>264-5573680</t>
  </si>
  <si>
    <t>ARMADA AMPARO NOEMI</t>
  </si>
  <si>
    <t>264-4869149</t>
  </si>
  <si>
    <t>AVILA ALICIA CRISTINA</t>
  </si>
  <si>
    <t>264-4510416</t>
  </si>
  <si>
    <t>ARBO CARLOS ADRIAN</t>
  </si>
  <si>
    <t>264-4733652</t>
  </si>
  <si>
    <t>LUJAN DISTEFANO JOANA EMILSE</t>
  </si>
  <si>
    <t>264-5618366</t>
  </si>
  <si>
    <t>CASTILLO MARTHA BEATRIZ</t>
  </si>
  <si>
    <t>264-4479687</t>
  </si>
  <si>
    <t>MARADONA LORENA PAOLA</t>
  </si>
  <si>
    <t>264-5188982</t>
  </si>
  <si>
    <t>CARDOZO MIRANDA PAOLA VANESA</t>
  </si>
  <si>
    <t>264-6059918</t>
  </si>
  <si>
    <t>OLEA AÑASCO FRANCO ANDRES</t>
  </si>
  <si>
    <t>264-4525562</t>
  </si>
  <si>
    <t>SANTANA ANIBAL SEFERINO</t>
  </si>
  <si>
    <t>264-5639590</t>
  </si>
  <si>
    <t>QUIROGA MAURICIO JAVIER</t>
  </si>
  <si>
    <t>264-4554480</t>
  </si>
  <si>
    <t>DIAZ ERNESTO FABIAN</t>
  </si>
  <si>
    <t>264-5892492</t>
  </si>
  <si>
    <t>DIAZ MIGUEL ANGEL</t>
  </si>
  <si>
    <t>264-5103121</t>
  </si>
  <si>
    <t>BURGOA YOHANA GISEL</t>
  </si>
  <si>
    <t>264-4993064</t>
  </si>
  <si>
    <t>MACIAS DANIELA VALERIA</t>
  </si>
  <si>
    <t>264-4038388</t>
  </si>
  <si>
    <t>RECHES SANCHEZ ELBIO</t>
  </si>
  <si>
    <t>264-5023303</t>
  </si>
  <si>
    <t>SOLARES SERGIO EDUARDO</t>
  </si>
  <si>
    <t>264-5265016</t>
  </si>
  <si>
    <t>ARAYA GRISELDA ROSA</t>
  </si>
  <si>
    <t>264-4707695</t>
  </si>
  <si>
    <t>MARTINEZ BENAVIDEZ ANDREA ROSANA</t>
  </si>
  <si>
    <t>264-5071309</t>
  </si>
  <si>
    <t>GENTILI CHIRINO SABRINA ANABELA</t>
  </si>
  <si>
    <t>264-5842222</t>
  </si>
  <si>
    <t>CHAVEZ CELIA DEOLINDA</t>
  </si>
  <si>
    <t>264-5066140</t>
  </si>
  <si>
    <t>SEGADA BRIAN</t>
  </si>
  <si>
    <t>264-5849834</t>
  </si>
  <si>
    <t>REINOSO LUISA ALEJANDRA</t>
  </si>
  <si>
    <t>264-4196459</t>
  </si>
  <si>
    <t>RODRIGUEZ FLORA ETELVINA</t>
  </si>
  <si>
    <t>264-4729466</t>
  </si>
  <si>
    <t>CHAVEZ GRACIELA ELIZABETH</t>
  </si>
  <si>
    <t>264-4533949</t>
  </si>
  <si>
    <t>CHENA VALERIA ESTEFANIA</t>
  </si>
  <si>
    <t>264-6189117</t>
  </si>
  <si>
    <t>LOPEZ CHAVEZ CANDELA MARILIN</t>
  </si>
  <si>
    <t>264-5472741</t>
  </si>
  <si>
    <t>POBLETE VIVIANA GRACIELA</t>
  </si>
  <si>
    <t>264-4630593</t>
  </si>
  <si>
    <t>CEVALLE LUIS OMAR</t>
  </si>
  <si>
    <t>264-4766852</t>
  </si>
  <si>
    <t>DIAZ ELIDA NOEMI</t>
  </si>
  <si>
    <t>264-5326028</t>
  </si>
  <si>
    <t>SOSA MARIA LAURA</t>
  </si>
  <si>
    <t>264-5647322</t>
  </si>
  <si>
    <t>FERNANDEZ CLAUDIA CAROLINA</t>
  </si>
  <si>
    <t>264-4455717</t>
  </si>
  <si>
    <t>MARTINEZ PALMA DENICE MAGALI</t>
  </si>
  <si>
    <t>264-5737619</t>
  </si>
  <si>
    <t>CORTEZ SILVANA BEATRIZ</t>
  </si>
  <si>
    <t>264-6993697</t>
  </si>
  <si>
    <t>MARADONA DIEGO JESUS</t>
  </si>
  <si>
    <t>264-4671078</t>
  </si>
  <si>
    <t>TEJEDA GUILLERMO ALEJO</t>
  </si>
  <si>
    <t>264-5417686</t>
  </si>
  <si>
    <t>FLORES LUCAS MATIAS</t>
  </si>
  <si>
    <t>264-6040772</t>
  </si>
  <si>
    <t>LOPEZ JORGE GENARO</t>
  </si>
  <si>
    <t>264-4432432</t>
  </si>
  <si>
    <t>OLMO CECILIA CRISTINA</t>
  </si>
  <si>
    <t>264-5105298</t>
  </si>
  <si>
    <t>GUAJARDO DELGADO GABRIELA ASCENCIO</t>
  </si>
  <si>
    <t>264-5740353</t>
  </si>
  <si>
    <t>MUÑOZ AMALIA IRIS</t>
  </si>
  <si>
    <t>264-4437943</t>
  </si>
  <si>
    <t>PELAYTAY MARIA ISABEL</t>
  </si>
  <si>
    <t>264-4827618</t>
  </si>
  <si>
    <t>MERCADO GUSTAVO OMAR</t>
  </si>
  <si>
    <t>264-5319090</t>
  </si>
  <si>
    <t>FUENTE ROSA ELVIRA</t>
  </si>
  <si>
    <t>264-4216221</t>
  </si>
  <si>
    <t>PEREZ MARIELA BENITA</t>
  </si>
  <si>
    <t>264-5815004</t>
  </si>
  <si>
    <t>NARVAEZ PAULO EMANUEL</t>
  </si>
  <si>
    <t>264-5565036</t>
  </si>
  <si>
    <t>NAVEDA ZULMA BEATRIZ</t>
  </si>
  <si>
    <t>264-5831405</t>
  </si>
  <si>
    <t>MONTAÑO ANABELA EMILCE</t>
  </si>
  <si>
    <t>264-4364745</t>
  </si>
  <si>
    <t>PEREZ PAULA ROSANA GABRIELA</t>
  </si>
  <si>
    <t>264-6021447</t>
  </si>
  <si>
    <t>TAPIA JUAN JOSE</t>
  </si>
  <si>
    <t>264-5110709</t>
  </si>
  <si>
    <t>SANTIAGO JUAN LUIS</t>
  </si>
  <si>
    <t>264-5012364</t>
  </si>
  <si>
    <t>GUEVARA JOSE MARIA</t>
  </si>
  <si>
    <t>264-5075459</t>
  </si>
  <si>
    <t>SOSA DEOLINDA ANTONIA</t>
  </si>
  <si>
    <t>264-4135093</t>
  </si>
  <si>
    <t>AVILA NATALIA FLORENCIA</t>
  </si>
  <si>
    <t>264-5250358</t>
  </si>
  <si>
    <t>GOMEZ ROSA ALEJANDRA</t>
  </si>
  <si>
    <t>264-6044107</t>
  </si>
  <si>
    <t>TORRES ESTER PAULA</t>
  </si>
  <si>
    <t>264-4167052</t>
  </si>
  <si>
    <t>GONZALEZ GUTIERREZ RODRIGO</t>
  </si>
  <si>
    <t>264-4818920</t>
  </si>
  <si>
    <t>GONZALEZ MIRIAM ESTER</t>
  </si>
  <si>
    <t>264-5535217</t>
  </si>
  <si>
    <t>SANCHEZ ALEJANDRA CARINA</t>
  </si>
  <si>
    <t>264-5616678</t>
  </si>
  <si>
    <t>FERRES FLORES MARIA VANESA</t>
  </si>
  <si>
    <t>261-5265753</t>
  </si>
  <si>
    <t>GIMENEZ LAURA CARINA</t>
  </si>
  <si>
    <t>264-5468825</t>
  </si>
  <si>
    <t>SANZ ALMA GIOVANA</t>
  </si>
  <si>
    <t>264-5229886</t>
  </si>
  <si>
    <t>CORDOBA ROSANA MARISA</t>
  </si>
  <si>
    <t>264-5635598</t>
  </si>
  <si>
    <t>OLMOS MANUELA SARA</t>
  </si>
  <si>
    <t>264-4407204</t>
  </si>
  <si>
    <t>AGUILERA GOMEZ MIRIAM ERCILIA</t>
  </si>
  <si>
    <t>264-5844588</t>
  </si>
  <si>
    <t>SAIRE NATALIA LORENA</t>
  </si>
  <si>
    <t>264-5069280</t>
  </si>
  <si>
    <t>FARIAS JORGE LUIS</t>
  </si>
  <si>
    <t>264-4817232</t>
  </si>
  <si>
    <t>TELLO CESAR ARMANDO</t>
  </si>
  <si>
    <t>264-5437259</t>
  </si>
  <si>
    <t>AGUILAR ANDINO SILVANA NOELIA</t>
  </si>
  <si>
    <t>264-4162065</t>
  </si>
  <si>
    <t>AGÜERO FABIOLA MELISA</t>
  </si>
  <si>
    <t>264-5708352</t>
  </si>
  <si>
    <t>LUNA SANTIAGO DANIEL</t>
  </si>
  <si>
    <t>264-5208656</t>
  </si>
  <si>
    <t>MERCADO PALACIO ERICA INES</t>
  </si>
  <si>
    <t>264-6212089</t>
  </si>
  <si>
    <t>MOSCHENI ALBEIRO NATALIA ABIGAIL</t>
  </si>
  <si>
    <t>264-5732211</t>
  </si>
  <si>
    <t>264-5318968</t>
  </si>
  <si>
    <t>LUCERO EDGAR IVAN</t>
  </si>
  <si>
    <t>264-4047570</t>
  </si>
  <si>
    <t>SANZ KARINA BELEN</t>
  </si>
  <si>
    <t>264-5598751</t>
  </si>
  <si>
    <t>MARQUEZ SILVANA ROMINA</t>
  </si>
  <si>
    <t>264-5240143</t>
  </si>
  <si>
    <t>GIMENEZ LAUTARO NICOLAS</t>
  </si>
  <si>
    <t>11-59329231</t>
  </si>
  <si>
    <t>GUERNICA</t>
  </si>
  <si>
    <t>VAZQUEZ BUSTOS MATIAS ORLANDO</t>
  </si>
  <si>
    <t>264-5263793</t>
  </si>
  <si>
    <t>GALVEZ AGÜERO MARGARITA</t>
  </si>
  <si>
    <t>264-4537571</t>
  </si>
  <si>
    <t>CHAVEZ CELESTE YANEL</t>
  </si>
  <si>
    <t>264-6107947</t>
  </si>
  <si>
    <t>RAMOS PEDRO MIGUEL</t>
  </si>
  <si>
    <t>264-5167414</t>
  </si>
  <si>
    <t>ANDINO GORDILLO SABRINA DEL VALLE</t>
  </si>
  <si>
    <t>264-4583990</t>
  </si>
  <si>
    <t>11-36569798</t>
  </si>
  <si>
    <t>LEDESMA CARLOS ALBERTO</t>
  </si>
  <si>
    <t>264-3170302</t>
  </si>
  <si>
    <t>AGUILAR ANDINO CARINA YENI</t>
  </si>
  <si>
    <t>264-4517365</t>
  </si>
  <si>
    <t>ORELLANO MAURICIO AGUSTIN</t>
  </si>
  <si>
    <t>264-5258410</t>
  </si>
  <si>
    <t>POBLETE OSCAR ARGENTINO</t>
  </si>
  <si>
    <t>264-6621240</t>
  </si>
  <si>
    <t>CRUZ PEREA MORENA ABRIL</t>
  </si>
  <si>
    <t>264-5777746</t>
  </si>
  <si>
    <t>PAEZ GOMEZ VALERIA IVANA</t>
  </si>
  <si>
    <t>264-4031565</t>
  </si>
  <si>
    <t>CHAVEZ MARINE YASMIN</t>
  </si>
  <si>
    <t>264-4745142</t>
  </si>
  <si>
    <t>CUELLO GISEL ROXANA</t>
  </si>
  <si>
    <t>264-6017438</t>
  </si>
  <si>
    <t>MERELES CRISTINA BEATRIZ</t>
  </si>
  <si>
    <t>264-5214442</t>
  </si>
  <si>
    <t>MARIN PICO ANA VIVIANA</t>
  </si>
  <si>
    <t>264-5870867</t>
  </si>
  <si>
    <t>PELAITAY ALDO HECTOR</t>
  </si>
  <si>
    <t>264-6200293</t>
  </si>
  <si>
    <t>SIREROL HERNANDEZ MARIA BELEN</t>
  </si>
  <si>
    <t>264-5840270</t>
  </si>
  <si>
    <t>LUJAN MONICA ANGELICA</t>
  </si>
  <si>
    <t>264-6285279</t>
  </si>
  <si>
    <t>MUÑIZ ROBERTO RICARDO</t>
  </si>
  <si>
    <t>264-5550655</t>
  </si>
  <si>
    <t>ESTRADA FACUNDO EMANUEL</t>
  </si>
  <si>
    <t>264-4866900</t>
  </si>
  <si>
    <t>ESPINA ROXANA MARCELA</t>
  </si>
  <si>
    <t>264-5837714</t>
  </si>
  <si>
    <t>GASQUE NELIDA TRINIDAD</t>
  </si>
  <si>
    <t>264-5787854</t>
  </si>
  <si>
    <t>DIAZ CORICA IVANA GEMA</t>
  </si>
  <si>
    <t>264-4775328</t>
  </si>
  <si>
    <t>OCAMPO RODRIGUEZ MICAELA BELEN</t>
  </si>
  <si>
    <t>264-5517837</t>
  </si>
  <si>
    <t>RODRIGUEZ MERELES KAREN MICAELA</t>
  </si>
  <si>
    <t>264-5053999</t>
  </si>
  <si>
    <t>SANCHEZ GARCIA LILIANA CELIA</t>
  </si>
  <si>
    <t>264-4504086</t>
  </si>
  <si>
    <t>MARTINEZ ROMINA SOLEDAD</t>
  </si>
  <si>
    <t>264-5738531</t>
  </si>
  <si>
    <t>PEREZ T. JOSE LUIS</t>
  </si>
  <si>
    <t>264-4156422</t>
  </si>
  <si>
    <t>GARAY MERCADO ANGEL FABIAN</t>
  </si>
  <si>
    <t>264-5863854</t>
  </si>
  <si>
    <t>CACERES NORMA BEATRIZ</t>
  </si>
  <si>
    <t>264-5636430</t>
  </si>
  <si>
    <t>BAIGORRIA LOPEZ LUDMILA GUADALUPE</t>
  </si>
  <si>
    <t>264-4609934</t>
  </si>
  <si>
    <t>TELLO CACERES ELIANA EVELYN</t>
  </si>
  <si>
    <t>264-4185349</t>
  </si>
  <si>
    <t>CORTEZ JUANA BEATRIZ</t>
  </si>
  <si>
    <t>264-5319029</t>
  </si>
  <si>
    <t>LUNA EDUARDO ALEXIS</t>
  </si>
  <si>
    <t>264-4113470</t>
  </si>
  <si>
    <t>SAMBRANO FERNANDA ROCIO</t>
  </si>
  <si>
    <t>264-4691113</t>
  </si>
  <si>
    <t>BAEZ CABALLERO ANGELA JESICA</t>
  </si>
  <si>
    <t>264-6727029</t>
  </si>
  <si>
    <t>LUJAN CLAUDIA PATRICIA</t>
  </si>
  <si>
    <t>264-4507139</t>
  </si>
  <si>
    <t>SANCHEZ VEDIA JUAN ANTONIO</t>
  </si>
  <si>
    <t>264-6035852</t>
  </si>
  <si>
    <t>SANCHEZ FERNANDA BEATRIZ</t>
  </si>
  <si>
    <t>264-5505912</t>
  </si>
  <si>
    <t>ALVAREZ JIMENA DANILA</t>
  </si>
  <si>
    <t>264-5697952</t>
  </si>
  <si>
    <t>SOSA SELVA ROCIO</t>
  </si>
  <si>
    <t>264-6170578</t>
  </si>
  <si>
    <t>PAEZ MAROS EMANUEL</t>
  </si>
  <si>
    <t>264-5729790</t>
  </si>
  <si>
    <t>CUELLO GUSTAVO NICOLAS</t>
  </si>
  <si>
    <t>264-6017929</t>
  </si>
  <si>
    <t>TEJADA LEANDRO MIGUEL</t>
  </si>
  <si>
    <t>264-5816260</t>
  </si>
  <si>
    <t>PAEZ ILIANA YAEL</t>
  </si>
  <si>
    <t>264-6299108</t>
  </si>
  <si>
    <t>ALVAREZ MONICA</t>
  </si>
  <si>
    <t>264-6215229</t>
  </si>
  <si>
    <t>PEREYRA RUBEN DOMINGO</t>
  </si>
  <si>
    <t>264-5439728</t>
  </si>
  <si>
    <t>GUTIERREZ ANDREA NATALIA</t>
  </si>
  <si>
    <t>264-4989941</t>
  </si>
  <si>
    <t>FIGUEROA CLAUDIA LUCRECIA</t>
  </si>
  <si>
    <t>264-4840841</t>
  </si>
  <si>
    <t>CRIADO LAURA</t>
  </si>
  <si>
    <t>264-4434960</t>
  </si>
  <si>
    <t>GONZALEZ ROCIO ABRIL</t>
  </si>
  <si>
    <t>264-5211291</t>
  </si>
  <si>
    <t>BARCO YASMIN ZAHIRA</t>
  </si>
  <si>
    <t>264-5824228</t>
  </si>
  <si>
    <t>ROBLEDO DANIEL JAVIER</t>
  </si>
  <si>
    <t>264-5188944</t>
  </si>
  <si>
    <t>ROJAS NANCY DANIELA</t>
  </si>
  <si>
    <t>264-5445491</t>
  </si>
  <si>
    <t>CARRIZO CRISTOBAL MANUEL</t>
  </si>
  <si>
    <t>264-6127156</t>
  </si>
  <si>
    <t>STRAMBACH RODRIGUEZ NATALIA RUTH</t>
  </si>
  <si>
    <t>264-5450875</t>
  </si>
  <si>
    <t>MILLAN REUS JOHANA GABRIELA</t>
  </si>
  <si>
    <t>264-6758952</t>
  </si>
  <si>
    <t>LORENZO DIAZ MARIA CAROLINA</t>
  </si>
  <si>
    <t>264-5813475</t>
  </si>
  <si>
    <t>BASTANTE LEONARDO</t>
  </si>
  <si>
    <t>264-5885761</t>
  </si>
  <si>
    <t>OLGUIN CLAUDIO DAVID</t>
  </si>
  <si>
    <t>264-6043541</t>
  </si>
  <si>
    <t>PAEZ SABRINA NOEMI</t>
  </si>
  <si>
    <t>264-5244900</t>
  </si>
  <si>
    <t>CALIVA PAMELA LORENA</t>
  </si>
  <si>
    <t>264-5899505</t>
  </si>
  <si>
    <t>NIEVAS CINTHYA DAYANA</t>
  </si>
  <si>
    <t>264-6216892</t>
  </si>
  <si>
    <t>NIEVAS ELIANA TERESITA</t>
  </si>
  <si>
    <t>264-6269775</t>
  </si>
  <si>
    <t>BARBOZA G. VICTOR HUGO</t>
  </si>
  <si>
    <t>264-52730987</t>
  </si>
  <si>
    <t>CARDENAS GISELA VANINA</t>
  </si>
  <si>
    <t>264-6267576</t>
  </si>
  <si>
    <t>MOLINA SONIA ELIZABETH</t>
  </si>
  <si>
    <t>264-3204102</t>
  </si>
  <si>
    <t>VIDELA EDGARDO ORLANDO</t>
  </si>
  <si>
    <t>264-4560699</t>
  </si>
  <si>
    <t>MOLINA PAOLA ANDREA</t>
  </si>
  <si>
    <t>264-5573644</t>
  </si>
  <si>
    <t>VERA GUZMAN TOMAS GABRIEL</t>
  </si>
  <si>
    <t>264-6299240</t>
  </si>
  <si>
    <t>VALDEZ MARCELA ISABEL</t>
  </si>
  <si>
    <t>264-4837073</t>
  </si>
  <si>
    <t>CARROZO IVANA VALERIA</t>
  </si>
  <si>
    <t>264-5786722</t>
  </si>
  <si>
    <t>FLORES JUAREZ YAMILA SOLEDAD</t>
  </si>
  <si>
    <t>264-5641917</t>
  </si>
  <si>
    <t>MARINERO DALINDA GRISELDA</t>
  </si>
  <si>
    <t>264-5542968</t>
  </si>
  <si>
    <t>CARBAJAL ANALIA HAYDEE</t>
  </si>
  <si>
    <t>264-5162721</t>
  </si>
  <si>
    <t>CORTEZ ELIZONDO CELINA INES</t>
  </si>
  <si>
    <t>264-5887078</t>
  </si>
  <si>
    <t>CASTRO GARCIA DIEGO LEONARDO</t>
  </si>
  <si>
    <t>264-5851963</t>
  </si>
  <si>
    <t>BALMACEDA QUINTERO ALEJANDRA NICOLE</t>
  </si>
  <si>
    <t>264-4117004</t>
  </si>
  <si>
    <t>PARADA MARIA LUCIA</t>
  </si>
  <si>
    <t>264-5078672</t>
  </si>
  <si>
    <t>ZALAZAR RAUL ALBERTO</t>
  </si>
  <si>
    <t>264-4552805</t>
  </si>
  <si>
    <t>NUÑEZ VALERIA FERNANDA</t>
  </si>
  <si>
    <t>264-4508591</t>
  </si>
  <si>
    <t>MIRANDA NARANJO SOFIA CECILIA</t>
  </si>
  <si>
    <t>264-4837109</t>
  </si>
  <si>
    <t>MORALES SONIA DEL CARMEN</t>
  </si>
  <si>
    <t>264-6712893</t>
  </si>
  <si>
    <t>LIQUITAY RUBEN ORLANDO</t>
  </si>
  <si>
    <t>264-5481937</t>
  </si>
  <si>
    <t>AGUIRRE MARIA FERNANDA</t>
  </si>
  <si>
    <t>264-5655217</t>
  </si>
  <si>
    <t>ANDRADA EDGAR ARIEL</t>
  </si>
  <si>
    <t>264-5608849</t>
  </si>
  <si>
    <t>RIARTE MARTIN CRISTIAN</t>
  </si>
  <si>
    <t>264-5297876</t>
  </si>
  <si>
    <t>GOMEZ ASTORGA VIVIANA GRISELDA</t>
  </si>
  <si>
    <t>264-5016758</t>
  </si>
  <si>
    <t>PONCE HERRERA AGOSTINA LUZ</t>
  </si>
  <si>
    <t>264-5614380</t>
  </si>
  <si>
    <t>GUEVARA MIRIAM ELIZABETH</t>
  </si>
  <si>
    <t>264-5053833</t>
  </si>
  <si>
    <t>GUEVARA ALICIA ISABEL</t>
  </si>
  <si>
    <t>264-4675736</t>
  </si>
  <si>
    <t>ARAYA MARIA INES</t>
  </si>
  <si>
    <t>264-4103953</t>
  </si>
  <si>
    <t>NAVARRO CINTIA DANIELA</t>
  </si>
  <si>
    <t>264-5127490</t>
  </si>
  <si>
    <t>TERRERA GABRIELA MARIANA</t>
  </si>
  <si>
    <t>264-4802654</t>
  </si>
  <si>
    <t>GOMEZ LILIANA</t>
  </si>
  <si>
    <t>264-5604489</t>
  </si>
  <si>
    <t>GOMEZ PALOMAR GABRIEL DAVID</t>
  </si>
  <si>
    <t>264-4549659</t>
  </si>
  <si>
    <t>ROMARION AGUSTINA MICAELA</t>
  </si>
  <si>
    <t>264-6272387</t>
  </si>
  <si>
    <t>BAZAN FERNANDO EMANUEL</t>
  </si>
  <si>
    <t>264-5681049</t>
  </si>
  <si>
    <t>GUAYAQUINCHAY FLAVIA GISELLE</t>
  </si>
  <si>
    <t>264-6210837</t>
  </si>
  <si>
    <t>NOME VIDELA ANDREA ELIZABETH</t>
  </si>
  <si>
    <t>264-5178488</t>
  </si>
  <si>
    <t>NOME VIDELA VALERIA RAQUEL</t>
  </si>
  <si>
    <t>MAUREIRA MAZA ELIZABETH DEL CARMEN</t>
  </si>
  <si>
    <t>264-4437012</t>
  </si>
  <si>
    <t>OLMOS FELIX OSCAR</t>
  </si>
  <si>
    <t>264-4547419</t>
  </si>
  <si>
    <t>JIMENEZ HERNAN</t>
  </si>
  <si>
    <t>264-5430399</t>
  </si>
  <si>
    <t>DIAZ CARLA VANESA</t>
  </si>
  <si>
    <t>264-6235456</t>
  </si>
  <si>
    <t>MERCADO ADRIAN IVAN</t>
  </si>
  <si>
    <t>264-5589354</t>
  </si>
  <si>
    <t>PORRA VILLAFAÑE MANUEL ALEJANDRO</t>
  </si>
  <si>
    <t>264-6246984</t>
  </si>
  <si>
    <t>TAPIA FELISA SANDRA</t>
  </si>
  <si>
    <t>264-4159174</t>
  </si>
  <si>
    <t>BARON SILVANA LETICIA</t>
  </si>
  <si>
    <t>264-4814935</t>
  </si>
  <si>
    <t xml:space="preserve">ENERO </t>
  </si>
  <si>
    <t>MERCADO PAGO</t>
  </si>
  <si>
    <t>BCO GALICIA</t>
  </si>
  <si>
    <t>CITIBANC</t>
  </si>
  <si>
    <t>EFECTIVO OFICINA</t>
  </si>
  <si>
    <t>PIDE BAJA</t>
  </si>
  <si>
    <t>EFECTIVO SUCURSAL</t>
  </si>
  <si>
    <t>POSNET OFICINA</t>
  </si>
  <si>
    <t>BUEN YAMILA</t>
  </si>
  <si>
    <t>avisa que tiene fecha 15/01 para cobarar este mes</t>
  </si>
  <si>
    <t>informa que tiene su hijo enfermo y que sin falta es mes se pone al dia con su cuota y la de su hermana abonaria el dia 21/01</t>
  </si>
  <si>
    <t>informa que paga mañana 09/01</t>
  </si>
  <si>
    <t>MACRO</t>
  </si>
  <si>
    <t xml:space="preserve">informa que este mes pagara por oficina </t>
  </si>
  <si>
    <t>abona esta semana</t>
  </si>
  <si>
    <t>TENDRA EL DINERO EL DIA VIERNES 10</t>
  </si>
  <si>
    <t>RAPI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</si>
</sst>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IR£&quot;#,##0;\-&quot;IR£&quot;#,##0"/>
    <numFmt numFmtId="168" formatCode="&quot;$&quot;\ #,##0"/>
    <numFmt numFmtId="169" formatCode="dd/mm/yyyy;@"/>
    <numFmt numFmtId="170" formatCode="0_ ;[Red]\-0\ "/>
    <numFmt numFmtId="171" formatCode="d/m/yy;@"/>
  </numFmts>
  <fonts count="26" x14ac:knownFonts="1">
    <font>
      <sz val="10"/>
      <name val="Arial"/>
    </font>
    <font>
      <sz val="10"/>
      <name val="Arial"/>
      <family val="2"/>
    </font>
    <font>
      <b/>
      <sz val="14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0"/>
      <color indexed="56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7"/>
      <color indexed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color indexed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sz val="11"/>
      <color indexed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8"/>
      </patternFill>
    </fill>
    <fill>
      <patternFill patternType="solid">
        <fgColor indexed="26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1"/>
        <bgColor indexed="8"/>
      </patternFill>
    </fill>
    <fill>
      <patternFill patternType="solid">
        <fgColor rgb="FF92D050"/>
        <bgColor indexed="8"/>
      </patternFill>
    </fill>
    <fill>
      <patternFill patternType="solid">
        <fgColor theme="5" tint="0.39997558519241921"/>
        <bgColor indexed="8"/>
      </patternFill>
    </fill>
    <fill>
      <patternFill patternType="solid">
        <fgColor theme="4" tint="0.79998168889431442"/>
        <bgColor indexed="8"/>
      </patternFill>
    </fill>
  </fills>
  <borders count="3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 style="thick">
        <color indexed="64"/>
      </left>
      <right style="thick">
        <color indexed="10"/>
      </right>
      <top style="thick">
        <color indexed="10"/>
      </top>
      <bottom style="thick">
        <color indexed="64"/>
      </bottom>
      <diagonal/>
    </border>
    <border>
      <left style="thick">
        <color indexed="10"/>
      </left>
      <right/>
      <top/>
      <bottom/>
      <diagonal/>
    </border>
    <border>
      <left style="thick">
        <color indexed="64"/>
      </left>
      <right style="thick">
        <color indexed="10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227">
    <xf numFmtId="0" fontId="0" fillId="0" borderId="0" xfId="0"/>
    <xf numFmtId="0" fontId="0" fillId="0" borderId="0" xfId="0" applyAlignment="1">
      <alignment horizontal="right"/>
    </xf>
    <xf numFmtId="0" fontId="3" fillId="0" borderId="1" xfId="0" applyFont="1" applyBorder="1"/>
    <xf numFmtId="1" fontId="3" fillId="0" borderId="2" xfId="0" applyNumberFormat="1" applyFont="1" applyBorder="1" applyAlignment="1">
      <alignment horizontal="left"/>
    </xf>
    <xf numFmtId="0" fontId="3" fillId="0" borderId="2" xfId="0" applyFont="1" applyBorder="1"/>
    <xf numFmtId="0" fontId="3" fillId="0" borderId="1" xfId="0" applyFont="1" applyBorder="1" applyAlignment="1">
      <alignment horizontal="right"/>
    </xf>
    <xf numFmtId="0" fontId="3" fillId="2" borderId="0" xfId="0" applyFont="1" applyFill="1"/>
    <xf numFmtId="0" fontId="3" fillId="0" borderId="3" xfId="0" applyFont="1" applyBorder="1"/>
    <xf numFmtId="0" fontId="3" fillId="0" borderId="0" xfId="0" applyFont="1"/>
    <xf numFmtId="0" fontId="4" fillId="0" borderId="0" xfId="0" applyFont="1"/>
    <xf numFmtId="0" fontId="3" fillId="0" borderId="4" xfId="0" applyFont="1" applyBorder="1"/>
    <xf numFmtId="0" fontId="0" fillId="0" borderId="4" xfId="0" applyBorder="1"/>
    <xf numFmtId="0" fontId="4" fillId="0" borderId="4" xfId="0" applyFont="1" applyBorder="1"/>
    <xf numFmtId="0" fontId="0" fillId="3" borderId="4" xfId="0" applyFill="1" applyBorder="1" applyProtection="1">
      <protection locked="0"/>
    </xf>
    <xf numFmtId="3" fontId="5" fillId="0" borderId="4" xfId="3" applyNumberFormat="1" applyFont="1" applyFill="1" applyBorder="1" applyAlignment="1">
      <alignment vertical="center"/>
    </xf>
    <xf numFmtId="1" fontId="0" fillId="0" borderId="0" xfId="0" applyNumberFormat="1" applyAlignment="1">
      <alignment horizontal="left"/>
    </xf>
    <xf numFmtId="0" fontId="6" fillId="0" borderId="0" xfId="0" applyFont="1"/>
    <xf numFmtId="0" fontId="3" fillId="4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3" fillId="5" borderId="0" xfId="0" applyFont="1" applyFill="1"/>
    <xf numFmtId="1" fontId="3" fillId="6" borderId="0" xfId="0" applyNumberFormat="1" applyFont="1" applyFill="1"/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3" fillId="0" borderId="6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0" fillId="0" borderId="7" xfId="0" applyBorder="1"/>
    <xf numFmtId="0" fontId="4" fillId="2" borderId="8" xfId="0" applyFont="1" applyFill="1" applyBorder="1"/>
    <xf numFmtId="0" fontId="3" fillId="0" borderId="9" xfId="0" applyFont="1" applyBorder="1"/>
    <xf numFmtId="164" fontId="4" fillId="5" borderId="9" xfId="2" applyNumberFormat="1" applyFont="1" applyFill="1" applyBorder="1" applyAlignment="1">
      <alignment horizontal="left"/>
    </xf>
    <xf numFmtId="0" fontId="4" fillId="4" borderId="9" xfId="0" applyFont="1" applyFill="1" applyBorder="1"/>
    <xf numFmtId="168" fontId="3" fillId="0" borderId="9" xfId="0" applyNumberFormat="1" applyFont="1" applyBorder="1"/>
    <xf numFmtId="10" fontId="8" fillId="7" borderId="9" xfId="0" applyNumberFormat="1" applyFont="1" applyFill="1" applyBorder="1"/>
    <xf numFmtId="1" fontId="4" fillId="8" borderId="10" xfId="0" applyNumberFormat="1" applyFont="1" applyFill="1" applyBorder="1"/>
    <xf numFmtId="164" fontId="4" fillId="8" borderId="4" xfId="2" applyNumberFormat="1" applyFont="1" applyFill="1" applyBorder="1" applyAlignment="1">
      <alignment horizontal="left"/>
    </xf>
    <xf numFmtId="1" fontId="4" fillId="6" borderId="4" xfId="0" applyNumberFormat="1" applyFont="1" applyFill="1" applyBorder="1"/>
    <xf numFmtId="168" fontId="3" fillId="0" borderId="4" xfId="0" applyNumberFormat="1" applyFont="1" applyBorder="1"/>
    <xf numFmtId="10" fontId="8" fillId="7" borderId="4" xfId="0" applyNumberFormat="1" applyFont="1" applyFill="1" applyBorder="1"/>
    <xf numFmtId="1" fontId="4" fillId="2" borderId="10" xfId="0" applyNumberFormat="1" applyFont="1" applyFill="1" applyBorder="1"/>
    <xf numFmtId="164" fontId="4" fillId="0" borderId="4" xfId="2" applyNumberFormat="1" applyFont="1" applyBorder="1" applyAlignment="1">
      <alignment horizontal="left"/>
    </xf>
    <xf numFmtId="10" fontId="8" fillId="0" borderId="4" xfId="0" applyNumberFormat="1" applyFont="1" applyBorder="1"/>
    <xf numFmtId="164" fontId="4" fillId="9" borderId="4" xfId="2" applyNumberFormat="1" applyFont="1" applyFill="1" applyBorder="1"/>
    <xf numFmtId="0" fontId="4" fillId="8" borderId="4" xfId="0" applyFont="1" applyFill="1" applyBorder="1"/>
    <xf numFmtId="10" fontId="3" fillId="10" borderId="4" xfId="0" applyNumberFormat="1" applyFont="1" applyFill="1" applyBorder="1"/>
    <xf numFmtId="1" fontId="4" fillId="2" borderId="11" xfId="0" applyNumberFormat="1" applyFont="1" applyFill="1" applyBorder="1"/>
    <xf numFmtId="0" fontId="3" fillId="0" borderId="12" xfId="0" applyFont="1" applyBorder="1"/>
    <xf numFmtId="164" fontId="4" fillId="0" borderId="12" xfId="2" applyNumberFormat="1" applyFont="1" applyBorder="1" applyAlignment="1">
      <alignment horizontal="left"/>
    </xf>
    <xf numFmtId="0" fontId="4" fillId="0" borderId="12" xfId="0" applyFont="1" applyBorder="1"/>
    <xf numFmtId="168" fontId="3" fillId="0" borderId="12" xfId="0" applyNumberFormat="1" applyFont="1" applyBorder="1"/>
    <xf numFmtId="10" fontId="8" fillId="0" borderId="12" xfId="0" applyNumberFormat="1" applyFont="1" applyBorder="1"/>
    <xf numFmtId="0" fontId="0" fillId="0" borderId="12" xfId="0" applyBorder="1"/>
    <xf numFmtId="0" fontId="9" fillId="0" borderId="0" xfId="0" applyFont="1"/>
    <xf numFmtId="0" fontId="11" fillId="0" borderId="13" xfId="0" applyFont="1" applyBorder="1"/>
    <xf numFmtId="0" fontId="11" fillId="0" borderId="5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3" fillId="0" borderId="13" xfId="0" applyFont="1" applyBorder="1"/>
    <xf numFmtId="0" fontId="0" fillId="0" borderId="0" xfId="0" applyAlignment="1">
      <alignment vertical="justify"/>
    </xf>
    <xf numFmtId="0" fontId="11" fillId="0" borderId="1" xfId="0" applyFont="1" applyBorder="1"/>
    <xf numFmtId="0" fontId="11" fillId="0" borderId="15" xfId="0" applyFont="1" applyBorder="1"/>
    <xf numFmtId="0" fontId="3" fillId="0" borderId="15" xfId="0" applyFont="1" applyBorder="1"/>
    <xf numFmtId="0" fontId="3" fillId="0" borderId="1" xfId="0" applyFont="1" applyBorder="1" applyAlignment="1">
      <alignment vertical="justify"/>
    </xf>
    <xf numFmtId="3" fontId="0" fillId="7" borderId="4" xfId="0" applyNumberFormat="1" applyFill="1" applyBorder="1" applyProtection="1">
      <protection locked="0"/>
    </xf>
    <xf numFmtId="1" fontId="0" fillId="7" borderId="4" xfId="0" applyNumberFormat="1" applyFill="1" applyBorder="1" applyProtection="1">
      <protection locked="0"/>
    </xf>
    <xf numFmtId="0" fontId="10" fillId="7" borderId="4" xfId="0" applyFont="1" applyFill="1" applyBorder="1" applyAlignment="1" applyProtection="1">
      <alignment vertical="justify"/>
      <protection locked="0"/>
    </xf>
    <xf numFmtId="0" fontId="4" fillId="0" borderId="16" xfId="0" applyFont="1" applyBorder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2" borderId="4" xfId="0" applyFill="1" applyBorder="1" applyProtection="1">
      <protection locked="0"/>
    </xf>
    <xf numFmtId="164" fontId="0" fillId="0" borderId="0" xfId="0" applyNumberFormat="1"/>
    <xf numFmtId="9" fontId="0" fillId="0" borderId="0" xfId="0" applyNumberFormat="1"/>
    <xf numFmtId="0" fontId="4" fillId="11" borderId="4" xfId="0" applyFont="1" applyFill="1" applyBorder="1"/>
    <xf numFmtId="0" fontId="3" fillId="0" borderId="17" xfId="0" applyFont="1" applyBorder="1"/>
    <xf numFmtId="0" fontId="4" fillId="11" borderId="18" xfId="0" applyFont="1" applyFill="1" applyBorder="1"/>
    <xf numFmtId="164" fontId="4" fillId="2" borderId="19" xfId="2" applyNumberFormat="1" applyFont="1" applyFill="1" applyBorder="1"/>
    <xf numFmtId="164" fontId="4" fillId="8" borderId="9" xfId="2" applyNumberFormat="1" applyFont="1" applyFill="1" applyBorder="1"/>
    <xf numFmtId="164" fontId="4" fillId="12" borderId="1" xfId="2" applyNumberFormat="1" applyFont="1" applyFill="1" applyBorder="1"/>
    <xf numFmtId="0" fontId="4" fillId="0" borderId="14" xfId="0" applyFont="1" applyBorder="1"/>
    <xf numFmtId="0" fontId="4" fillId="0" borderId="20" xfId="0" applyFont="1" applyBorder="1"/>
    <xf numFmtId="0" fontId="4" fillId="11" borderId="16" xfId="0" applyFont="1" applyFill="1" applyBorder="1"/>
    <xf numFmtId="0" fontId="4" fillId="0" borderId="21" xfId="0" applyFont="1" applyBorder="1"/>
    <xf numFmtId="0" fontId="4" fillId="3" borderId="4" xfId="0" applyFont="1" applyFill="1" applyBorder="1" applyProtection="1">
      <protection locked="0"/>
    </xf>
    <xf numFmtId="1" fontId="4" fillId="6" borderId="0" xfId="0" applyNumberFormat="1" applyFont="1" applyFill="1"/>
    <xf numFmtId="0" fontId="0" fillId="2" borderId="6" xfId="0" applyFill="1" applyBorder="1"/>
    <xf numFmtId="0" fontId="3" fillId="2" borderId="6" xfId="0" applyFont="1" applyFill="1" applyBorder="1"/>
    <xf numFmtId="0" fontId="3" fillId="2" borderId="5" xfId="0" applyFont="1" applyFill="1" applyBorder="1"/>
    <xf numFmtId="0" fontId="3" fillId="2" borderId="14" xfId="0" applyFont="1" applyFill="1" applyBorder="1"/>
    <xf numFmtId="0" fontId="3" fillId="2" borderId="3" xfId="0" applyFont="1" applyFill="1" applyBorder="1"/>
    <xf numFmtId="0" fontId="0" fillId="2" borderId="0" xfId="0" applyFill="1"/>
    <xf numFmtId="0" fontId="3" fillId="2" borderId="22" xfId="0" applyFont="1" applyFill="1" applyBorder="1"/>
    <xf numFmtId="0" fontId="12" fillId="2" borderId="16" xfId="0" applyFont="1" applyFill="1" applyBorder="1"/>
    <xf numFmtId="0" fontId="0" fillId="2" borderId="22" xfId="0" applyFill="1" applyBorder="1"/>
    <xf numFmtId="0" fontId="3" fillId="2" borderId="23" xfId="0" applyFont="1" applyFill="1" applyBorder="1"/>
    <xf numFmtId="0" fontId="0" fillId="2" borderId="7" xfId="0" applyFill="1" applyBorder="1"/>
    <xf numFmtId="0" fontId="3" fillId="2" borderId="7" xfId="0" applyFont="1" applyFill="1" applyBorder="1"/>
    <xf numFmtId="0" fontId="3" fillId="2" borderId="20" xfId="0" applyFont="1" applyFill="1" applyBorder="1"/>
    <xf numFmtId="0" fontId="3" fillId="2" borderId="4" xfId="0" applyFont="1" applyFill="1" applyBorder="1"/>
    <xf numFmtId="0" fontId="3" fillId="3" borderId="4" xfId="0" applyFont="1" applyFill="1" applyBorder="1"/>
    <xf numFmtId="10" fontId="3" fillId="2" borderId="3" xfId="0" applyNumberFormat="1" applyFont="1" applyFill="1" applyBorder="1"/>
    <xf numFmtId="0" fontId="3" fillId="3" borderId="19" xfId="0" applyFont="1" applyFill="1" applyBorder="1"/>
    <xf numFmtId="0" fontId="6" fillId="0" borderId="24" xfId="0" applyFont="1" applyBorder="1"/>
    <xf numFmtId="10" fontId="4" fillId="8" borderId="4" xfId="0" applyNumberFormat="1" applyFont="1" applyFill="1" applyBorder="1"/>
    <xf numFmtId="3" fontId="3" fillId="13" borderId="0" xfId="0" applyNumberFormat="1" applyFont="1" applyFill="1"/>
    <xf numFmtId="0" fontId="0" fillId="8" borderId="4" xfId="0" applyFill="1" applyBorder="1" applyProtection="1">
      <protection locked="0"/>
    </xf>
    <xf numFmtId="0" fontId="10" fillId="3" borderId="4" xfId="0" applyFont="1" applyFill="1" applyBorder="1" applyProtection="1">
      <protection locked="0"/>
    </xf>
    <xf numFmtId="1" fontId="0" fillId="0" borderId="4" xfId="0" applyNumberForma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9" borderId="4" xfId="0" applyFont="1" applyFill="1" applyBorder="1"/>
    <xf numFmtId="0" fontId="0" fillId="3" borderId="4" xfId="0" applyFill="1" applyBorder="1"/>
    <xf numFmtId="0" fontId="0" fillId="2" borderId="4" xfId="0" applyFill="1" applyBorder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9" fontId="3" fillId="14" borderId="0" xfId="0" applyNumberFormat="1" applyFont="1" applyFill="1" applyAlignment="1" applyProtection="1">
      <alignment horizontal="center"/>
      <protection locked="0"/>
    </xf>
    <xf numFmtId="0" fontId="3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3" fillId="14" borderId="1" xfId="0" applyFont="1" applyFill="1" applyBorder="1"/>
    <xf numFmtId="170" fontId="3" fillId="9" borderId="4" xfId="0" applyNumberFormat="1" applyFont="1" applyFill="1" applyBorder="1"/>
    <xf numFmtId="0" fontId="4" fillId="0" borderId="4" xfId="0" applyFont="1" applyBorder="1" applyProtection="1">
      <protection locked="0"/>
    </xf>
    <xf numFmtId="0" fontId="11" fillId="0" borderId="0" xfId="0" applyFont="1" applyAlignment="1">
      <alignment horizontal="center"/>
    </xf>
    <xf numFmtId="0" fontId="20" fillId="8" borderId="4" xfId="0" applyFont="1" applyFill="1" applyBorder="1" applyProtection="1">
      <protection locked="0"/>
    </xf>
    <xf numFmtId="164" fontId="4" fillId="0" borderId="0" xfId="2" applyNumberFormat="1" applyFont="1" applyBorder="1" applyAlignment="1">
      <alignment horizontal="left"/>
    </xf>
    <xf numFmtId="3" fontId="3" fillId="15" borderId="0" xfId="0" applyNumberFormat="1" applyFont="1" applyFill="1"/>
    <xf numFmtId="0" fontId="21" fillId="0" borderId="0" xfId="0" applyFont="1"/>
    <xf numFmtId="0" fontId="5" fillId="0" borderId="0" xfId="0" applyFont="1"/>
    <xf numFmtId="1" fontId="3" fillId="16" borderId="0" xfId="0" applyNumberFormat="1" applyFont="1" applyFill="1"/>
    <xf numFmtId="1" fontId="2" fillId="9" borderId="0" xfId="0" applyNumberFormat="1" applyFont="1" applyFill="1" applyAlignment="1">
      <alignment horizontal="left"/>
    </xf>
    <xf numFmtId="0" fontId="15" fillId="17" borderId="0" xfId="0" applyFont="1" applyFill="1"/>
    <xf numFmtId="0" fontId="5" fillId="17" borderId="0" xfId="0" applyFont="1" applyFill="1"/>
    <xf numFmtId="0" fontId="3" fillId="18" borderId="0" xfId="0" applyFont="1" applyFill="1"/>
    <xf numFmtId="14" fontId="2" fillId="9" borderId="0" xfId="0" applyNumberFormat="1" applyFont="1" applyFill="1" applyAlignment="1">
      <alignment horizontal="left"/>
    </xf>
    <xf numFmtId="0" fontId="15" fillId="18" borderId="0" xfId="0" applyFont="1" applyFill="1" applyProtection="1">
      <protection locked="0"/>
    </xf>
    <xf numFmtId="0" fontId="3" fillId="0" borderId="2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4" xfId="0" applyFont="1" applyBorder="1" applyProtection="1">
      <protection locked="0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13" borderId="1" xfId="0" applyFont="1" applyFill="1" applyBorder="1"/>
    <xf numFmtId="0" fontId="11" fillId="13" borderId="1" xfId="0" applyFont="1" applyFill="1" applyBorder="1"/>
    <xf numFmtId="0" fontId="2" fillId="0" borderId="0" xfId="0" applyFont="1"/>
    <xf numFmtId="0" fontId="0" fillId="17" borderId="4" xfId="0" applyFill="1" applyBorder="1"/>
    <xf numFmtId="0" fontId="3" fillId="17" borderId="4" xfId="0" applyFont="1" applyFill="1" applyBorder="1"/>
    <xf numFmtId="0" fontId="1" fillId="0" borderId="0" xfId="0" applyFont="1"/>
    <xf numFmtId="168" fontId="4" fillId="0" borderId="0" xfId="0" applyNumberFormat="1" applyFont="1"/>
    <xf numFmtId="1" fontId="1" fillId="0" borderId="4" xfId="0" applyNumberFormat="1" applyFont="1" applyBorder="1" applyAlignment="1" applyProtection="1">
      <alignment horizontal="left"/>
      <protection locked="0"/>
    </xf>
    <xf numFmtId="0" fontId="1" fillId="8" borderId="4" xfId="0" applyFont="1" applyFill="1" applyBorder="1" applyProtection="1">
      <protection locked="0"/>
    </xf>
    <xf numFmtId="0" fontId="3" fillId="18" borderId="4" xfId="0" applyFont="1" applyFill="1" applyBorder="1"/>
    <xf numFmtId="0" fontId="3" fillId="19" borderId="4" xfId="0" applyFont="1" applyFill="1" applyBorder="1"/>
    <xf numFmtId="0" fontId="4" fillId="11" borderId="0" xfId="0" applyFont="1" applyFill="1"/>
    <xf numFmtId="0" fontId="14" fillId="11" borderId="0" xfId="0" applyFont="1" applyFill="1"/>
    <xf numFmtId="10" fontId="8" fillId="7" borderId="1" xfId="0" applyNumberFormat="1" applyFont="1" applyFill="1" applyBorder="1"/>
    <xf numFmtId="3" fontId="0" fillId="0" borderId="0" xfId="0" applyNumberFormat="1"/>
    <xf numFmtId="164" fontId="4" fillId="0" borderId="0" xfId="0" applyNumberFormat="1" applyFont="1"/>
    <xf numFmtId="0" fontId="20" fillId="9" borderId="25" xfId="0" applyFont="1" applyFill="1" applyBorder="1"/>
    <xf numFmtId="0" fontId="20" fillId="9" borderId="26" xfId="0" applyFont="1" applyFill="1" applyBorder="1"/>
    <xf numFmtId="0" fontId="11" fillId="2" borderId="16" xfId="0" applyFont="1" applyFill="1" applyBorder="1"/>
    <xf numFmtId="1" fontId="17" fillId="21" borderId="4" xfId="9" applyNumberFormat="1" applyFont="1" applyFill="1" applyBorder="1" applyProtection="1"/>
    <xf numFmtId="0" fontId="3" fillId="8" borderId="4" xfId="0" applyFont="1" applyFill="1" applyBorder="1" applyProtection="1">
      <protection locked="0"/>
    </xf>
    <xf numFmtId="1" fontId="11" fillId="5" borderId="4" xfId="0" applyNumberFormat="1" applyFont="1" applyFill="1" applyBorder="1" applyProtection="1">
      <protection locked="0"/>
    </xf>
    <xf numFmtId="0" fontId="13" fillId="0" borderId="0" xfId="0" applyFont="1" applyAlignment="1">
      <alignment horizontal="right"/>
    </xf>
    <xf numFmtId="0" fontId="3" fillId="0" borderId="27" xfId="0" applyFont="1" applyBorder="1"/>
    <xf numFmtId="0" fontId="3" fillId="0" borderId="28" xfId="0" applyFont="1" applyBorder="1"/>
    <xf numFmtId="168" fontId="20" fillId="17" borderId="29" xfId="0" applyNumberFormat="1" applyFont="1" applyFill="1" applyBorder="1" applyAlignment="1">
      <alignment horizontal="center"/>
    </xf>
    <xf numFmtId="0" fontId="3" fillId="0" borderId="30" xfId="0" applyFont="1" applyBorder="1"/>
    <xf numFmtId="168" fontId="20" fillId="6" borderId="31" xfId="0" applyNumberFormat="1" applyFont="1" applyFill="1" applyBorder="1" applyAlignment="1">
      <alignment horizontal="center"/>
    </xf>
    <xf numFmtId="1" fontId="3" fillId="22" borderId="30" xfId="0" applyNumberFormat="1" applyFont="1" applyFill="1" applyBorder="1" applyAlignment="1">
      <alignment horizontal="left"/>
    </xf>
    <xf numFmtId="0" fontId="0" fillId="22" borderId="0" xfId="0" applyFill="1"/>
    <xf numFmtId="1" fontId="3" fillId="0" borderId="30" xfId="0" applyNumberFormat="1" applyFont="1" applyBorder="1" applyAlignment="1">
      <alignment horizontal="left"/>
    </xf>
    <xf numFmtId="0" fontId="22" fillId="8" borderId="0" xfId="0" applyFont="1" applyFill="1"/>
    <xf numFmtId="168" fontId="20" fillId="19" borderId="31" xfId="0" applyNumberFormat="1" applyFont="1" applyFill="1" applyBorder="1" applyAlignment="1">
      <alignment horizontal="center"/>
    </xf>
    <xf numFmtId="168" fontId="20" fillId="16" borderId="31" xfId="0" applyNumberFormat="1" applyFont="1" applyFill="1" applyBorder="1" applyAlignment="1">
      <alignment horizontal="center"/>
    </xf>
    <xf numFmtId="171" fontId="0" fillId="3" borderId="4" xfId="0" applyNumberFormat="1" applyFill="1" applyBorder="1" applyProtection="1">
      <protection locked="0"/>
    </xf>
    <xf numFmtId="0" fontId="3" fillId="13" borderId="0" xfId="0" applyFont="1" applyFill="1"/>
    <xf numFmtId="168" fontId="3" fillId="13" borderId="0" xfId="0" applyNumberFormat="1" applyFont="1" applyFill="1"/>
    <xf numFmtId="10" fontId="8" fillId="13" borderId="1" xfId="0" applyNumberFormat="1" applyFont="1" applyFill="1" applyBorder="1"/>
    <xf numFmtId="0" fontId="3" fillId="1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168" fontId="20" fillId="11" borderId="31" xfId="0" applyNumberFormat="1" applyFont="1" applyFill="1" applyBorder="1" applyAlignment="1">
      <alignment horizontal="center"/>
    </xf>
    <xf numFmtId="168" fontId="3" fillId="6" borderId="33" xfId="0" applyNumberFormat="1" applyFont="1" applyFill="1" applyBorder="1"/>
    <xf numFmtId="0" fontId="3" fillId="0" borderId="6" xfId="0" applyFont="1" applyBorder="1"/>
    <xf numFmtId="168" fontId="0" fillId="0" borderId="0" xfId="0" applyNumberFormat="1"/>
    <xf numFmtId="0" fontId="20" fillId="0" borderId="23" xfId="0" applyFont="1" applyBorder="1"/>
    <xf numFmtId="0" fontId="20" fillId="0" borderId="7" xfId="0" applyFont="1" applyBorder="1"/>
    <xf numFmtId="168" fontId="20" fillId="0" borderId="7" xfId="0" applyNumberFormat="1" applyFont="1" applyBorder="1"/>
    <xf numFmtId="0" fontId="21" fillId="0" borderId="1" xfId="0" applyFont="1" applyBorder="1"/>
    <xf numFmtId="0" fontId="3" fillId="0" borderId="14" xfId="0" applyFont="1" applyBorder="1"/>
    <xf numFmtId="168" fontId="0" fillId="0" borderId="22" xfId="0" applyNumberFormat="1" applyBorder="1"/>
    <xf numFmtId="168" fontId="20" fillId="0" borderId="20" xfId="0" applyNumberFormat="1" applyFont="1" applyBorder="1"/>
    <xf numFmtId="0" fontId="23" fillId="16" borderId="0" xfId="0" applyFont="1" applyFill="1" applyAlignment="1">
      <alignment horizontal="right"/>
    </xf>
    <xf numFmtId="0" fontId="20" fillId="16" borderId="0" xfId="0" applyFont="1" applyFill="1" applyAlignment="1">
      <alignment horizontal="right"/>
    </xf>
    <xf numFmtId="0" fontId="3" fillId="9" borderId="0" xfId="0" applyFont="1" applyFill="1"/>
    <xf numFmtId="0" fontId="0" fillId="0" borderId="32" xfId="0" applyBorder="1" applyProtection="1">
      <protection locked="0"/>
    </xf>
    <xf numFmtId="0" fontId="0" fillId="24" borderId="32" xfId="0" applyFill="1" applyBorder="1" applyProtection="1">
      <protection locked="0"/>
    </xf>
    <xf numFmtId="1" fontId="0" fillId="0" borderId="32" xfId="0" applyNumberFormat="1" applyBorder="1" applyAlignment="1" applyProtection="1">
      <alignment horizontal="left"/>
      <protection locked="0"/>
    </xf>
    <xf numFmtId="0" fontId="4" fillId="0" borderId="32" xfId="0" applyFont="1" applyBorder="1" applyProtection="1">
      <protection locked="0"/>
    </xf>
    <xf numFmtId="0" fontId="0" fillId="25" borderId="32" xfId="0" applyFill="1" applyBorder="1" applyProtection="1">
      <protection locked="0"/>
    </xf>
    <xf numFmtId="0" fontId="4" fillId="25" borderId="32" xfId="0" applyFont="1" applyFill="1" applyBorder="1" applyProtection="1">
      <protection locked="0"/>
    </xf>
    <xf numFmtId="0" fontId="4" fillId="8" borderId="4" xfId="0" applyFont="1" applyFill="1" applyBorder="1" applyProtection="1">
      <protection locked="0"/>
    </xf>
    <xf numFmtId="16" fontId="10" fillId="24" borderId="32" xfId="0" applyNumberFormat="1" applyFont="1" applyFill="1" applyBorder="1" applyProtection="1">
      <protection locked="0"/>
    </xf>
    <xf numFmtId="0" fontId="10" fillId="24" borderId="32" xfId="0" applyFont="1" applyFill="1" applyBorder="1" applyProtection="1">
      <protection locked="0"/>
    </xf>
    <xf numFmtId="0" fontId="0" fillId="20" borderId="0" xfId="0" applyFill="1"/>
    <xf numFmtId="0" fontId="0" fillId="20" borderId="4" xfId="0" applyFill="1" applyBorder="1"/>
    <xf numFmtId="3" fontId="1" fillId="0" borderId="4" xfId="4" applyNumberFormat="1" applyFont="1" applyFill="1" applyBorder="1" applyAlignment="1">
      <alignment vertical="center"/>
    </xf>
    <xf numFmtId="0" fontId="0" fillId="23" borderId="32" xfId="0" applyFill="1" applyBorder="1" applyProtection="1">
      <protection locked="0"/>
    </xf>
    <xf numFmtId="0" fontId="4" fillId="24" borderId="32" xfId="0" applyFont="1" applyFill="1" applyBorder="1" applyProtection="1">
      <protection locked="0"/>
    </xf>
    <xf numFmtId="0" fontId="3" fillId="27" borderId="0" xfId="0" applyFont="1" applyFill="1"/>
    <xf numFmtId="0" fontId="3" fillId="28" borderId="0" xfId="0" applyFont="1" applyFill="1"/>
    <xf numFmtId="0" fontId="3" fillId="29" borderId="0" xfId="0" applyFont="1" applyFill="1"/>
    <xf numFmtId="168" fontId="3" fillId="29" borderId="0" xfId="0" applyNumberFormat="1" applyFont="1" applyFill="1"/>
    <xf numFmtId="0" fontId="0" fillId="30" borderId="34" xfId="0" applyFill="1" applyBorder="1" applyProtection="1">
      <protection locked="0"/>
    </xf>
    <xf numFmtId="0" fontId="3" fillId="31" borderId="4" xfId="0" applyFont="1" applyFill="1" applyBorder="1"/>
    <xf numFmtId="0" fontId="0" fillId="32" borderId="32" xfId="0" applyFill="1" applyBorder="1" applyProtection="1">
      <protection locked="0"/>
    </xf>
    <xf numFmtId="0" fontId="1" fillId="3" borderId="4" xfId="0" applyFont="1" applyFill="1" applyBorder="1"/>
    <xf numFmtId="171" fontId="24" fillId="33" borderId="32" xfId="0" applyNumberFormat="1" applyFont="1" applyFill="1" applyBorder="1" applyProtection="1">
      <protection locked="0"/>
    </xf>
    <xf numFmtId="171" fontId="24" fillId="34" borderId="32" xfId="0" applyNumberFormat="1" applyFont="1" applyFill="1" applyBorder="1" applyProtection="1">
      <protection locked="0"/>
    </xf>
    <xf numFmtId="0" fontId="1" fillId="24" borderId="32" xfId="0" applyFont="1" applyFill="1" applyBorder="1" applyProtection="1">
      <protection locked="0"/>
    </xf>
    <xf numFmtId="14" fontId="0" fillId="0" borderId="0" xfId="0" applyNumberFormat="1"/>
    <xf numFmtId="171" fontId="24" fillId="35" borderId="32" xfId="0" applyNumberFormat="1" applyFont="1" applyFill="1" applyBorder="1" applyProtection="1">
      <protection locked="0"/>
    </xf>
    <xf numFmtId="0" fontId="1" fillId="0" borderId="32" xfId="0" applyFont="1" applyBorder="1" applyProtection="1">
      <protection locked="0"/>
    </xf>
    <xf numFmtId="0" fontId="3" fillId="26" borderId="0" xfId="0" applyFont="1" applyFill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0" fontId="4" fillId="16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0" fontId="16" fillId="22" borderId="7" xfId="0" applyFont="1" applyFill="1" applyBorder="1" applyAlignment="1">
      <alignment horizontal="center"/>
    </xf>
  </cellXfs>
  <cellStyles count="10">
    <cellStyle name="Millares 2" xfId="1" xr:uid="{00000000-0005-0000-0000-000000000000}"/>
    <cellStyle name="Moneda" xfId="2" builtinId="4"/>
    <cellStyle name="Moneda 2" xfId="3" xr:uid="{00000000-0005-0000-0000-000002000000}"/>
    <cellStyle name="Moneda 2 2" xfId="4" xr:uid="{00000000-0005-0000-0000-000003000000}"/>
    <cellStyle name="Normal" xfId="0" builtinId="0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Porcentaje" xfId="9" builtinId="5"/>
    <cellStyle name="Porcentaje 2" xfId="8" xr:uid="{00000000-0005-0000-0000-000009000000}"/>
  </cellStyles>
  <dxfs count="7"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uardo\waldo%20cob%20comp\Documents%20and%20Settings\Xp%2019-11-13\Configuraci&#243;n%20local\Archivos%20temporales%20de%20Internet\Content.IE5\DHLYJWNZ\PLANILLA%20MODE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"/>
      <sheetName val="CASA"/>
      <sheetName val="RENDICION"/>
      <sheetName val="Sugerencia Rendiciones "/>
      <sheetName val="COBRANZA SIN CUPON + VTA"/>
      <sheetName val="REGISTRO DE CHEQUES"/>
      <sheetName val="RANKING"/>
    </sheetNames>
    <sheetDataSet>
      <sheetData sheetId="0"/>
      <sheetData sheetId="1"/>
      <sheetData sheetId="2"/>
      <sheetData sheetId="3">
        <row r="2">
          <cell r="BP2" t="str">
            <v>Gustavo</v>
          </cell>
        </row>
        <row r="3">
          <cell r="D3" t="str">
            <v>AUTOMOVILES</v>
          </cell>
          <cell r="BP3" t="str">
            <v>Luis</v>
          </cell>
        </row>
        <row r="4">
          <cell r="D4" t="str">
            <v>VIVIENDAS</v>
          </cell>
          <cell r="BP4" t="str">
            <v>David</v>
          </cell>
        </row>
        <row r="5">
          <cell r="D5" t="str">
            <v>RANKING</v>
          </cell>
          <cell r="BP5" t="str">
            <v>Miguel</v>
          </cell>
        </row>
        <row r="6">
          <cell r="D6" t="str">
            <v>PAGARES</v>
          </cell>
          <cell r="BP6" t="str">
            <v>Sucursal</v>
          </cell>
        </row>
        <row r="7">
          <cell r="D7" t="str">
            <v>Cheques Rechazados</v>
          </cell>
          <cell r="BP7" t="str">
            <v>Depósito</v>
          </cell>
        </row>
        <row r="8">
          <cell r="D8" t="str">
            <v>RECUPEROS</v>
          </cell>
          <cell r="BP8" t="str">
            <v>Devolución</v>
          </cell>
        </row>
        <row r="9">
          <cell r="D9" t="str">
            <v>CASA FACIL</v>
          </cell>
          <cell r="BP9" t="str">
            <v>Gerente</v>
          </cell>
        </row>
        <row r="10">
          <cell r="D10" t="str">
            <v>AUTO FACIL</v>
          </cell>
          <cell r="BP10" t="str">
            <v>Otro</v>
          </cell>
        </row>
        <row r="11">
          <cell r="D11" t="str">
            <v>OTROS</v>
          </cell>
        </row>
      </sheetData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" refreshedDate="44228.204620023149" createdVersion="4" refreshedVersion="6" minRefreshableVersion="3" recordCount="55" xr:uid="{00000000-000A-0000-FFFF-FFFF02000000}">
  <cacheSource type="worksheet">
    <worksheetSource ref="A3:W446" sheet="AUTOHOGAR"/>
  </cacheSource>
  <cacheFields count="23">
    <cacheField name="COD" numFmtId="0">
      <sharedItems containsSemiMixedTypes="0" containsString="0" containsNumber="1" containsInteger="1" minValue="1908" maxValue="1987"/>
    </cacheField>
    <cacheField name="CLIENTE" numFmtId="0">
      <sharedItems count="360">
        <s v="ESTRELLA MICAELA DEL ROCIO"/>
        <s v="RAMIREZ PAULA ALEJANDRA"/>
        <s v="MOLINI BETINA LAURA"/>
        <s v="AGUILAR FIDEL CHOQUE"/>
        <s v="OYOLA SANCHEZ SABRINA MAILEN"/>
        <s v="CARRIZO ALEJANDRA NELLY"/>
        <s v="HERRERA FRANCISCO ANTONIO"/>
        <s v="CARPIO NORMA ANA"/>
        <s v="LORENZETTI LANZILOTTA SANDRA P."/>
        <s v="VARGAS MARIA HORTENCIA"/>
        <s v="BALMACEDA MAZA FRANCISCO EMILIO"/>
        <s v="CAJAS HUGO RICARDO"/>
        <s v="OCHOA BARBARA YAMILA"/>
        <s v="ALANIZ CINTIA MACARENA"/>
        <s v="HEREDIA JUAN CARLOS"/>
        <s v="AGÜERO PATRICIO JAVIER"/>
        <s v="BUSTOS NELLY MABEL"/>
        <s v="ZAMBRA MARIA SOLEDAD"/>
        <s v="GALDEANO CARRIZO HERNAN"/>
        <s v="PASTEN OLMOS ROSA MANUELA"/>
        <s v="AGUERO CARLOS MORENO"/>
        <s v="PUJADO LOBOS MARTIN DAVID"/>
        <s v="MARINERO GERMAN ANTONIO"/>
        <s v="MOLINA EMANUEL MARCOS JAIRO"/>
        <s v="OCAMPO BLAS RICARDO"/>
        <s v="MERCADO ANA BELEN"/>
        <s v="KENNY NOELIA VANESA"/>
        <s v="CAROSELLI YANINA CAROLINA"/>
        <s v="PEREZ LUCAS SEBASTIAN"/>
        <s v="SALCEDO JORGE LUIS"/>
        <s v="NUÑEZ PAMELA GISELLE"/>
        <s v="GUTIERREZ ATENCIO ELDA VANESA"/>
        <s v="CEVALLE JORGE LEONARDO"/>
        <s v="SILLERO GABRIELA SOLEDAD"/>
        <s v="NAVARRO EDUARDO AGUSTIN"/>
        <s v="RIVEROS DAYANA ESTEFANIA"/>
        <s v="CASTRO OSCAR ALBERTO"/>
        <s v="ARIA MIRTA GLADYS"/>
        <s v="SANTAMARIA RIVEROS DAYANA ELIANA"/>
        <s v="MALLEA ATENCIO PAULA CECILIA"/>
        <s v="FERRA CASTRO GASTON MAXIMILIANO"/>
        <s v="GATICA SEBASTIAN DARIO"/>
        <s v="MERCADO MOLINA LEILA BELEN"/>
        <s v="PARRA SIXTO ANTONIO"/>
        <s v="GOMEZ CARINA JULIETA"/>
        <s v="OLIVERA GISELA ROMINA"/>
        <s v="JOFRE CAROLINA IVANA"/>
        <s v="ILLANES EDUARDO ADRIAN"/>
        <s v="JANAVEL SILVIA LILIANA"/>
        <s v="CASTAN MARIA ARGENTINA"/>
        <s v="ANDRADA JORGELINA AIDA"/>
        <s v="MERCADO MOLINA  DAYANA ELIZABETH"/>
        <s v="LIZARDE SERGIO DANIEL"/>
        <s v="PAEZ EDUARDO ANTONIO"/>
        <s v="JOFRE GRACIELA CRISTINA"/>
        <s v="ARBO MARIANA DEL ROSARIO" u="1"/>
        <s v="VALDEZ ALEJANDRA LORENA" u="1"/>
        <s v="CHIRINO HECTOR JAVIER" u="1"/>
        <s v="SALINAS ANA GRACIELA" u="1"/>
        <s v="ALCARAZ RICARDO RAMON" u="1"/>
        <s v="PEREZ FARRAN YESICA ARACELI" u="1"/>
        <s v="GIL SALINAS NICOLAS CARLOS" u="1"/>
        <s v="COLOMBO MAIRA NOEMI" u="1"/>
        <s v="VILLEGAS WILLIAM OSVALDO" u="1"/>
        <s v="MUÑOZ ANALIA BEATRIZ" u="1"/>
        <s v="SAMBOR JONATAN EZEQUIEL" u="1"/>
        <s v="GALLARDO MARIANO ISMAEL" u="1"/>
        <s v="IBARROLA RIVERO NESTOR DAVID" u="1"/>
        <s v="GONZALEZ PEDRO ARIEL" u="1"/>
        <s v="MOLINA EUGENIO" u="1"/>
        <s v="CORTEZ PABLO NOLBERTO" u="1"/>
        <s v="ROJAS HERMAN ROQUE" u="1"/>
        <s v="CABALLERO MATIAS LEONARDO" u="1"/>
        <s v="CORDERO ZULMA NOEMI" u="1"/>
        <s v="TAPIA EDUARDO OSCAR" u="1"/>
        <s v="MORALES ROCIO AYELEN" u="1"/>
        <s v="GOMEZ YANELA BEATRIZ" u="1"/>
        <s v="TELLO TAILA YOLANDA" u="1"/>
        <s v="MOLINA RAQUEL LEONELA" u="1"/>
        <s v="TORRES LUIS ALBERTO" u="1"/>
        <s v="CARRIZO JOHANA ELIZABETH" u="1"/>
        <s v="FIGUEROA CARRIZO MERCEDES SILVIA" u="1"/>
        <s v="VARELA XENIA" u="1"/>
        <s v="PASTEN MARTA CARINA" u="1"/>
        <s v="SARRACINA MERCEDESA" u="1"/>
        <s v="GARRIDO FUENZALIDA PAMELA M." u="1"/>
        <s v="ROMERO SAMPER MARIA AMELIA" u="1"/>
        <s v="VILDOZO VERA EDUARDO SEBASTIAN" u="1"/>
        <s v="LLABRES GIMENEZ GABRIEL E." u="1"/>
        <s v="GIL RODOLFO ALEJANDRO" u="1"/>
        <s v="CASTRO ELBA MARIA" u="1"/>
        <s v="CANO CRISTINA CECILIA" u="1"/>
        <s v="DIAZ MIGUEL ANGEL" u="1"/>
        <s v="VIDELA CARLOS EMANUEL" u="1"/>
        <s v="FRIAS IBAZETA MARIA ALEJANDRA" u="1"/>
        <s v="CACERES MAXIMILIANO NICOLAS" u="1"/>
        <s v="FUENTES TATIANA ALEJANDRA" u="1"/>
        <s v="OVALLE MARIA FERNANDA" u="1"/>
        <s v="PAEZ SUIZER SILVINA INES" u="1"/>
        <s v="FLORES SANTANA OSCAR JAVIER" u="1"/>
        <s v="ARIAS TORRES VANESSA" u="1"/>
        <s v="VILLEGAS YESICA ISABEL" u="1"/>
        <s v="MALDONADO RAQUEL ISABEL" u="1"/>
        <s v="RETA JOSE ARIEL" u="1"/>
        <s v="AVILA MARIA EUGENIA" u="1"/>
        <s v="PAEZ GODOY MERCEDES ELIZABETH" u="1"/>
        <s v="RIOS JOSE SEGUNDO" u="1"/>
        <s v="ECHEVARRIA MARIA MARGARITA" u="1"/>
        <s v="ALANIZ ANALIA IVANA " u="1"/>
        <s v="FIGUEROA CASTRO VERONICA SAMIRA" u="1"/>
        <s v="JACOME CASTILLO RUBEN ESTEBAN" u="1"/>
        <s v="FARIAS MARIO GERARDO" u="1"/>
        <s v="LOBOS PAOLA VANESA" u="1"/>
        <s v="AGÜERO PASTRAN ROCIO MICAELA" u="1"/>
        <s v="CARRION IVANA BEATRIZ" u="1"/>
        <s v="CORDOBA DANIEL ELIGIO" u="1"/>
        <s v="CARRION MARIA CECILIA" u="1"/>
        <s v="AHUMADA GABRIEL HORACIO" u="1"/>
        <s v="SAAVEDRA FRANCO DANIEL" u="1"/>
        <s v="CHANDIA IRMA DEL CARMEN" u="1"/>
        <s v="ACOSTA RICARDO JAVIER" u="1"/>
        <s v="ESPEJO GRACIELA VANESA" u="1"/>
        <s v="FRANCISCA GONZALEZ" u="1"/>
        <s v="VIDELA JORGE HUMBERTO" u="1"/>
        <s v="MASS CARLOS NAHUEL" u="1"/>
        <s v="ESCUDERO JOSE LUIS" u="1"/>
        <s v="ALVAREZ DAYANA ELIZABETH" u="1"/>
        <s v="SIDASMED NOELIA " u="1"/>
        <s v="IBACACHE JONATAN JESUS" u="1"/>
        <s v="MOLINA OLIVERA MARIO ALBERTO" u="1"/>
        <s v="ARAGON NOELIA MARISA" u="1"/>
        <s v="CHENA VALERIA ESTEFANIS" u="1"/>
        <s v="JOFRE ELIZABETH DEL VALLE" u="1"/>
        <s v="FIERRO ROMINA TATIANA" u="1"/>
        <s v="NAVARRO JORGE ALBERTO" u="1"/>
        <s v="VILLAFAÑE FLORENCIA GISEL" u="1"/>
        <s v="HEREDIA MRCELO FABIAN" u="1"/>
        <s v="SANCHEZ YULIANA AYELEN AIXA" u="1"/>
        <s v="GALVAN DIEGO ALEXIS" u="1"/>
        <s v="MAIDANA SABRINA DEL MILAGRO" u="1"/>
        <s v="QUIROGA LUIS EDUARDO" u="1"/>
        <s v="LUCERO ROBERTO ARIEL" u="1"/>
        <s v="LAFUENTE JUAN ANDRES" u="1"/>
        <s v="CISTERNA MIGUEL ANGEL" u="1"/>
        <s v="ORTEGA MERCEDES ALICIA" u="1"/>
        <s v="CABRERA EDUARDO GABRIEL" u="1"/>
        <s v="SANCHEZ JUAN CARLOS" u="1"/>
        <s v="CUELLO JOSE EDUARDO" u="1"/>
        <s v="SOLAR NOELIA RAQUEL" u="1"/>
        <s v="CARBAJAL MARA EUGENIA" u="1"/>
        <s v="MALLEA SUSANA DEL VALLE" u="1"/>
        <s v="FLORES LUCAS MATIAS" u="1"/>
        <s v="SORIA MOLINI WALTER HUMBERTO" u="1"/>
        <s v="SANTANDER JUAN CARLOS" u="1"/>
        <s v="GONZALEZ CLAUDIA CECILIA" u="1"/>
        <s v="ABALLAY WALTER ARMANDO" u="1"/>
        <s v="FIGUEROA SANTOS BERNABE" u="1"/>
        <s v="PAEZ EMANUEL ALBERTO" u="1"/>
        <s v="LOPEZ MARIANO DANIEL" u="1"/>
        <s v="COLLADO CARMEN" u="1"/>
        <s v="MORALES FRANCO RUBEN" u="1"/>
        <s v="CARRASCO MACIAS MATIAS E." u="1"/>
        <s v="COPA MARTINEZ RODOLFO" u="1"/>
        <s v="DIAZ ENRIQUE LEONARDO" u="1"/>
        <s v="CALIVA CHAVEZ DOMINGO PEDRO" u="1"/>
        <s v="PEREZ LUCIA BEATRIZ" u="1"/>
        <s v="SOSA ANDREA LUCIA" u="1"/>
        <s v="ZALAZAR CARINA MARCELA" u="1"/>
        <s v="GUAQUINCHAY OCHOA LILIANA C." u="1"/>
        <s v="PAEZ LAURA" u="1"/>
        <s v="PARIONA LOPEZ JUVENAL JORGE" u="1"/>
        <s v="SUAREZ NELIDA ELIANA" u="1"/>
        <s v="GOMEZ BRIAN EZEQUIEL" u="1"/>
        <s v="VILLARUEL CRISTIAN ANDRES" u="1"/>
        <s v="HEREDIA AGUILAR MARIELA LUCIA" u="1"/>
        <s v="PERALTA ROSANA MARIELA" u="1"/>
        <s v="DIAZ MABEL CEFERINA" u="1"/>
        <s v="FLORES DOMINGO VICTOR" u="1"/>
        <s v="DIAZ RUBEN ANIBAL" u="1"/>
        <s v="SALINAS CARLOS ALBERTO" u="1"/>
        <s v="MIRANDA CASTRO JONATAN F." u="1"/>
        <s v="RETA REINA VICTOR IGNACIO" u="1"/>
        <s v="ALLENDE RAUL ANTONIO" u="1"/>
        <s v="MORALES ALBERTO DANIEL" u="1"/>
        <s v="TEJADA SERGIO RAUL" u="1"/>
        <s v="GIL JUAN CARLOS" u="1"/>
        <s v="CATALDO RICARDO DANIEL" u="1"/>
        <s v="GONZALEZ DANTE ALFREDO" u="1"/>
        <s v="MEGLIOLI MATIAS GERMAN" u="1"/>
        <s v="CHAVEZ  VANINA ALEJANDRA" u="1"/>
        <s v="GIMBERNAT MARCELA ALICIA" u="1"/>
        <s v="PADILLA JUAN ENRIQUE" u="1"/>
        <s v="MONTAÑA CORTEZ ENZO JESUS" u="1"/>
        <s v="TOMEO BEATRIZ IRENE" u="1"/>
        <s v="CACERES PATRICIA ANTONIA" u="1"/>
        <s v="AGUILAR LUCIA DEL CARMEN" u="1"/>
        <s v="CASTILLA CRISTIAN LEONARDO" u="1"/>
        <s v="BORGHETTI GARCIA DEBORA FLORENCIA" u="1"/>
        <s v="VIDELA SONIA VANESA" u="1"/>
        <s v="MENDEZ SILVANA DEL R." u="1"/>
        <s v="ARAGON HECTOR ANDRES" u="1"/>
        <s v="CABALLERO CECILIA RAMONA" u="1"/>
        <s v="ALVAREZ SUSANA GRACIELA" u="1"/>
        <s v="PAREDES TEJADA NATALIA" u="1"/>
        <s v="ANDRADA KARINA SOLEDAD" u="1"/>
        <s v="MARTINEZ CARLOS ALBERTO" u="1"/>
        <s v="FONTIVEROS CARRIZO GABRIELA V." u="1"/>
        <s v="ECHANDIA DARIO GASTON" u="1"/>
        <s v="FERNANDEZ JORGE JOAQUIN" u="1"/>
        <s v="CASTRO SANTANA DANISA RAMONA" u="1"/>
        <s v="LUCERO EMILSE LORENA" u="1"/>
        <s v="CHACON MAXIMILIANO ALFREDO" u="1"/>
        <s v="CARRIZO ALICIA ROSANA" u="1"/>
        <s v="D'AGOSTINO JOSE OSVALDO" u="1"/>
        <s v="GALDEANO SEBASTIAN ALBERTO" u="1"/>
        <s v="MUÑOZ MARTA LILIANA" u="1"/>
        <s v="MALLEA REYNA MARY" u="1"/>
        <s v="DIAZ SALLY ROMINA" u="1"/>
        <s v="QUIROGA ROMINA AYELEN" u="1"/>
        <s v="SALINAS DIEGO EMANUEL" u="1"/>
        <s v="SAMPER PEREZ LAURA VANESA" u="1"/>
        <s v="RIVEROS LAURA EDITH" u="1"/>
        <s v="SANCHEZ GARCIA MAURICIO ARIEL" u="1"/>
        <s v="FUNES JUANA EDITH" u="1"/>
        <s v="QUIROGA TAMARA SILVANA" u="1"/>
        <s v="CORTEZ ERIC JOSUE" u="1"/>
        <s v="FERREYRA RUBIA RODRIGO OMAR" u="1"/>
        <s v="PEDRON DIEGO ARMANDO" u="1"/>
        <s v="MONDACA MIGUEL ALFREDO" u="1"/>
        <s v="BALMACEDA ESTER MARIA" u="1"/>
        <s v="MONTAÑA MICAELA PATRICIA" u="1"/>
        <s v="MARTINEZ SUSANA ESTELA" u="1"/>
        <s v="DONOSO JESICA MICAELA" u="1"/>
        <s v="ARGUELLO ENCINA LUIS ADRIAN" u="1"/>
        <s v="SANTANA SARA RAMONA" u="1"/>
        <s v="ROSALES FERNANDO JOSE" u="1"/>
        <s v="ANTE GOMEZ DELIA" u="1"/>
        <s v="MENESES ARCE BELKYS" u="1"/>
        <s v="MALLEA MIGUEL ANTONIO" u="1"/>
        <s v="OLTRA VEGA FRANCO EMANUEL" u="1"/>
        <s v="CORTEZ MARIA ESTHER" u="1"/>
        <s v="ROJAS MARCELA MELISA" u="1"/>
        <s v="GELVEZ RODRIGUEZ RAMONA DEL V." u="1"/>
        <s v="BARAHONA MARIELA INES" u="1"/>
        <s v="AGÜERO EZEQUIEL JACINTO" u="1"/>
        <s v="LUNA OLGA" u="1"/>
        <s v="ABARCA MATIAS MANUEL" u="1"/>
        <s v="MORALES JUAN CARLOS" u="1"/>
        <s v="WEBER ROSA ISABEL" u="1"/>
        <s v="CAMARGO DANIEL EXEQUIEL" u="1"/>
        <s v="MALLA ESTRELLA DOLORES" u="1"/>
        <s v="SANCHEZ RECHES ELBIO GABRIEL" u="1"/>
        <s v="ZALAZAR CARRIZO ROLANDO" u="1"/>
        <s v="FARFAN ISAAC ISAIAS" u="1"/>
        <s v="VIDELA SILVANA MARISA" u="1"/>
        <s v="VIVARES GARRO MICAELA AYELEN" u="1"/>
        <s v="ONTIVEROS FERNANDO NICOLAS" u="1"/>
        <s v="CRUZ RIMBERTO " u="1"/>
        <s v="SALINA GARAY FRANCO FABIAN" u="1"/>
        <s v="ROSSELLOT CLARA ROSALBA" u="1"/>
        <s v="GOMEZ SILVIACRISTINA" u="1"/>
        <s v="SOSA SILVANA DEL VALLE" u="1"/>
        <s v="GUEVARA ANTONIO NICOLAS" u="1"/>
        <s v="SANTANA MARCELO DEL ROSARIO" u="1"/>
        <s v="OCHOA GUSTAVO ARIEL" u="1"/>
        <s v="LUNA ADELA VERONICA" u="1"/>
        <s v="ROJAS ALICIA JOSEFINA" u="1"/>
        <s v="DOMINGUEZ GLADYS SUSANA" u="1"/>
        <s v="GONZALEZ IGNACIO ROLANDO" u="1"/>
        <s v="CASTRO FELIX ANTONIO" u="1"/>
        <s v="BALMACEDA MARIA ESTHER" u="1"/>
        <s v="SALINAS RAMON LUIS" u="1"/>
        <s v="LEZCANO ANDRES JUAN" u="1"/>
        <s v="MORALES GRACIELA AZUCENA" u="1"/>
        <s v="MANRIQUE MARIA DEL CARMEN" u="1"/>
        <s v="MUÑOZ BRIZUELA WALTER ANDRES" u="1"/>
        <s v="FALCON GRISELDO ROSALINO" u="1"/>
        <s v="GOMEZ ROSANA NATALI" u="1"/>
        <s v="DIAZ SILVIA ROSALIA" u="1"/>
        <s v="CARRIZO VERONICA ANALIA" u="1"/>
        <s v="FUENTES ROSA ELVIRA" u="1"/>
        <s v="TAPIA ILLANES VALERIA MARILIN" u="1"/>
        <s v="AGÜERO CASTRO GABRIELA JUDITH" u="1"/>
        <s v="URICHE VICTOR RAMON" u="1"/>
        <s v="BALMACEDA MARIANELA A." u="1"/>
        <s v="FERREYRA ROMINA DEL VALLE" u="1"/>
        <s v="BORDON ADELA VIRGINIA" u="1"/>
        <s v="VARELA ANGEL DAVID" u="1"/>
        <s v="PRESTIANO MARTIN DARIO" u="1"/>
        <s v="ANGEL MARIA ADRIANA" u="1"/>
        <s v="PAREDES MARCIO ALEXIS" u="1"/>
        <s v="GIMENEZ PABLO RAMIRO" u="1"/>
        <s v="FUENTES ERIKA MICHELLE" u="1"/>
        <s v="LUNA NIDIA IVANA" u="1"/>
        <s v="BALMACEDA MARIO RUBEN" u="1"/>
        <s v="RIVEROS NARVAEZ FRANCO NICOLAS" u="1"/>
        <s v="MARCHAN MERCADO MAURO FERNANDO" u="1"/>
        <s v="MALLEA AURORA NIDIA" u="1"/>
        <s v="VILLAFAÑES BOLADO CLAUDIA T." u="1"/>
        <s v="MORENO ENZO ALFREDO" u="1"/>
        <s v="MOLINA ALFREDO ARIEL" u="1"/>
        <s v="YOMA YAMILA SAMANTA" u="1"/>
        <s v="MALLEA JOSE ALBERTO" u="1"/>
        <s v="ESCOBAR MYRIAM VANESA" u="1"/>
        <s v="SANTANA JUAN CARLOS" u="1"/>
        <s v="PALACIO GUSTAVO ADOLFO" u="1"/>
        <s v="MORALES ZULMA NANCY" u="1"/>
        <s v="ALBARRACIN MIGUEL ALBERTO" u="1"/>
        <s v="ZABALA LUIS ALFREDO" u="1"/>
        <s v="FREDES DAYANA YANINA" u="1"/>
        <s v="DURAN MARIA JULIANA" u="1"/>
        <s v="ARAYA ALEJANDRO DANIEL" u="1"/>
        <s v="PINTO ROBERTO JOSE" u="1"/>
        <s v="SERER NORMA GRACIELA" u="1"/>
        <s v="ECHENIQUE PAULO VICTOR" u="1"/>
        <s v="GONZALEZ DANIELA SOLEDAD" u="1"/>
        <s v="AGÜERO LAURA GISEL" u="1"/>
        <s v="MARTINEZ OLGA ELSA" u="1"/>
        <s v="QUIROGA ZARATE ALEJANDRA AYELEN" u="1"/>
        <s v="JOFRE JAVIER ANTONIO" u="1"/>
        <s v="ARAYA GRICELDA ROSA" u="1"/>
        <s v="ARANCIBIA LUIS MARTIN" u="1"/>
        <s v="MONTESANO DIEGO GABRIEL" u="1"/>
        <s v="CORREA GERVAN" u="1"/>
        <s v="MUÑOZ MARIA DEL CARMEN" u="1"/>
        <s v="ZUNINO MARGARITA DEL CARMEN" u="1"/>
        <s v="QUIROGA MAURICIO EZEQUIEL" u="1"/>
        <s v="VEGA HERRERA ALEJANDRO" u="1"/>
        <s v="RODRIGUEZ ANALIA NOELIA" u="1"/>
        <s v="VIDELA RICARDO DANIEL" u="1"/>
        <s v="MERELES CARLOS ROBERTO" u="1"/>
        <s v="FARIAS ELIANA VANESA" u="1"/>
        <s v="GODOY GUADALUPE BELEN" u="1"/>
        <s v="PAEZ JORGE ANDRES" u="1"/>
        <s v="GOMEZ DIEGO" u="1"/>
        <s v="JORQUERA LIBIO JUSTO" u="1"/>
        <s v="GUTIERREZ CECILIA LORENA" u="1"/>
        <s v="CACERES ELIZABETH SOLEDAD" u="1"/>
        <s v="OYOLA ANDREA VERONICA" u="1"/>
        <s v="AGÜERO GUSTAVO LEONARDO" u="1"/>
        <s v="FERNADEZ ROSA MIRIAM" u="1"/>
        <s v="DELGADO ARRIETA CRISTIAN S." u="1"/>
        <s v="MARTIN JUDITH ENCARNACION" u="1"/>
        <s v="GOMEZ MARIA OLGA" u="1"/>
        <s v="PEREZ VILLAFAÑE MELISA JOHANA" u="1"/>
        <s v="VILLALBA JUAN GABRIEL" u="1"/>
        <s v="VALDEZ ENRIQUETA NANCY" u="1"/>
        <s v="CORTEZ VALERIA INES" u="1"/>
        <s v="AYALA NELIDA MERCEDES" u="1"/>
        <s v="AMBERK CARLOS SEBASTIAN" u="1"/>
        <s v="GONZALEZ ROSA ERMINDA" u="1"/>
        <s v="ZAPATA MARIN AMERICA DEL C." u="1"/>
        <s v="CASTRO ALBERTO N." u="1"/>
        <s v="GUAQUINCHAY EULALIA" u="1"/>
        <s v="RODRIGUEZ CONTRERAS FERNANDO A." u="1"/>
        <s v="BUSTOS MONICA ALEJANDRA" u="1"/>
        <s v="OLIVARES LUIS ALBERTO" u="1"/>
        <s v="BRITO JANETE" u="1"/>
        <s v="ARIZA JORGE DANIEL" u="1"/>
        <s v="LUCERO ALEGRIA CATERINA MICAELA" u="1"/>
      </sharedItems>
    </cacheField>
    <cacheField name="TELEFONO" numFmtId="1">
      <sharedItems/>
    </cacheField>
    <cacheField name="LOCALIDAD" numFmtId="0">
      <sharedItems/>
    </cacheField>
    <cacheField name="SOLI" numFmtId="0">
      <sharedItems containsSemiMixedTypes="0" containsString="0" containsNumber="1" containsInteger="1" minValue="1278" maxValue="10180"/>
    </cacheField>
    <cacheField name="CTA" numFmtId="0">
      <sharedItems containsSemiMixedTypes="0" containsString="0" containsNumber="1" containsInteger="1" minValue="1" maxValue="2"/>
    </cacheField>
    <cacheField name="CUOTAS" numFmtId="0">
      <sharedItems containsSemiMixedTypes="0" containsString="0" containsNumber="1" containsInteger="1" minValue="3000" maxValue="20000"/>
    </cacheField>
    <cacheField name="ARRASTRE" numFmtId="170">
      <sharedItems containsSemiMixedTypes="0" containsString="0" containsNumber="1" containsInteger="1" minValue="-60000" maxValue="0"/>
    </cacheField>
    <cacheField name="PAGO" numFmtId="0">
      <sharedItems containsNonDate="0" containsString="0" containsBlank="1"/>
    </cacheField>
    <cacheField name="PAGO X ADEL" numFmtId="0">
      <sharedItems containsNonDate="0" containsString="0" containsBlank="1"/>
    </cacheField>
    <cacheField name="PAGO ANTES" numFmtId="0">
      <sharedItems containsNonDate="0" containsString="0" containsBlank="1"/>
    </cacheField>
    <cacheField name="X OFICINA" numFmtId="0">
      <sharedItems containsNonDate="0" containsString="0" containsBlank="1"/>
    </cacheField>
    <cacheField name="BCO O ELECT" numFmtId="0">
      <sharedItems containsNonDate="0" containsString="0" containsBlank="1"/>
    </cacheField>
    <cacheField name="CON MORA" numFmtId="3">
      <sharedItems containsSemiMixedTypes="0" containsString="0" containsNumber="1" containsInteger="1" minValue="3000" maxValue="20000"/>
    </cacheField>
    <cacheField name="SISTEMA" numFmtId="3">
      <sharedItems containsSemiMixedTypes="0" containsString="0" containsNumber="1" containsInteger="1" minValue="-48000" maxValue="20000"/>
    </cacheField>
    <cacheField name="PLANILLA SALIDA" numFmtId="3">
      <sharedItems containsSemiMixedTypes="0" containsString="0" containsNumber="1" containsInteger="1" minValue="0" maxValue="20000"/>
    </cacheField>
    <cacheField name="PAGO2" numFmtId="171">
      <sharedItems containsNonDate="0" containsString="0" containsBlank="1"/>
    </cacheField>
    <cacheField name="PAGARA" numFmtId="171">
      <sharedItems containsNonDate="0" containsDate="1" containsString="0" containsBlank="1" minDate="2019-11-12T00:00:00" maxDate="2019-12-31T00:00:00" count="18">
        <m/>
        <d v="2019-12-09T00:00:00" u="1"/>
        <d v="2019-12-28T00:00:00" u="1"/>
        <d v="2019-12-07T00:00:00" u="1"/>
        <d v="2019-12-19T00:00:00" u="1"/>
        <d v="2019-12-12T00:00:00" u="1"/>
        <d v="2019-12-05T00:00:00" u="1"/>
        <d v="2019-11-12T00:00:00" u="1"/>
        <d v="2019-12-10T00:00:00" u="1"/>
        <d v="2019-12-03T00:00:00" u="1"/>
        <d v="2019-12-15T00:00:00" u="1"/>
        <d v="2019-12-27T00:00:00" u="1"/>
        <d v="2019-12-20T00:00:00" u="1"/>
        <d v="2019-12-13T00:00:00" u="1"/>
        <d v="2019-12-06T00:00:00" u="1"/>
        <d v="2019-12-11T00:00:00" u="1"/>
        <d v="2019-12-30T00:00:00" u="1"/>
        <d v="2019-12-04T00:00:00" u="1"/>
      </sharedItems>
    </cacheField>
    <cacheField name="BAJA" numFmtId="0">
      <sharedItems containsNonDate="0" containsString="0" containsBlank="1"/>
    </cacheField>
    <cacheField name="MOTIVO" numFmtId="0">
      <sharedItems containsNonDate="0" containsString="0" containsBlank="1"/>
    </cacheField>
    <cacheField name="OBSERVACIONES" numFmtId="0">
      <sharedItems containsNonDate="0" containsString="0" containsBlank="1"/>
    </cacheField>
    <cacheField name="PAGO MES ANT" numFmtId="171">
      <sharedItems containsNonDate="0" containsString="0" containsBlank="1"/>
    </cacheField>
    <cacheField name="TERMOMETR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">
  <r>
    <n v="1908"/>
    <x v="0"/>
    <s v="264-5028093"/>
    <s v="RAWSON"/>
    <n v="1278"/>
    <n v="2"/>
    <n v="11000"/>
    <n v="0"/>
    <m/>
    <m/>
    <m/>
    <m/>
    <m/>
    <n v="11000"/>
    <n v="11000"/>
    <n v="11000"/>
    <m/>
    <x v="0"/>
    <m/>
    <m/>
    <m/>
    <m/>
    <m/>
  </r>
  <r>
    <n v="1914"/>
    <x v="1"/>
    <s v="264-5302006"/>
    <s v="SAN JUAN"/>
    <n v="9890"/>
    <n v="2"/>
    <n v="15000"/>
    <n v="0"/>
    <m/>
    <m/>
    <m/>
    <m/>
    <m/>
    <n v="15000"/>
    <n v="15000"/>
    <n v="15000"/>
    <m/>
    <x v="0"/>
    <m/>
    <m/>
    <m/>
    <m/>
    <m/>
  </r>
  <r>
    <n v="1915"/>
    <x v="2"/>
    <s v="264-4658418"/>
    <s v="CHIMBAS"/>
    <n v="9976"/>
    <n v="2"/>
    <n v="10000"/>
    <n v="-10000"/>
    <m/>
    <m/>
    <m/>
    <m/>
    <m/>
    <n v="10000"/>
    <n v="0"/>
    <n v="0"/>
    <m/>
    <x v="0"/>
    <m/>
    <m/>
    <m/>
    <m/>
    <m/>
  </r>
  <r>
    <n v="1916"/>
    <x v="3"/>
    <s v="264-4631583"/>
    <s v="NIQUIVIL"/>
    <n v="9979"/>
    <n v="2"/>
    <n v="20000"/>
    <n v="0"/>
    <m/>
    <m/>
    <m/>
    <m/>
    <m/>
    <n v="20000"/>
    <n v="20000"/>
    <n v="20000"/>
    <m/>
    <x v="0"/>
    <m/>
    <m/>
    <m/>
    <m/>
    <m/>
  </r>
  <r>
    <n v="1917"/>
    <x v="4"/>
    <s v="264-4898374"/>
    <s v="9 DE JULIO"/>
    <n v="9986"/>
    <n v="2"/>
    <n v="4000"/>
    <n v="0"/>
    <m/>
    <m/>
    <m/>
    <m/>
    <m/>
    <n v="4000"/>
    <n v="4000"/>
    <n v="4000"/>
    <m/>
    <x v="0"/>
    <m/>
    <m/>
    <m/>
    <m/>
    <m/>
  </r>
  <r>
    <n v="1918"/>
    <x v="5"/>
    <s v="264-5020528"/>
    <s v="RAWSON"/>
    <n v="10015"/>
    <n v="2"/>
    <n v="9000"/>
    <n v="0"/>
    <m/>
    <m/>
    <m/>
    <m/>
    <m/>
    <n v="9000"/>
    <n v="9000"/>
    <n v="9000"/>
    <m/>
    <x v="0"/>
    <m/>
    <m/>
    <m/>
    <m/>
    <m/>
  </r>
  <r>
    <n v="1919"/>
    <x v="6"/>
    <s v="264-5467278"/>
    <s v="SAN JUAN"/>
    <n v="10016"/>
    <n v="2"/>
    <n v="12000"/>
    <n v="-60000"/>
    <m/>
    <m/>
    <m/>
    <m/>
    <m/>
    <n v="12000"/>
    <n v="-48000"/>
    <n v="0"/>
    <m/>
    <x v="0"/>
    <m/>
    <m/>
    <m/>
    <m/>
    <m/>
  </r>
  <r>
    <n v="1920"/>
    <x v="7"/>
    <s v="264-4462545"/>
    <s v="CHIMBAS"/>
    <n v="10020"/>
    <n v="2"/>
    <n v="7000"/>
    <n v="0"/>
    <m/>
    <m/>
    <m/>
    <m/>
    <m/>
    <n v="7000"/>
    <n v="7000"/>
    <n v="7000"/>
    <m/>
    <x v="0"/>
    <m/>
    <m/>
    <m/>
    <m/>
    <m/>
  </r>
  <r>
    <n v="1921"/>
    <x v="8"/>
    <s v="264-5416256"/>
    <s v="MARQUESADO"/>
    <n v="10021"/>
    <n v="2"/>
    <n v="10000"/>
    <n v="0"/>
    <m/>
    <m/>
    <m/>
    <m/>
    <m/>
    <n v="10000"/>
    <n v="10000"/>
    <n v="10000"/>
    <m/>
    <x v="0"/>
    <m/>
    <m/>
    <m/>
    <m/>
    <m/>
  </r>
  <r>
    <n v="1922"/>
    <x v="9"/>
    <s v="264-4479197"/>
    <s v="LA PUNTILLA"/>
    <n v="10022"/>
    <n v="2"/>
    <n v="6000"/>
    <n v="0"/>
    <m/>
    <m/>
    <m/>
    <m/>
    <m/>
    <n v="6000"/>
    <n v="6000"/>
    <n v="6000"/>
    <m/>
    <x v="0"/>
    <m/>
    <m/>
    <m/>
    <m/>
    <m/>
  </r>
  <r>
    <n v="1923"/>
    <x v="10"/>
    <s v="264-4000465"/>
    <s v="SAN JUAN"/>
    <n v="10023"/>
    <n v="2"/>
    <n v="7000"/>
    <n v="0"/>
    <m/>
    <m/>
    <m/>
    <m/>
    <m/>
    <n v="7000"/>
    <n v="7000"/>
    <n v="7000"/>
    <m/>
    <x v="0"/>
    <m/>
    <m/>
    <m/>
    <m/>
    <m/>
  </r>
  <r>
    <n v="1924"/>
    <x v="11"/>
    <s v="264-4642811"/>
    <s v="RAWSON"/>
    <n v="10024"/>
    <n v="2"/>
    <n v="10000"/>
    <n v="0"/>
    <m/>
    <m/>
    <m/>
    <m/>
    <m/>
    <n v="10000"/>
    <n v="10000"/>
    <n v="10000"/>
    <m/>
    <x v="0"/>
    <m/>
    <m/>
    <m/>
    <m/>
    <m/>
  </r>
  <r>
    <n v="1925"/>
    <x v="12"/>
    <s v="264-5089383"/>
    <s v="POCITOS"/>
    <n v="10025"/>
    <n v="2"/>
    <n v="6000"/>
    <n v="0"/>
    <m/>
    <m/>
    <m/>
    <m/>
    <m/>
    <n v="6000"/>
    <n v="6000"/>
    <n v="6000"/>
    <m/>
    <x v="0"/>
    <m/>
    <m/>
    <m/>
    <m/>
    <m/>
  </r>
  <r>
    <n v="1926"/>
    <x v="13"/>
    <s v="264-6711892"/>
    <s v="NIQUIVIL"/>
    <n v="10027"/>
    <n v="2"/>
    <n v="5000"/>
    <n v="0"/>
    <m/>
    <m/>
    <m/>
    <m/>
    <m/>
    <n v="5000"/>
    <n v="5000"/>
    <n v="5000"/>
    <m/>
    <x v="0"/>
    <m/>
    <m/>
    <m/>
    <m/>
    <m/>
  </r>
  <r>
    <n v="1927"/>
    <x v="14"/>
    <s v="264-5609407"/>
    <s v="RAWSON"/>
    <n v="10028"/>
    <n v="2"/>
    <n v="10000"/>
    <n v="0"/>
    <m/>
    <m/>
    <m/>
    <m/>
    <m/>
    <n v="10000"/>
    <n v="10000"/>
    <n v="10000"/>
    <m/>
    <x v="0"/>
    <m/>
    <m/>
    <m/>
    <m/>
    <m/>
  </r>
  <r>
    <n v="1928"/>
    <x v="15"/>
    <s v="264-4276463"/>
    <s v="SAN JUAN"/>
    <n v="10030"/>
    <n v="2"/>
    <n v="5000"/>
    <n v="0"/>
    <m/>
    <m/>
    <m/>
    <m/>
    <m/>
    <n v="5000"/>
    <n v="5000"/>
    <n v="5000"/>
    <m/>
    <x v="0"/>
    <m/>
    <m/>
    <m/>
    <m/>
    <m/>
  </r>
  <r>
    <n v="1929"/>
    <x v="16"/>
    <s v="264-4811286"/>
    <s v="SANTA LUCIA"/>
    <n v="10031"/>
    <n v="2"/>
    <n v="6800"/>
    <n v="0"/>
    <m/>
    <m/>
    <m/>
    <m/>
    <m/>
    <n v="6800"/>
    <n v="6800"/>
    <n v="6800"/>
    <m/>
    <x v="0"/>
    <m/>
    <m/>
    <m/>
    <m/>
    <m/>
  </r>
  <r>
    <n v="1930"/>
    <x v="17"/>
    <s v="264-5150302"/>
    <s v="CHIMBAS"/>
    <n v="10032"/>
    <n v="2"/>
    <n v="10000"/>
    <n v="0"/>
    <m/>
    <m/>
    <m/>
    <m/>
    <m/>
    <n v="10000"/>
    <n v="10000"/>
    <n v="10000"/>
    <m/>
    <x v="0"/>
    <m/>
    <m/>
    <m/>
    <m/>
    <m/>
  </r>
  <r>
    <n v="1933"/>
    <x v="18"/>
    <s v="264-4756473"/>
    <s v="POCITOS"/>
    <n v="10035"/>
    <n v="2"/>
    <n v="8000"/>
    <n v="0"/>
    <m/>
    <m/>
    <m/>
    <m/>
    <m/>
    <n v="8000"/>
    <n v="8000"/>
    <n v="8000"/>
    <m/>
    <x v="0"/>
    <m/>
    <m/>
    <m/>
    <m/>
    <m/>
  </r>
  <r>
    <n v="1935"/>
    <x v="19"/>
    <s v="264-5157608"/>
    <s v="SAN JUAN"/>
    <n v="10038"/>
    <n v="2"/>
    <n v="4500"/>
    <n v="0"/>
    <m/>
    <m/>
    <m/>
    <m/>
    <m/>
    <n v="4500"/>
    <n v="4500"/>
    <n v="4500"/>
    <m/>
    <x v="0"/>
    <m/>
    <m/>
    <m/>
    <m/>
    <m/>
  </r>
  <r>
    <n v="1938"/>
    <x v="20"/>
    <s v="264-5884783"/>
    <s v="RAWSON"/>
    <n v="10041"/>
    <n v="2"/>
    <n v="9000"/>
    <n v="0"/>
    <m/>
    <m/>
    <m/>
    <m/>
    <m/>
    <n v="9000"/>
    <n v="9000"/>
    <n v="9000"/>
    <m/>
    <x v="0"/>
    <m/>
    <m/>
    <m/>
    <m/>
    <m/>
  </r>
  <r>
    <n v="1939"/>
    <x v="21"/>
    <s v="264-5622460"/>
    <s v="RAWSON"/>
    <n v="10042"/>
    <n v="2"/>
    <n v="3000"/>
    <n v="0"/>
    <m/>
    <m/>
    <m/>
    <m/>
    <m/>
    <n v="3000"/>
    <n v="3000"/>
    <n v="3000"/>
    <m/>
    <x v="0"/>
    <m/>
    <m/>
    <m/>
    <m/>
    <m/>
  </r>
  <r>
    <n v="1942"/>
    <x v="22"/>
    <s v="264-5064103"/>
    <s v="RAWSON"/>
    <n v="10048"/>
    <n v="2"/>
    <n v="10000"/>
    <n v="0"/>
    <m/>
    <m/>
    <m/>
    <m/>
    <m/>
    <n v="10000"/>
    <n v="10000"/>
    <n v="10000"/>
    <m/>
    <x v="0"/>
    <m/>
    <m/>
    <m/>
    <m/>
    <m/>
  </r>
  <r>
    <n v="1943"/>
    <x v="23"/>
    <s v="264-4397917"/>
    <s v="SAN JUAN"/>
    <n v="10049"/>
    <n v="2"/>
    <n v="8000"/>
    <n v="0"/>
    <m/>
    <m/>
    <m/>
    <m/>
    <m/>
    <n v="8000"/>
    <n v="8000"/>
    <n v="8000"/>
    <m/>
    <x v="0"/>
    <m/>
    <m/>
    <m/>
    <m/>
    <m/>
  </r>
  <r>
    <n v="1944"/>
    <x v="24"/>
    <s v="264-4479450"/>
    <s v="SAN JUAN"/>
    <n v="10050"/>
    <n v="2"/>
    <n v="7000"/>
    <n v="0"/>
    <m/>
    <m/>
    <m/>
    <m/>
    <m/>
    <n v="7000"/>
    <n v="7000"/>
    <n v="7000"/>
    <m/>
    <x v="0"/>
    <m/>
    <m/>
    <m/>
    <m/>
    <m/>
  </r>
  <r>
    <n v="1945"/>
    <x v="25"/>
    <s v="264-6129021"/>
    <s v="RAWSON"/>
    <n v="10051"/>
    <n v="2"/>
    <n v="7000"/>
    <n v="0"/>
    <m/>
    <m/>
    <m/>
    <m/>
    <m/>
    <n v="7000"/>
    <n v="7000"/>
    <n v="7000"/>
    <m/>
    <x v="0"/>
    <m/>
    <m/>
    <m/>
    <m/>
    <m/>
  </r>
  <r>
    <n v="1946"/>
    <x v="26"/>
    <s v="264-4580675"/>
    <s v="SAN JUAN"/>
    <n v="10059"/>
    <n v="2"/>
    <n v="10000"/>
    <n v="0"/>
    <m/>
    <m/>
    <m/>
    <m/>
    <m/>
    <n v="10000"/>
    <n v="10000"/>
    <n v="10000"/>
    <m/>
    <x v="0"/>
    <m/>
    <m/>
    <m/>
    <m/>
    <m/>
  </r>
  <r>
    <n v="1950"/>
    <x v="27"/>
    <s v="264-5851411"/>
    <s v="CHIMBAS"/>
    <n v="9978"/>
    <n v="1"/>
    <n v="6000"/>
    <n v="0"/>
    <m/>
    <m/>
    <m/>
    <m/>
    <m/>
    <n v="6000"/>
    <n v="6000"/>
    <n v="6000"/>
    <m/>
    <x v="0"/>
    <m/>
    <m/>
    <m/>
    <m/>
    <m/>
  </r>
  <r>
    <n v="1951"/>
    <x v="28"/>
    <s v="264-6270087"/>
    <s v="RAWSON"/>
    <n v="10018"/>
    <n v="1"/>
    <n v="4000"/>
    <n v="0"/>
    <m/>
    <m/>
    <m/>
    <m/>
    <m/>
    <n v="4000"/>
    <n v="4000"/>
    <n v="4000"/>
    <m/>
    <x v="0"/>
    <m/>
    <m/>
    <m/>
    <m/>
    <m/>
  </r>
  <r>
    <n v="1952"/>
    <x v="29"/>
    <s v="264-6053240"/>
    <s v="CHIMBAS"/>
    <n v="10019"/>
    <n v="1"/>
    <n v="8500"/>
    <n v="0"/>
    <m/>
    <m/>
    <m/>
    <m/>
    <m/>
    <n v="8500"/>
    <n v="8500"/>
    <n v="8500"/>
    <m/>
    <x v="0"/>
    <m/>
    <m/>
    <m/>
    <m/>
    <m/>
  </r>
  <r>
    <n v="1953"/>
    <x v="30"/>
    <s v="264-4987973"/>
    <s v="RAWSON"/>
    <n v="10044"/>
    <n v="1"/>
    <n v="8000"/>
    <n v="0"/>
    <m/>
    <m/>
    <m/>
    <m/>
    <m/>
    <n v="8000"/>
    <n v="8000"/>
    <n v="8000"/>
    <m/>
    <x v="0"/>
    <m/>
    <m/>
    <m/>
    <m/>
    <m/>
  </r>
  <r>
    <n v="1954"/>
    <x v="31"/>
    <s v="264-4580614"/>
    <s v="ZONDA"/>
    <n v="10045"/>
    <n v="1"/>
    <n v="10000"/>
    <n v="0"/>
    <m/>
    <m/>
    <m/>
    <m/>
    <m/>
    <n v="10000"/>
    <n v="10000"/>
    <n v="10000"/>
    <m/>
    <x v="0"/>
    <m/>
    <m/>
    <m/>
    <m/>
    <m/>
  </r>
  <r>
    <n v="1955"/>
    <x v="32"/>
    <s v="264-5714337"/>
    <s v="RAWSON"/>
    <n v="10056"/>
    <n v="1"/>
    <n v="12000"/>
    <n v="0"/>
    <m/>
    <m/>
    <m/>
    <m/>
    <m/>
    <n v="12000"/>
    <n v="12000"/>
    <n v="12000"/>
    <m/>
    <x v="0"/>
    <m/>
    <m/>
    <m/>
    <m/>
    <m/>
  </r>
  <r>
    <n v="1957"/>
    <x v="33"/>
    <s v="264-5646296"/>
    <s v="SAN JUAN"/>
    <n v="10058"/>
    <n v="1"/>
    <n v="5000"/>
    <n v="0"/>
    <m/>
    <m/>
    <m/>
    <m/>
    <m/>
    <n v="5000"/>
    <n v="5000"/>
    <n v="5000"/>
    <m/>
    <x v="0"/>
    <m/>
    <m/>
    <m/>
    <m/>
    <m/>
  </r>
  <r>
    <n v="1959"/>
    <x v="34"/>
    <s v="264-4104223"/>
    <s v="RAWSON"/>
    <n v="10063"/>
    <n v="1"/>
    <n v="15000"/>
    <n v="0"/>
    <m/>
    <m/>
    <m/>
    <m/>
    <m/>
    <n v="15000"/>
    <n v="15000"/>
    <n v="15000"/>
    <m/>
    <x v="0"/>
    <m/>
    <m/>
    <m/>
    <m/>
    <m/>
  </r>
  <r>
    <n v="1960"/>
    <x v="35"/>
    <s v="264-4606504"/>
    <s v="SAN JUAN"/>
    <n v="10065"/>
    <n v="1"/>
    <n v="10000"/>
    <n v="0"/>
    <m/>
    <m/>
    <m/>
    <m/>
    <m/>
    <n v="10000"/>
    <n v="10000"/>
    <n v="10000"/>
    <m/>
    <x v="0"/>
    <m/>
    <m/>
    <m/>
    <m/>
    <m/>
  </r>
  <r>
    <n v="1961"/>
    <x v="36"/>
    <s v="264-5154583"/>
    <s v="RAWSON"/>
    <n v="10066"/>
    <n v="1"/>
    <n v="9700"/>
    <n v="0"/>
    <m/>
    <m/>
    <m/>
    <m/>
    <m/>
    <n v="9700"/>
    <n v="9700"/>
    <n v="9700"/>
    <m/>
    <x v="0"/>
    <m/>
    <m/>
    <m/>
    <m/>
    <m/>
  </r>
  <r>
    <n v="1963"/>
    <x v="37"/>
    <s v="264-5601445"/>
    <s v="POCITOS"/>
    <n v="10068"/>
    <n v="1"/>
    <n v="5000"/>
    <n v="0"/>
    <m/>
    <m/>
    <m/>
    <m/>
    <m/>
    <n v="5000"/>
    <n v="5000"/>
    <n v="5000"/>
    <m/>
    <x v="0"/>
    <m/>
    <m/>
    <m/>
    <m/>
    <m/>
  </r>
  <r>
    <n v="1964"/>
    <x v="38"/>
    <s v="264-4631030"/>
    <s v="RAWSON"/>
    <n v="10069"/>
    <n v="1"/>
    <n v="10000"/>
    <n v="0"/>
    <m/>
    <m/>
    <m/>
    <m/>
    <m/>
    <n v="10000"/>
    <n v="10000"/>
    <n v="10000"/>
    <m/>
    <x v="0"/>
    <m/>
    <m/>
    <m/>
    <m/>
    <m/>
  </r>
  <r>
    <n v="1965"/>
    <x v="39"/>
    <s v="264-5247155"/>
    <s v="CHIMBAS"/>
    <n v="10070"/>
    <n v="1"/>
    <n v="7000"/>
    <n v="0"/>
    <m/>
    <m/>
    <m/>
    <m/>
    <m/>
    <n v="7000"/>
    <n v="7000"/>
    <n v="7000"/>
    <m/>
    <x v="0"/>
    <m/>
    <m/>
    <m/>
    <m/>
    <m/>
  </r>
  <r>
    <n v="1966"/>
    <x v="40"/>
    <s v="264-4119435"/>
    <s v="CHIMBAS"/>
    <n v="10071"/>
    <n v="1"/>
    <n v="8000"/>
    <n v="0"/>
    <m/>
    <m/>
    <m/>
    <m/>
    <m/>
    <n v="8000"/>
    <n v="8000"/>
    <n v="8000"/>
    <m/>
    <x v="0"/>
    <m/>
    <m/>
    <m/>
    <m/>
    <m/>
  </r>
  <r>
    <n v="1967"/>
    <x v="41"/>
    <s v="264-6625733"/>
    <s v="RAWSON"/>
    <n v="10072"/>
    <n v="1"/>
    <n v="12000"/>
    <n v="0"/>
    <m/>
    <m/>
    <m/>
    <m/>
    <m/>
    <n v="12000"/>
    <n v="12000"/>
    <n v="12000"/>
    <m/>
    <x v="0"/>
    <m/>
    <m/>
    <m/>
    <m/>
    <m/>
  </r>
  <r>
    <n v="1968"/>
    <x v="42"/>
    <s v="264-4565487"/>
    <s v="SANTA LUCIA"/>
    <n v="10073"/>
    <n v="1"/>
    <n v="5000"/>
    <n v="0"/>
    <m/>
    <m/>
    <m/>
    <m/>
    <m/>
    <n v="5000"/>
    <n v="5000"/>
    <n v="5000"/>
    <m/>
    <x v="0"/>
    <m/>
    <m/>
    <m/>
    <m/>
    <m/>
  </r>
  <r>
    <n v="1969"/>
    <x v="43"/>
    <s v="264-5748006"/>
    <s v="POCITOS"/>
    <n v="10074"/>
    <n v="1"/>
    <n v="5000"/>
    <n v="0"/>
    <m/>
    <m/>
    <m/>
    <m/>
    <m/>
    <n v="5000"/>
    <n v="5000"/>
    <n v="5000"/>
    <m/>
    <x v="0"/>
    <m/>
    <m/>
    <m/>
    <m/>
    <m/>
  </r>
  <r>
    <n v="1970"/>
    <x v="44"/>
    <s v="264-444234"/>
    <s v="SANTA LUCIA"/>
    <n v="10075"/>
    <n v="1"/>
    <n v="10000"/>
    <n v="0"/>
    <m/>
    <m/>
    <m/>
    <m/>
    <m/>
    <n v="10000"/>
    <n v="10000"/>
    <n v="10000"/>
    <m/>
    <x v="0"/>
    <m/>
    <m/>
    <m/>
    <m/>
    <m/>
  </r>
  <r>
    <n v="1972"/>
    <x v="45"/>
    <s v="264-5517590"/>
    <s v="SAN JUAN"/>
    <n v="10077"/>
    <n v="1"/>
    <n v="12000"/>
    <n v="0"/>
    <m/>
    <m/>
    <m/>
    <m/>
    <m/>
    <n v="12000"/>
    <n v="12000"/>
    <n v="12000"/>
    <m/>
    <x v="0"/>
    <m/>
    <m/>
    <m/>
    <m/>
    <m/>
  </r>
  <r>
    <n v="1974"/>
    <x v="46"/>
    <s v="264-5721504"/>
    <s v="POCITOS"/>
    <n v="10079"/>
    <n v="1"/>
    <n v="6000"/>
    <n v="0"/>
    <m/>
    <m/>
    <m/>
    <m/>
    <m/>
    <n v="6000"/>
    <n v="6000"/>
    <n v="6000"/>
    <m/>
    <x v="0"/>
    <m/>
    <m/>
    <m/>
    <m/>
    <m/>
  </r>
  <r>
    <n v="1977"/>
    <x v="47"/>
    <s v="264-4589393"/>
    <s v="RAWSON"/>
    <n v="10082"/>
    <n v="1"/>
    <n v="15000"/>
    <n v="0"/>
    <m/>
    <m/>
    <m/>
    <m/>
    <m/>
    <n v="15000"/>
    <n v="15000"/>
    <n v="15000"/>
    <m/>
    <x v="0"/>
    <m/>
    <m/>
    <m/>
    <m/>
    <m/>
  </r>
  <r>
    <n v="1978"/>
    <x v="48"/>
    <s v="264-5187475"/>
    <s v="SAN JUAN"/>
    <n v="10083"/>
    <n v="1"/>
    <n v="8500"/>
    <n v="0"/>
    <m/>
    <m/>
    <m/>
    <m/>
    <m/>
    <n v="8500"/>
    <n v="8500"/>
    <n v="8500"/>
    <m/>
    <x v="0"/>
    <m/>
    <m/>
    <m/>
    <m/>
    <m/>
  </r>
  <r>
    <n v="1979"/>
    <x v="49"/>
    <s v="264-6609328"/>
    <s v="SANTA LUCIA"/>
    <n v="10088"/>
    <n v="1"/>
    <n v="10000"/>
    <n v="0"/>
    <m/>
    <m/>
    <m/>
    <m/>
    <m/>
    <n v="10000"/>
    <n v="10000"/>
    <n v="10000"/>
    <m/>
    <x v="0"/>
    <m/>
    <m/>
    <m/>
    <m/>
    <m/>
  </r>
  <r>
    <n v="1980"/>
    <x v="50"/>
    <s v="264-5134199"/>
    <s v="SAN JUAN"/>
    <n v="10089"/>
    <n v="1"/>
    <n v="12000"/>
    <n v="0"/>
    <m/>
    <m/>
    <m/>
    <m/>
    <m/>
    <n v="12000"/>
    <n v="12000"/>
    <n v="12000"/>
    <m/>
    <x v="0"/>
    <m/>
    <m/>
    <m/>
    <m/>
    <m/>
  </r>
  <r>
    <n v="1983"/>
    <x v="51"/>
    <s v="264-5431502"/>
    <s v="RAWSON"/>
    <n v="10092"/>
    <n v="1"/>
    <n v="5000"/>
    <n v="0"/>
    <m/>
    <m/>
    <m/>
    <m/>
    <m/>
    <n v="5000"/>
    <n v="5000"/>
    <n v="5000"/>
    <m/>
    <x v="0"/>
    <m/>
    <m/>
    <m/>
    <m/>
    <m/>
  </r>
  <r>
    <n v="1985"/>
    <x v="52"/>
    <s v="264-4564515"/>
    <s v="SAN JUAN"/>
    <n v="10176"/>
    <n v="1"/>
    <n v="7000"/>
    <n v="0"/>
    <m/>
    <m/>
    <m/>
    <m/>
    <m/>
    <n v="7000"/>
    <n v="7000"/>
    <n v="7000"/>
    <m/>
    <x v="0"/>
    <m/>
    <m/>
    <m/>
    <m/>
    <m/>
  </r>
  <r>
    <n v="1986"/>
    <x v="53"/>
    <s v="264-5859961"/>
    <s v="SAN JUAN"/>
    <n v="10179"/>
    <n v="1"/>
    <n v="10000"/>
    <n v="0"/>
    <m/>
    <m/>
    <m/>
    <m/>
    <m/>
    <n v="10000"/>
    <n v="10000"/>
    <n v="10000"/>
    <m/>
    <x v="0"/>
    <m/>
    <m/>
    <m/>
    <m/>
    <m/>
  </r>
  <r>
    <n v="1987"/>
    <x v="54"/>
    <s v="264-5780335"/>
    <s v="MARQUESADO"/>
    <n v="10180"/>
    <n v="1"/>
    <n v="10000"/>
    <n v="0"/>
    <m/>
    <m/>
    <m/>
    <m/>
    <m/>
    <n v="10000"/>
    <n v="10000"/>
    <n v="10000"/>
    <m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A3:B5" firstHeaderRow="1" firstDataRow="1" firstDataCol="1" rowPageCount="1" colPageCount="1"/>
  <pivotFields count="23">
    <pivotField showAll="0"/>
    <pivotField axis="axisPage" showAll="0">
      <items count="361">
        <item m="1" x="155"/>
        <item m="1" x="246"/>
        <item m="1" x="120"/>
        <item m="1" x="282"/>
        <item m="1" x="244"/>
        <item m="1" x="339"/>
        <item m="1" x="316"/>
        <item m="1" x="113"/>
        <item m="1" x="195"/>
        <item m="1" x="117"/>
        <item m="1" x="108"/>
        <item m="1" x="307"/>
        <item m="1" x="59"/>
        <item m="1" x="182"/>
        <item m="1" x="126"/>
        <item m="1" x="202"/>
        <item m="1" x="349"/>
        <item m="1" x="204"/>
        <item m="1" x="289"/>
        <item m="1" x="236"/>
        <item m="1" x="200"/>
        <item m="1" x="130"/>
        <item m="1" x="321"/>
        <item m="1" x="311"/>
        <item m="1" x="320"/>
        <item m="1" x="55"/>
        <item m="1" x="233"/>
        <item m="1" x="100"/>
        <item m="1" x="358"/>
        <item m="1" x="104"/>
        <item m="1" x="348"/>
        <item m="1" x="229"/>
        <item m="1" x="270"/>
        <item m="1" x="284"/>
        <item m="1" x="294"/>
        <item m="1" x="243"/>
        <item m="1" x="286"/>
        <item m="1" x="197"/>
        <item m="1" x="357"/>
        <item m="1" x="355"/>
        <item m="1" x="201"/>
        <item m="1" x="72"/>
        <item m="1" x="145"/>
        <item m="1" x="337"/>
        <item m="1" x="95"/>
        <item m="1" x="194"/>
        <item m="1" x="164"/>
        <item m="1" x="249"/>
        <item m="1" x="91"/>
        <item m="1" x="149"/>
        <item m="1" x="161"/>
        <item m="1" x="114"/>
        <item m="1" x="116"/>
        <item m="1" x="212"/>
        <item m="1" x="80"/>
        <item m="1" x="279"/>
        <item m="1" x="196"/>
        <item m="1" x="352"/>
        <item m="1" x="90"/>
        <item m="1" x="269"/>
        <item m="1" x="209"/>
        <item m="1" x="186"/>
        <item m="1" x="211"/>
        <item m="1" x="119"/>
        <item m="1" x="189"/>
        <item m="1" x="131"/>
        <item m="1" x="57"/>
        <item m="1" x="143"/>
        <item m="1" x="159"/>
        <item m="1" x="62"/>
        <item m="1" x="162"/>
        <item m="1" x="73"/>
        <item m="1" x="115"/>
        <item m="1" x="323"/>
        <item m="1" x="225"/>
        <item m="1" x="240"/>
        <item m="1" x="70"/>
        <item m="1" x="347"/>
        <item m="1" x="257"/>
        <item m="1" x="147"/>
        <item m="1" x="213"/>
        <item m="1" x="341"/>
        <item m="1" x="163"/>
        <item m="1" x="176"/>
        <item m="1" x="92"/>
        <item m="1" x="178"/>
        <item m="1" x="217"/>
        <item m="1" x="278"/>
        <item m="1" x="267"/>
        <item m="1" x="232"/>
        <item m="1" x="310"/>
        <item m="1" x="207"/>
        <item m="1" x="314"/>
        <item m="1" x="107"/>
        <item m="1" x="303"/>
        <item m="1" x="125"/>
        <item m="1" x="121"/>
        <item m="1" x="276"/>
        <item m="1" x="253"/>
        <item m="1" x="331"/>
        <item m="1" x="111"/>
        <item m="1" x="340"/>
        <item m="1" x="208"/>
        <item m="1" x="285"/>
        <item m="1" x="226"/>
        <item m="1" x="133"/>
        <item m="1" x="81"/>
        <item m="1" x="109"/>
        <item m="1" x="156"/>
        <item m="1" x="177"/>
        <item m="1" x="151"/>
        <item m="1" x="99"/>
        <item m="1" x="206"/>
        <item m="1" x="122"/>
        <item m="1" x="309"/>
        <item m="1" x="94"/>
        <item m="1" x="292"/>
        <item m="1" x="280"/>
        <item m="1" x="96"/>
        <item m="1" x="223"/>
        <item m="1" x="214"/>
        <item m="1" x="66"/>
        <item m="1" x="138"/>
        <item m="1" x="85"/>
        <item m="1" x="242"/>
        <item m="1" x="185"/>
        <item m="1" x="89"/>
        <item m="1" x="61"/>
        <item m="1" x="190"/>
        <item m="1" x="291"/>
        <item m="1" x="332"/>
        <item m="1" x="172"/>
        <item m="1" x="334"/>
        <item m="1" x="343"/>
        <item m="1" x="277"/>
        <item m="1" x="260"/>
        <item m="1" x="76"/>
        <item m="1" x="154"/>
        <item m="1" x="315"/>
        <item m="1" x="187"/>
        <item m="1" x="268"/>
        <item m="1" x="68"/>
        <item m="1" x="350"/>
        <item m="1" x="353"/>
        <item m="1" x="168"/>
        <item m="1" x="262"/>
        <item m="1" x="336"/>
        <item m="1" x="174"/>
        <item m="1" x="136"/>
        <item m="1" x="128"/>
        <item m="1" x="67"/>
        <item m="1" x="110"/>
        <item m="1" x="132"/>
        <item m="1" x="319"/>
        <item m="1" x="335"/>
        <item m="1" x="142"/>
        <item m="1" x="272"/>
        <item m="1" x="88"/>
        <item m="1" x="112"/>
        <item m="1" x="158"/>
        <item m="1" x="359"/>
        <item m="1" x="210"/>
        <item m="1" x="141"/>
        <item m="1" x="265"/>
        <item m="1" x="293"/>
        <item m="1" x="245"/>
        <item m="1" x="139"/>
        <item m="1" x="102"/>
        <item m="1" x="250"/>
        <item m="1" x="297"/>
        <item m="1" x="302"/>
        <item m="1" x="238"/>
        <item m="1" x="216"/>
        <item m="1" x="150"/>
        <item m="1" x="274"/>
        <item m="1" x="296"/>
        <item m="1" x="342"/>
        <item m="1" x="205"/>
        <item m="1" x="317"/>
        <item m="1" x="231"/>
        <item m="1" x="124"/>
        <item m="1" x="188"/>
        <item m="1" x="199"/>
        <item m="1" x="237"/>
        <item m="1" x="330"/>
        <item m="1" x="180"/>
        <item m="1" x="300"/>
        <item m="1" x="69"/>
        <item m="1" x="129"/>
        <item m="1" x="78"/>
        <item m="1" x="228"/>
        <item m="1" x="192"/>
        <item m="1" x="230"/>
        <item m="1" x="322"/>
        <item m="1" x="183"/>
        <item m="1" x="160"/>
        <item m="1" x="273"/>
        <item m="1" x="247"/>
        <item m="1" x="75"/>
        <item m="1" x="306"/>
        <item m="1" x="299"/>
        <item m="1" x="64"/>
        <item m="1" x="275"/>
        <item m="1" x="324"/>
        <item m="1" x="215"/>
        <item m="1" x="134"/>
        <item m="1" x="264"/>
        <item m="1" x="356"/>
        <item m="1" x="239"/>
        <item m="1" x="256"/>
        <item m="1" x="144"/>
        <item m="1" x="97"/>
        <item m="1" x="338"/>
        <item m="1" x="191"/>
        <item m="1" x="157"/>
        <item m="1" x="105"/>
        <item m="1" x="333"/>
        <item m="1" x="169"/>
        <item m="1" x="98"/>
        <item m="1" x="305"/>
        <item m="1" x="290"/>
        <item m="1" x="203"/>
        <item m="1" x="170"/>
        <item m="1" x="83"/>
        <item m="1" x="227"/>
        <item m="1" x="175"/>
        <item m="1" x="60"/>
        <item m="1" x="165"/>
        <item m="1" x="344"/>
        <item m="1" x="312"/>
        <item m="1" x="288"/>
        <item m="1" x="140"/>
        <item m="1" x="326"/>
        <item m="1" x="218"/>
        <item m="1" x="224"/>
        <item m="1" x="318"/>
        <item m="1" x="103"/>
        <item m="1" x="181"/>
        <item m="1" x="106"/>
        <item m="1" x="221"/>
        <item m="1" x="295"/>
        <item m="1" x="328"/>
        <item m="1" x="354"/>
        <item m="1" x="266"/>
        <item m="1" x="71"/>
        <item m="1" x="241"/>
        <item m="1" x="86"/>
        <item m="1" x="235"/>
        <item m="1" x="259"/>
        <item m="1" x="118"/>
        <item m="1" x="258"/>
        <item m="1" x="58"/>
        <item m="1" x="179"/>
        <item m="1" x="219"/>
        <item m="1" x="271"/>
        <item m="1" x="65"/>
        <item m="1" x="220"/>
        <item m="1" x="222"/>
        <item m="1" x="146"/>
        <item m="1" x="251"/>
        <item m="1" x="137"/>
        <item m="1" x="304"/>
        <item m="1" x="263"/>
        <item m="1" x="234"/>
        <item m="1" x="153"/>
        <item m="1" x="84"/>
        <item m="1" x="313"/>
        <item m="1" x="127"/>
        <item m="1" x="148"/>
        <item m="1" x="152"/>
        <item m="1" x="166"/>
        <item m="1" x="261"/>
        <item m="1" x="171"/>
        <item m="1" x="74"/>
        <item m="1" x="281"/>
        <item m="1" x="184"/>
        <item m="1" x="77"/>
        <item m="1" x="193"/>
        <item m="1" x="79"/>
        <item m="1" x="283"/>
        <item m="1" x="56"/>
        <item m="1" x="346"/>
        <item m="1" x="287"/>
        <item m="1" x="82"/>
        <item m="1" x="327"/>
        <item m="1" x="93"/>
        <item m="1" x="123"/>
        <item m="1" x="329"/>
        <item m="1" x="254"/>
        <item m="1" x="198"/>
        <item m="1" x="87"/>
        <item m="1" x="135"/>
        <item m="1" x="298"/>
        <item m="1" x="345"/>
        <item m="1" x="173"/>
        <item m="1" x="63"/>
        <item m="1" x="101"/>
        <item m="1" x="255"/>
        <item m="1" x="248"/>
        <item m="1" x="301"/>
        <item m="1" x="308"/>
        <item m="1" x="167"/>
        <item m="1" x="252"/>
        <item m="1" x="351"/>
        <item m="1" x="3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showAll="0"/>
    <pivotField showAll="0"/>
    <pivotField showAll="0"/>
    <pivotField showAll="0"/>
    <pivotField showAll="0"/>
    <pivotField numFmtId="170"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numFmtId="3" showAll="0"/>
    <pivotField showAll="0"/>
    <pivotField axis="axisRow" showAll="0">
      <items count="19">
        <item m="1" x="9"/>
        <item m="1" x="17"/>
        <item m="1" x="6"/>
        <item m="1" x="14"/>
        <item m="1" x="3"/>
        <item m="1" x="1"/>
        <item m="1" x="8"/>
        <item m="1" x="15"/>
        <item m="1" x="5"/>
        <item m="1" x="13"/>
        <item m="1" x="10"/>
        <item m="1" x="12"/>
        <item m="1" x="11"/>
        <item m="1" x="2"/>
        <item m="1" x="16"/>
        <item x="0"/>
        <item m="1" x="4"/>
        <item m="1" x="7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2">
    <i>
      <x v="15"/>
    </i>
    <i t="grand">
      <x/>
    </i>
  </rowItems>
  <colItems count="1">
    <i/>
  </colItems>
  <pageFields count="1">
    <pageField fld="1" hier="0"/>
  </pageFields>
  <dataFields count="1">
    <dataField name="Suma de CON MORA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 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A3:C60" firstHeaderRow="1" firstDataRow="2" firstDataCol="1"/>
  <pivotFields count="23">
    <pivotField showAll="0"/>
    <pivotField axis="axisRow" showAll="0">
      <items count="361">
        <item m="1" x="155"/>
        <item m="1" x="246"/>
        <item m="1" x="120"/>
        <item m="1" x="282"/>
        <item m="1" x="244"/>
        <item m="1" x="339"/>
        <item m="1" x="316"/>
        <item m="1" x="113"/>
        <item m="1" x="195"/>
        <item m="1" x="117"/>
        <item m="1" x="108"/>
        <item m="1" x="307"/>
        <item m="1" x="59"/>
        <item m="1" x="182"/>
        <item m="1" x="126"/>
        <item m="1" x="202"/>
        <item m="1" x="349"/>
        <item m="1" x="204"/>
        <item m="1" x="289"/>
        <item m="1" x="236"/>
        <item m="1" x="200"/>
        <item m="1" x="130"/>
        <item m="1" x="321"/>
        <item m="1" x="311"/>
        <item m="1" x="320"/>
        <item m="1" x="55"/>
        <item m="1" x="233"/>
        <item m="1" x="100"/>
        <item m="1" x="358"/>
        <item m="1" x="104"/>
        <item m="1" x="348"/>
        <item m="1" x="229"/>
        <item m="1" x="270"/>
        <item m="1" x="284"/>
        <item m="1" x="294"/>
        <item m="1" x="243"/>
        <item m="1" x="286"/>
        <item m="1" x="197"/>
        <item m="1" x="357"/>
        <item m="1" x="355"/>
        <item m="1" x="201"/>
        <item m="1" x="72"/>
        <item m="1" x="145"/>
        <item m="1" x="337"/>
        <item m="1" x="95"/>
        <item m="1" x="194"/>
        <item m="1" x="164"/>
        <item m="1" x="249"/>
        <item m="1" x="91"/>
        <item m="1" x="149"/>
        <item m="1" x="161"/>
        <item m="1" x="114"/>
        <item m="1" x="116"/>
        <item m="1" x="212"/>
        <item m="1" x="80"/>
        <item m="1" x="279"/>
        <item m="1" x="196"/>
        <item m="1" x="352"/>
        <item m="1" x="90"/>
        <item m="1" x="269"/>
        <item m="1" x="209"/>
        <item m="1" x="186"/>
        <item m="1" x="211"/>
        <item m="1" x="119"/>
        <item m="1" x="189"/>
        <item m="1" x="131"/>
        <item m="1" x="57"/>
        <item m="1" x="143"/>
        <item m="1" x="159"/>
        <item m="1" x="62"/>
        <item m="1" x="162"/>
        <item m="1" x="73"/>
        <item m="1" x="115"/>
        <item m="1" x="323"/>
        <item m="1" x="225"/>
        <item m="1" x="240"/>
        <item m="1" x="70"/>
        <item m="1" x="347"/>
        <item m="1" x="257"/>
        <item m="1" x="147"/>
        <item m="1" x="213"/>
        <item m="1" x="341"/>
        <item m="1" x="163"/>
        <item m="1" x="176"/>
        <item m="1" x="92"/>
        <item m="1" x="178"/>
        <item m="1" x="217"/>
        <item m="1" x="278"/>
        <item m="1" x="267"/>
        <item m="1" x="232"/>
        <item m="1" x="310"/>
        <item m="1" x="207"/>
        <item m="1" x="314"/>
        <item m="1" x="107"/>
        <item m="1" x="303"/>
        <item m="1" x="125"/>
        <item m="1" x="121"/>
        <item m="1" x="276"/>
        <item m="1" x="253"/>
        <item m="1" x="331"/>
        <item m="1" x="111"/>
        <item m="1" x="340"/>
        <item m="1" x="208"/>
        <item m="1" x="285"/>
        <item m="1" x="226"/>
        <item m="1" x="133"/>
        <item m="1" x="81"/>
        <item m="1" x="109"/>
        <item m="1" x="156"/>
        <item m="1" x="177"/>
        <item m="1" x="151"/>
        <item m="1" x="99"/>
        <item m="1" x="206"/>
        <item m="1" x="122"/>
        <item m="1" x="309"/>
        <item m="1" x="94"/>
        <item m="1" x="292"/>
        <item m="1" x="280"/>
        <item m="1" x="96"/>
        <item m="1" x="223"/>
        <item m="1" x="214"/>
        <item m="1" x="66"/>
        <item m="1" x="138"/>
        <item m="1" x="85"/>
        <item m="1" x="242"/>
        <item m="1" x="185"/>
        <item m="1" x="89"/>
        <item m="1" x="61"/>
        <item m="1" x="190"/>
        <item m="1" x="291"/>
        <item m="1" x="332"/>
        <item m="1" x="172"/>
        <item m="1" x="334"/>
        <item m="1" x="343"/>
        <item m="1" x="277"/>
        <item m="1" x="260"/>
        <item m="1" x="76"/>
        <item m="1" x="154"/>
        <item m="1" x="315"/>
        <item m="1" x="187"/>
        <item m="1" x="268"/>
        <item m="1" x="68"/>
        <item m="1" x="350"/>
        <item m="1" x="353"/>
        <item m="1" x="168"/>
        <item m="1" x="262"/>
        <item m="1" x="336"/>
        <item m="1" x="174"/>
        <item m="1" x="136"/>
        <item m="1" x="128"/>
        <item m="1" x="67"/>
        <item m="1" x="110"/>
        <item m="1" x="132"/>
        <item m="1" x="319"/>
        <item m="1" x="335"/>
        <item m="1" x="142"/>
        <item m="1" x="272"/>
        <item m="1" x="88"/>
        <item m="1" x="112"/>
        <item m="1" x="158"/>
        <item m="1" x="359"/>
        <item m="1" x="210"/>
        <item m="1" x="141"/>
        <item m="1" x="265"/>
        <item m="1" x="293"/>
        <item m="1" x="245"/>
        <item m="1" x="139"/>
        <item m="1" x="102"/>
        <item m="1" x="250"/>
        <item m="1" x="297"/>
        <item m="1" x="302"/>
        <item m="1" x="238"/>
        <item m="1" x="216"/>
        <item m="1" x="150"/>
        <item m="1" x="274"/>
        <item m="1" x="296"/>
        <item m="1" x="342"/>
        <item m="1" x="205"/>
        <item m="1" x="317"/>
        <item m="1" x="231"/>
        <item m="1" x="124"/>
        <item m="1" x="188"/>
        <item m="1" x="199"/>
        <item m="1" x="237"/>
        <item m="1" x="330"/>
        <item m="1" x="180"/>
        <item m="1" x="300"/>
        <item m="1" x="69"/>
        <item m="1" x="129"/>
        <item m="1" x="78"/>
        <item m="1" x="228"/>
        <item m="1" x="192"/>
        <item m="1" x="230"/>
        <item m="1" x="322"/>
        <item m="1" x="183"/>
        <item m="1" x="160"/>
        <item m="1" x="273"/>
        <item m="1" x="247"/>
        <item m="1" x="75"/>
        <item m="1" x="306"/>
        <item m="1" x="299"/>
        <item m="1" x="64"/>
        <item m="1" x="275"/>
        <item m="1" x="324"/>
        <item m="1" x="215"/>
        <item m="1" x="134"/>
        <item m="1" x="264"/>
        <item m="1" x="356"/>
        <item m="1" x="239"/>
        <item m="1" x="256"/>
        <item m="1" x="144"/>
        <item m="1" x="97"/>
        <item m="1" x="338"/>
        <item m="1" x="191"/>
        <item m="1" x="157"/>
        <item m="1" x="105"/>
        <item m="1" x="333"/>
        <item m="1" x="169"/>
        <item m="1" x="98"/>
        <item m="1" x="305"/>
        <item m="1" x="290"/>
        <item m="1" x="203"/>
        <item m="1" x="170"/>
        <item m="1" x="83"/>
        <item m="1" x="227"/>
        <item m="1" x="175"/>
        <item m="1" x="60"/>
        <item m="1" x="165"/>
        <item m="1" x="344"/>
        <item m="1" x="312"/>
        <item m="1" x="288"/>
        <item m="1" x="140"/>
        <item m="1" x="326"/>
        <item m="1" x="218"/>
        <item m="1" x="224"/>
        <item m="1" x="318"/>
        <item m="1" x="103"/>
        <item m="1" x="181"/>
        <item m="1" x="106"/>
        <item m="1" x="221"/>
        <item m="1" x="295"/>
        <item m="1" x="328"/>
        <item m="1" x="354"/>
        <item m="1" x="266"/>
        <item m="1" x="71"/>
        <item m="1" x="241"/>
        <item m="1" x="86"/>
        <item m="1" x="235"/>
        <item m="1" x="259"/>
        <item m="1" x="118"/>
        <item m="1" x="258"/>
        <item m="1" x="58"/>
        <item m="1" x="179"/>
        <item m="1" x="219"/>
        <item m="1" x="271"/>
        <item m="1" x="65"/>
        <item m="1" x="220"/>
        <item m="1" x="222"/>
        <item m="1" x="146"/>
        <item m="1" x="251"/>
        <item m="1" x="137"/>
        <item m="1" x="304"/>
        <item m="1" x="263"/>
        <item m="1" x="234"/>
        <item m="1" x="153"/>
        <item m="1" x="84"/>
        <item m="1" x="313"/>
        <item m="1" x="127"/>
        <item m="1" x="148"/>
        <item m="1" x="152"/>
        <item m="1" x="166"/>
        <item m="1" x="261"/>
        <item m="1" x="171"/>
        <item m="1" x="74"/>
        <item m="1" x="281"/>
        <item m="1" x="184"/>
        <item m="1" x="77"/>
        <item m="1" x="193"/>
        <item m="1" x="79"/>
        <item m="1" x="283"/>
        <item m="1" x="56"/>
        <item m="1" x="346"/>
        <item m="1" x="287"/>
        <item m="1" x="82"/>
        <item m="1" x="327"/>
        <item m="1" x="93"/>
        <item m="1" x="123"/>
        <item m="1" x="329"/>
        <item m="1" x="254"/>
        <item m="1" x="198"/>
        <item m="1" x="87"/>
        <item m="1" x="135"/>
        <item m="1" x="298"/>
        <item m="1" x="345"/>
        <item m="1" x="173"/>
        <item m="1" x="63"/>
        <item m="1" x="101"/>
        <item m="1" x="255"/>
        <item m="1" x="248"/>
        <item m="1" x="301"/>
        <item m="1" x="308"/>
        <item m="1" x="167"/>
        <item m="1" x="252"/>
        <item m="1" x="351"/>
        <item m="1" x="3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showAll="0"/>
    <pivotField showAll="0"/>
    <pivotField showAll="0"/>
    <pivotField showAll="0"/>
    <pivotField showAll="0"/>
    <pivotField numFmtId="170"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numFmtId="3" showAll="0"/>
    <pivotField showAll="0"/>
    <pivotField axis="axisCol" showAll="0">
      <items count="19">
        <item m="1" x="9"/>
        <item m="1" x="17"/>
        <item m="1" x="6"/>
        <item m="1" x="14"/>
        <item m="1" x="3"/>
        <item m="1" x="1"/>
        <item m="1" x="8"/>
        <item m="1" x="15"/>
        <item m="1" x="5"/>
        <item m="1" x="13"/>
        <item m="1" x="10"/>
        <item m="1" x="12"/>
        <item m="1" x="11"/>
        <item m="1" x="2"/>
        <item m="1" x="16"/>
        <item x="0"/>
        <item m="1" x="4"/>
        <item m="1" x="7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6"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 t="grand">
      <x/>
    </i>
  </rowItems>
  <colFields count="1">
    <field x="17"/>
  </colFields>
  <colItems count="2">
    <i>
      <x v="15"/>
    </i>
    <i t="grand">
      <x/>
    </i>
  </colItems>
  <dataFields count="1">
    <dataField name="Suma de CON MORA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7030A0"/>
  </sheetPr>
  <dimension ref="A1:IV490"/>
  <sheetViews>
    <sheetView tabSelected="1" topLeftCell="A436" zoomScale="90" zoomScaleNormal="90" workbookViewId="0">
      <selection activeCell="M465" sqref="M465"/>
    </sheetView>
  </sheetViews>
  <sheetFormatPr baseColWidth="10" defaultRowHeight="12.75" x14ac:dyDescent="0.2"/>
  <cols>
    <col min="1" max="1" width="10" customWidth="1"/>
    <col min="2" max="2" width="45" bestFit="1" customWidth="1"/>
    <col min="3" max="3" width="19.5703125" style="15" customWidth="1"/>
    <col min="4" max="4" width="18.42578125" customWidth="1"/>
    <col min="6" max="6" width="12.7109375" customWidth="1"/>
    <col min="7" max="7" width="10.7109375" customWidth="1"/>
    <col min="8" max="8" width="14.28515625" style="9" customWidth="1"/>
    <col min="15" max="15" width="13.5703125" customWidth="1"/>
    <col min="16" max="16" width="19.42578125" customWidth="1"/>
    <col min="17" max="18" width="13.140625" customWidth="1"/>
    <col min="19" max="19" width="15.28515625" customWidth="1"/>
    <col min="20" max="20" width="10.28515625" style="8" bestFit="1" customWidth="1"/>
    <col min="21" max="21" width="8.85546875" style="9" customWidth="1"/>
    <col min="22" max="23" width="37.5703125" customWidth="1"/>
    <col min="24" max="25" width="9.28515625" customWidth="1"/>
    <col min="26" max="26" width="12.28515625" bestFit="1" customWidth="1"/>
    <col min="27" max="27" width="8.85546875" customWidth="1"/>
    <col min="28" max="29" width="10.5703125" customWidth="1"/>
    <col min="30" max="30" width="11.7109375" customWidth="1"/>
    <col min="31" max="31" width="9.5703125" customWidth="1"/>
    <col min="32" max="32" width="6.28515625" customWidth="1"/>
    <col min="33" max="33" width="61" style="57" customWidth="1"/>
    <col min="34" max="34" width="11.42578125" hidden="1" customWidth="1"/>
    <col min="35" max="35" width="10.28515625" hidden="1" customWidth="1"/>
    <col min="36" max="36" width="10.140625" hidden="1" customWidth="1"/>
    <col min="37" max="37" width="10.5703125" hidden="1" customWidth="1"/>
    <col min="38" max="38" width="10" hidden="1" customWidth="1"/>
    <col min="39" max="39" width="9.7109375" hidden="1" customWidth="1"/>
    <col min="40" max="40" width="7.140625" hidden="1" customWidth="1"/>
    <col min="41" max="41" width="10.28515625" hidden="1" customWidth="1"/>
    <col min="42" max="42" width="10" hidden="1" customWidth="1"/>
    <col min="43" max="43" width="9.7109375" hidden="1" customWidth="1"/>
    <col min="44" max="44" width="6.140625" hidden="1" customWidth="1"/>
    <col min="45" max="45" width="10.28515625" hidden="1" customWidth="1"/>
    <col min="46" max="46" width="10" hidden="1" customWidth="1"/>
    <col min="47" max="47" width="12.7109375" hidden="1" customWidth="1"/>
    <col min="48" max="48" width="10" hidden="1" customWidth="1"/>
    <col min="49" max="49" width="14.7109375" hidden="1" customWidth="1"/>
    <col min="50" max="50" width="10" hidden="1" customWidth="1"/>
    <col min="51" max="51" width="9.5703125" hidden="1" customWidth="1"/>
    <col min="52" max="52" width="9.42578125" hidden="1" customWidth="1"/>
    <col min="53" max="53" width="7.42578125" hidden="1" customWidth="1"/>
    <col min="54" max="54" width="14.42578125" hidden="1" customWidth="1"/>
    <col min="55" max="55" width="10" hidden="1" customWidth="1"/>
    <col min="56" max="56" width="9.5703125" hidden="1" customWidth="1"/>
    <col min="57" max="57" width="7.42578125" hidden="1" customWidth="1"/>
    <col min="58" max="58" width="9.42578125" hidden="1" customWidth="1"/>
  </cols>
  <sheetData>
    <row r="1" spans="1:256" ht="24" thickBot="1" x14ac:dyDescent="0.4">
      <c r="A1" s="130">
        <v>7</v>
      </c>
      <c r="B1" s="126" t="str">
        <f>IF(A1&lt;&gt;0,VLOOKUP(A1,COB!A1:B9,2),"COBRADOR INEXISTENTE")</f>
        <v>MEDIO ELECTRONICO</v>
      </c>
      <c r="C1" s="127"/>
      <c r="D1" s="129" t="s">
        <v>1130</v>
      </c>
      <c r="E1" s="125">
        <v>2025</v>
      </c>
      <c r="F1" s="129" t="s">
        <v>26</v>
      </c>
      <c r="H1"/>
      <c r="I1" s="9" t="s">
        <v>69</v>
      </c>
      <c r="S1" s="110"/>
      <c r="V1" s="110"/>
      <c r="W1" s="110"/>
      <c r="AI1" t="s">
        <v>84</v>
      </c>
      <c r="AS1" t="s">
        <v>80</v>
      </c>
      <c r="AU1" t="s">
        <v>82</v>
      </c>
    </row>
    <row r="2" spans="1:256" ht="14.25" thickTop="1" thickBot="1" x14ac:dyDescent="0.25">
      <c r="E2" s="1"/>
      <c r="F2" s="1"/>
      <c r="G2" s="220" t="s">
        <v>21</v>
      </c>
      <c r="H2" s="220"/>
      <c r="I2" s="221" t="s">
        <v>48</v>
      </c>
      <c r="J2" s="221"/>
      <c r="K2" s="221"/>
      <c r="L2" s="221"/>
      <c r="M2" s="221"/>
      <c r="N2" s="58" t="s">
        <v>95</v>
      </c>
      <c r="O2" s="2" t="s">
        <v>8</v>
      </c>
      <c r="P2" s="2" t="s">
        <v>71</v>
      </c>
      <c r="Q2" s="222" t="s">
        <v>107</v>
      </c>
      <c r="R2" s="223"/>
      <c r="S2" s="223"/>
      <c r="V2" s="112"/>
      <c r="W2" s="112"/>
      <c r="Z2" s="58" t="s">
        <v>120</v>
      </c>
      <c r="AA2" s="52"/>
      <c r="AB2" s="53" t="s">
        <v>33</v>
      </c>
      <c r="AC2" s="54" t="s">
        <v>34</v>
      </c>
      <c r="AD2" s="55"/>
      <c r="AE2" s="56" t="s">
        <v>35</v>
      </c>
      <c r="AF2" s="52"/>
      <c r="AH2" s="6" t="s">
        <v>26</v>
      </c>
      <c r="AI2" t="s">
        <v>85</v>
      </c>
      <c r="AS2" t="s">
        <v>81</v>
      </c>
      <c r="AU2" t="s">
        <v>83</v>
      </c>
      <c r="AY2" t="s">
        <v>57</v>
      </c>
      <c r="AZ2" t="s">
        <v>56</v>
      </c>
      <c r="BA2" t="s">
        <v>55</v>
      </c>
      <c r="BD2" t="s">
        <v>57</v>
      </c>
      <c r="BE2" t="s">
        <v>55</v>
      </c>
      <c r="BF2" t="s">
        <v>56</v>
      </c>
    </row>
    <row r="3" spans="1:256" ht="15" customHeight="1" thickTop="1" thickBot="1" x14ac:dyDescent="0.25">
      <c r="A3" s="2" t="s">
        <v>0</v>
      </c>
      <c r="B3" s="2" t="s">
        <v>1</v>
      </c>
      <c r="C3" s="3" t="s">
        <v>2</v>
      </c>
      <c r="D3" s="4" t="s">
        <v>3</v>
      </c>
      <c r="E3" s="5" t="s">
        <v>4</v>
      </c>
      <c r="F3" s="5" t="s">
        <v>5</v>
      </c>
      <c r="G3" s="2" t="s">
        <v>24</v>
      </c>
      <c r="H3" s="115" t="s">
        <v>70</v>
      </c>
      <c r="I3" s="2" t="s">
        <v>7</v>
      </c>
      <c r="J3" s="58" t="s">
        <v>54</v>
      </c>
      <c r="K3" s="58" t="s">
        <v>47</v>
      </c>
      <c r="L3" s="185" t="s">
        <v>130</v>
      </c>
      <c r="M3" s="58" t="s">
        <v>132</v>
      </c>
      <c r="N3" s="58" t="s">
        <v>96</v>
      </c>
      <c r="O3" s="2" t="s">
        <v>97</v>
      </c>
      <c r="P3" s="2" t="s">
        <v>94</v>
      </c>
      <c r="Q3" s="2" t="s">
        <v>7</v>
      </c>
      <c r="R3" s="2" t="s">
        <v>36</v>
      </c>
      <c r="S3" s="111" t="s">
        <v>114</v>
      </c>
      <c r="T3" s="2" t="s">
        <v>9</v>
      </c>
      <c r="U3" s="2" t="s">
        <v>42</v>
      </c>
      <c r="V3" s="111" t="s">
        <v>10</v>
      </c>
      <c r="W3" s="175" t="s">
        <v>113</v>
      </c>
      <c r="X3" s="2" t="s">
        <v>79</v>
      </c>
      <c r="Y3" s="2" t="s">
        <v>133</v>
      </c>
      <c r="Z3" s="58" t="s">
        <v>66</v>
      </c>
      <c r="AA3" s="58" t="s">
        <v>36</v>
      </c>
      <c r="AB3" s="59" t="s">
        <v>37</v>
      </c>
      <c r="AC3" s="59" t="s">
        <v>38</v>
      </c>
      <c r="AD3" s="59" t="s">
        <v>39</v>
      </c>
      <c r="AE3" s="60" t="s">
        <v>40</v>
      </c>
      <c r="AF3" s="58" t="s">
        <v>41</v>
      </c>
      <c r="AG3" s="61" t="s">
        <v>10</v>
      </c>
      <c r="AH3" s="6" t="s">
        <v>14</v>
      </c>
      <c r="AI3" s="7" t="s">
        <v>11</v>
      </c>
      <c r="AJ3" s="8" t="s">
        <v>12</v>
      </c>
      <c r="AK3" s="9" t="s">
        <v>13</v>
      </c>
      <c r="AL3" s="9" t="s">
        <v>14</v>
      </c>
      <c r="AM3" s="9" t="s">
        <v>45</v>
      </c>
      <c r="AN3" s="9" t="s">
        <v>15</v>
      </c>
      <c r="AO3" s="9" t="s">
        <v>16</v>
      </c>
      <c r="AP3" s="9" t="s">
        <v>14</v>
      </c>
      <c r="AQ3" s="9" t="s">
        <v>45</v>
      </c>
      <c r="AR3" s="9" t="s">
        <v>15</v>
      </c>
      <c r="AS3" s="148" t="s">
        <v>17</v>
      </c>
      <c r="AT3" s="148" t="s">
        <v>14</v>
      </c>
      <c r="AU3" s="149" t="s">
        <v>86</v>
      </c>
      <c r="AV3" s="149" t="s">
        <v>87</v>
      </c>
      <c r="AW3" s="9" t="s">
        <v>19</v>
      </c>
      <c r="AX3" s="9" t="s">
        <v>14</v>
      </c>
      <c r="AY3" s="9" t="s">
        <v>15</v>
      </c>
      <c r="AZ3" s="9"/>
      <c r="BA3" s="9" t="s">
        <v>15</v>
      </c>
      <c r="BB3" s="9" t="s">
        <v>20</v>
      </c>
      <c r="BC3" s="9" t="s">
        <v>14</v>
      </c>
      <c r="BD3" s="9" t="s">
        <v>15</v>
      </c>
      <c r="BE3" s="9"/>
      <c r="BF3" s="9" t="s">
        <v>15</v>
      </c>
    </row>
    <row r="4" spans="1:256" s="201" customFormat="1" ht="15" thickTop="1" x14ac:dyDescent="0.2">
      <c r="A4" s="10">
        <v>504</v>
      </c>
      <c r="B4" s="11" t="s">
        <v>472</v>
      </c>
      <c r="C4" s="105" t="s">
        <v>473</v>
      </c>
      <c r="D4" s="11" t="s">
        <v>147</v>
      </c>
      <c r="E4" s="12">
        <v>380</v>
      </c>
      <c r="F4" s="202">
        <v>80</v>
      </c>
      <c r="G4" s="11">
        <v>60000</v>
      </c>
      <c r="H4" s="116">
        <v>-88500</v>
      </c>
      <c r="I4" s="192"/>
      <c r="J4" s="204"/>
      <c r="K4" s="193"/>
      <c r="L4" s="193"/>
      <c r="M4" s="193"/>
      <c r="N4" s="203">
        <f t="shared" ref="N4:N67" si="0">IF(H4&gt;0,G4+H4-I4-J4-K4-L4-M4,G4-I4-J4-K4-L4-M4)</f>
        <v>60000</v>
      </c>
      <c r="O4" s="203">
        <f t="shared" ref="O4:O67" si="1">G4+H4-J4-I4-K4-L4-M4</f>
        <v>-28500</v>
      </c>
      <c r="P4" s="203">
        <f t="shared" ref="P4:P67" si="2">IF(G4+H4&lt;0,0,G4+H4)</f>
        <v>0</v>
      </c>
      <c r="Q4" s="214"/>
      <c r="R4" s="215"/>
      <c r="S4" s="218">
        <v>45647</v>
      </c>
      <c r="T4" s="205"/>
      <c r="U4" s="205"/>
      <c r="V4" s="216"/>
      <c r="W4" s="212"/>
      <c r="X4" s="10">
        <v>7</v>
      </c>
      <c r="Y4" s="10">
        <v>7</v>
      </c>
      <c r="Z4" s="213">
        <f t="shared" ref="Z4:Z67" si="3">IF(N4&lt;0,0,N4)</f>
        <v>60000</v>
      </c>
      <c r="AA4" s="62"/>
      <c r="AB4" s="62"/>
      <c r="AC4" s="62"/>
      <c r="AD4" s="62"/>
      <c r="AE4" s="62"/>
      <c r="AF4" s="63"/>
      <c r="AG4" s="64"/>
      <c r="AH4" s="6">
        <v>1</v>
      </c>
      <c r="AI4">
        <f t="shared" ref="AI4:AI67" si="4">IF(F4&lt;=6,15,25)</f>
        <v>25</v>
      </c>
      <c r="AJ4">
        <f t="shared" ref="AJ4:AJ67" si="5">IF(O4&lt;&gt;0,25,15)</f>
        <v>25</v>
      </c>
      <c r="AK4">
        <f t="shared" ref="AK4:AK67" si="6">IF(AI4-T4=24,1,0)</f>
        <v>0</v>
      </c>
      <c r="AL4">
        <f t="shared" ref="AL4:AL67" si="7">IF(AH4-AK4=AH4,0,AH4)</f>
        <v>0</v>
      </c>
      <c r="AM4">
        <f t="shared" ref="AM4:AM67" si="8">IF(AK4&lt;&gt;0,U4,0)</f>
        <v>0</v>
      </c>
      <c r="AN4">
        <f t="shared" ref="AN4:AN67" si="9">IF(AK4=1,O4,0)</f>
        <v>0</v>
      </c>
      <c r="AO4">
        <f t="shared" ref="AO4:AO67" si="10">IF(AI4-T4=14,1,0)</f>
        <v>0</v>
      </c>
      <c r="AP4">
        <f t="shared" ref="AP4:AP67" si="11">IF(AH4-AO4=AH4,0,AH4)</f>
        <v>0</v>
      </c>
      <c r="AQ4">
        <f t="shared" ref="AQ4:AQ67" si="12">IF(AO4&lt;&gt;0,U4,0)</f>
        <v>0</v>
      </c>
      <c r="AR4">
        <f t="shared" ref="AR4:AR67" si="13">IF(AO4=1,O4,0)</f>
        <v>0</v>
      </c>
      <c r="AS4">
        <f t="shared" ref="AS4:AS67" si="14">IF(SUM(I4:M4)&lt;&gt;0,1,0)</f>
        <v>0</v>
      </c>
      <c r="AT4">
        <f t="shared" ref="AT4:AT67" si="15">AS4</f>
        <v>0</v>
      </c>
      <c r="AU4">
        <f t="shared" ref="AU4:AU67" si="16">IF(O4&gt;0,1,0)</f>
        <v>0</v>
      </c>
      <c r="AV4">
        <f t="shared" ref="AV4:AV67" si="17">IF(AK4+AO4+AU4=1,AU4,0)</f>
        <v>0</v>
      </c>
      <c r="AW4">
        <f t="shared" ref="AW4:AW67" si="18">IF(AI4-AV4=24,1,0)</f>
        <v>0</v>
      </c>
      <c r="AX4">
        <f t="shared" ref="AX4:AX67" si="19">IF(AH4-AW4=AH4,0,AH4)</f>
        <v>0</v>
      </c>
      <c r="AY4">
        <f t="shared" ref="AY4:AY67" si="20">IF(AW4=1,O4,0)</f>
        <v>0</v>
      </c>
      <c r="AZ4">
        <f t="shared" ref="AZ4:AZ67" si="21">IF(AY4-BA4&lt;&gt;0,AY4,0)</f>
        <v>0</v>
      </c>
      <c r="BA4">
        <f t="shared" ref="BA4:BA67" si="22">IF(AY4&lt;0,AY4,0)</f>
        <v>0</v>
      </c>
      <c r="BB4">
        <f t="shared" ref="BB4:BB67" si="23">IF(AI4-AV4=14,1,0)</f>
        <v>0</v>
      </c>
      <c r="BC4">
        <f t="shared" ref="BC4:BC67" si="24">IF(AH4-BB4=AH4,0,AH4)</f>
        <v>0</v>
      </c>
      <c r="BD4">
        <f t="shared" ref="BD4:BD67" si="25">IF(BB4=1,O4,0)</f>
        <v>0</v>
      </c>
      <c r="BE4">
        <f t="shared" ref="BE4:BE67" si="26">IF(BD4&lt;0,BD4,0)</f>
        <v>0</v>
      </c>
      <c r="BF4">
        <f t="shared" ref="BF4:BF67" si="27">IF(BD4-BE4&lt;&gt;0,BD4,0)</f>
        <v>0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 s="201" customFormat="1" ht="14.25" x14ac:dyDescent="0.2">
      <c r="A5" s="10">
        <v>557</v>
      </c>
      <c r="B5" s="11" t="s">
        <v>474</v>
      </c>
      <c r="C5" s="105" t="s">
        <v>475</v>
      </c>
      <c r="D5" s="11" t="s">
        <v>233</v>
      </c>
      <c r="E5" s="12">
        <v>8677</v>
      </c>
      <c r="F5" s="202">
        <v>79</v>
      </c>
      <c r="G5" s="11">
        <v>55000</v>
      </c>
      <c r="H5" s="116">
        <v>-6000</v>
      </c>
      <c r="I5" s="192"/>
      <c r="J5" s="204"/>
      <c r="K5" s="193"/>
      <c r="L5" s="193"/>
      <c r="M5" s="193"/>
      <c r="N5" s="203">
        <f t="shared" si="0"/>
        <v>55000</v>
      </c>
      <c r="O5" s="203">
        <f t="shared" si="1"/>
        <v>49000</v>
      </c>
      <c r="P5" s="203">
        <f t="shared" si="2"/>
        <v>49000</v>
      </c>
      <c r="Q5" s="214"/>
      <c r="R5" s="215"/>
      <c r="S5" s="218">
        <v>45636</v>
      </c>
      <c r="T5" s="205"/>
      <c r="U5" s="205"/>
      <c r="V5" s="216"/>
      <c r="W5" s="212"/>
      <c r="X5" s="10">
        <v>7</v>
      </c>
      <c r="Y5" s="10">
        <v>7</v>
      </c>
      <c r="Z5" s="213">
        <f t="shared" si="3"/>
        <v>55000</v>
      </c>
      <c r="AA5" s="62"/>
      <c r="AB5" s="62"/>
      <c r="AC5" s="62"/>
      <c r="AD5" s="62"/>
      <c r="AE5" s="62"/>
      <c r="AF5" s="63"/>
      <c r="AG5" s="64"/>
      <c r="AH5" s="6">
        <v>1</v>
      </c>
      <c r="AI5">
        <f t="shared" si="4"/>
        <v>25</v>
      </c>
      <c r="AJ5">
        <f t="shared" si="5"/>
        <v>25</v>
      </c>
      <c r="AK5">
        <f t="shared" si="6"/>
        <v>0</v>
      </c>
      <c r="AL5">
        <f t="shared" si="7"/>
        <v>0</v>
      </c>
      <c r="AM5">
        <f t="shared" si="8"/>
        <v>0</v>
      </c>
      <c r="AN5">
        <f t="shared" si="9"/>
        <v>0</v>
      </c>
      <c r="AO5">
        <f t="shared" si="10"/>
        <v>0</v>
      </c>
      <c r="AP5">
        <f t="shared" si="11"/>
        <v>0</v>
      </c>
      <c r="AQ5">
        <f t="shared" si="12"/>
        <v>0</v>
      </c>
      <c r="AR5">
        <f t="shared" si="13"/>
        <v>0</v>
      </c>
      <c r="AS5">
        <f t="shared" si="14"/>
        <v>0</v>
      </c>
      <c r="AT5">
        <f t="shared" si="15"/>
        <v>0</v>
      </c>
      <c r="AU5">
        <f t="shared" si="16"/>
        <v>1</v>
      </c>
      <c r="AV5">
        <f t="shared" si="17"/>
        <v>1</v>
      </c>
      <c r="AW5">
        <f t="shared" si="18"/>
        <v>1</v>
      </c>
      <c r="AX5">
        <f t="shared" si="19"/>
        <v>1</v>
      </c>
      <c r="AY5">
        <f t="shared" si="20"/>
        <v>49000</v>
      </c>
      <c r="AZ5">
        <f t="shared" si="21"/>
        <v>49000</v>
      </c>
      <c r="BA5">
        <f t="shared" si="22"/>
        <v>0</v>
      </c>
      <c r="BB5">
        <f t="shared" si="23"/>
        <v>0</v>
      </c>
      <c r="BC5">
        <f t="shared" si="24"/>
        <v>0</v>
      </c>
      <c r="BD5">
        <f t="shared" si="25"/>
        <v>0</v>
      </c>
      <c r="BE5">
        <f t="shared" si="26"/>
        <v>0</v>
      </c>
      <c r="BF5">
        <f t="shared" si="27"/>
        <v>0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 s="201" customFormat="1" ht="14.25" x14ac:dyDescent="0.2">
      <c r="A6" s="10">
        <v>756</v>
      </c>
      <c r="B6" s="11" t="s">
        <v>234</v>
      </c>
      <c r="C6" s="105" t="s">
        <v>235</v>
      </c>
      <c r="D6" s="11" t="s">
        <v>220</v>
      </c>
      <c r="E6" s="12">
        <v>357</v>
      </c>
      <c r="F6" s="202">
        <v>75</v>
      </c>
      <c r="G6" s="11">
        <v>30000</v>
      </c>
      <c r="H6" s="116">
        <v>0</v>
      </c>
      <c r="I6" s="192"/>
      <c r="J6" s="204"/>
      <c r="K6" s="193"/>
      <c r="L6" s="193"/>
      <c r="M6" s="193"/>
      <c r="N6" s="203">
        <f t="shared" si="0"/>
        <v>30000</v>
      </c>
      <c r="O6" s="203">
        <f t="shared" si="1"/>
        <v>30000</v>
      </c>
      <c r="P6" s="203">
        <f t="shared" si="2"/>
        <v>30000</v>
      </c>
      <c r="Q6" s="214">
        <v>45663</v>
      </c>
      <c r="R6" s="215"/>
      <c r="S6" s="218">
        <v>45631</v>
      </c>
      <c r="T6" s="205"/>
      <c r="U6" s="205"/>
      <c r="V6" s="216" t="s">
        <v>1131</v>
      </c>
      <c r="W6" s="212"/>
      <c r="X6" s="10">
        <v>7</v>
      </c>
      <c r="Y6" s="10">
        <v>7</v>
      </c>
      <c r="Z6" s="213">
        <f t="shared" si="3"/>
        <v>30000</v>
      </c>
      <c r="AA6" s="62"/>
      <c r="AB6" s="62"/>
      <c r="AC6" s="62"/>
      <c r="AD6" s="62"/>
      <c r="AE6" s="62"/>
      <c r="AF6" s="63"/>
      <c r="AG6" s="64"/>
      <c r="AH6" s="6">
        <v>1</v>
      </c>
      <c r="AI6">
        <f t="shared" si="4"/>
        <v>25</v>
      </c>
      <c r="AJ6">
        <f t="shared" si="5"/>
        <v>25</v>
      </c>
      <c r="AK6">
        <f t="shared" si="6"/>
        <v>0</v>
      </c>
      <c r="AL6">
        <f t="shared" si="7"/>
        <v>0</v>
      </c>
      <c r="AM6">
        <f t="shared" si="8"/>
        <v>0</v>
      </c>
      <c r="AN6">
        <f t="shared" si="9"/>
        <v>0</v>
      </c>
      <c r="AO6">
        <f t="shared" si="10"/>
        <v>0</v>
      </c>
      <c r="AP6">
        <f t="shared" si="11"/>
        <v>0</v>
      </c>
      <c r="AQ6">
        <f t="shared" si="12"/>
        <v>0</v>
      </c>
      <c r="AR6">
        <f t="shared" si="13"/>
        <v>0</v>
      </c>
      <c r="AS6">
        <f t="shared" si="14"/>
        <v>0</v>
      </c>
      <c r="AT6">
        <f t="shared" si="15"/>
        <v>0</v>
      </c>
      <c r="AU6">
        <f t="shared" si="16"/>
        <v>1</v>
      </c>
      <c r="AV6">
        <f t="shared" si="17"/>
        <v>1</v>
      </c>
      <c r="AW6">
        <f t="shared" si="18"/>
        <v>1</v>
      </c>
      <c r="AX6">
        <f t="shared" si="19"/>
        <v>1</v>
      </c>
      <c r="AY6">
        <f t="shared" si="20"/>
        <v>30000</v>
      </c>
      <c r="AZ6">
        <f t="shared" si="21"/>
        <v>30000</v>
      </c>
      <c r="BA6">
        <f t="shared" si="22"/>
        <v>0</v>
      </c>
      <c r="BB6">
        <f t="shared" si="23"/>
        <v>0</v>
      </c>
      <c r="BC6">
        <f t="shared" si="24"/>
        <v>0</v>
      </c>
      <c r="BD6">
        <f t="shared" si="25"/>
        <v>0</v>
      </c>
      <c r="BE6">
        <f t="shared" si="26"/>
        <v>0</v>
      </c>
      <c r="BF6">
        <f t="shared" si="27"/>
        <v>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 s="201" customFormat="1" ht="14.25" x14ac:dyDescent="0.2">
      <c r="A7" s="10">
        <v>816</v>
      </c>
      <c r="B7" s="11" t="s">
        <v>236</v>
      </c>
      <c r="C7" s="105" t="s">
        <v>237</v>
      </c>
      <c r="D7" s="11" t="s">
        <v>238</v>
      </c>
      <c r="E7" s="12">
        <v>9287</v>
      </c>
      <c r="F7" s="202">
        <v>74</v>
      </c>
      <c r="G7" s="11">
        <v>40000</v>
      </c>
      <c r="H7" s="116">
        <v>0</v>
      </c>
      <c r="I7" s="192"/>
      <c r="J7" s="204"/>
      <c r="K7" s="193"/>
      <c r="L7" s="193"/>
      <c r="M7" s="193"/>
      <c r="N7" s="203">
        <f t="shared" si="0"/>
        <v>40000</v>
      </c>
      <c r="O7" s="203">
        <f t="shared" si="1"/>
        <v>40000</v>
      </c>
      <c r="P7" s="203">
        <f t="shared" si="2"/>
        <v>40000</v>
      </c>
      <c r="Q7" s="214">
        <v>45659</v>
      </c>
      <c r="R7" s="215"/>
      <c r="S7" s="218">
        <v>45630</v>
      </c>
      <c r="T7" s="205"/>
      <c r="U7" s="205"/>
      <c r="V7" s="216" t="s">
        <v>1131</v>
      </c>
      <c r="W7" s="212"/>
      <c r="X7" s="10">
        <v>7</v>
      </c>
      <c r="Y7" s="10">
        <v>7</v>
      </c>
      <c r="Z7" s="213">
        <f t="shared" si="3"/>
        <v>40000</v>
      </c>
      <c r="AA7" s="62"/>
      <c r="AB7" s="62"/>
      <c r="AC7" s="62"/>
      <c r="AD7" s="62"/>
      <c r="AE7" s="62"/>
      <c r="AF7" s="63"/>
      <c r="AG7" s="64"/>
      <c r="AH7" s="6">
        <v>1</v>
      </c>
      <c r="AI7">
        <f t="shared" si="4"/>
        <v>25</v>
      </c>
      <c r="AJ7">
        <f t="shared" si="5"/>
        <v>25</v>
      </c>
      <c r="AK7">
        <f t="shared" si="6"/>
        <v>0</v>
      </c>
      <c r="AL7">
        <f t="shared" si="7"/>
        <v>0</v>
      </c>
      <c r="AM7">
        <f t="shared" si="8"/>
        <v>0</v>
      </c>
      <c r="AN7">
        <f t="shared" si="9"/>
        <v>0</v>
      </c>
      <c r="AO7">
        <f t="shared" si="10"/>
        <v>0</v>
      </c>
      <c r="AP7">
        <f t="shared" si="11"/>
        <v>0</v>
      </c>
      <c r="AQ7">
        <f t="shared" si="12"/>
        <v>0</v>
      </c>
      <c r="AR7">
        <f t="shared" si="13"/>
        <v>0</v>
      </c>
      <c r="AS7">
        <f t="shared" si="14"/>
        <v>0</v>
      </c>
      <c r="AT7">
        <f t="shared" si="15"/>
        <v>0</v>
      </c>
      <c r="AU7">
        <f t="shared" si="16"/>
        <v>1</v>
      </c>
      <c r="AV7">
        <f t="shared" si="17"/>
        <v>1</v>
      </c>
      <c r="AW7">
        <f t="shared" si="18"/>
        <v>1</v>
      </c>
      <c r="AX7">
        <f t="shared" si="19"/>
        <v>1</v>
      </c>
      <c r="AY7">
        <f t="shared" si="20"/>
        <v>40000</v>
      </c>
      <c r="AZ7">
        <f t="shared" si="21"/>
        <v>40000</v>
      </c>
      <c r="BA7">
        <f t="shared" si="22"/>
        <v>0</v>
      </c>
      <c r="BB7">
        <f t="shared" si="23"/>
        <v>0</v>
      </c>
      <c r="BC7">
        <f t="shared" si="24"/>
        <v>0</v>
      </c>
      <c r="BD7">
        <f t="shared" si="25"/>
        <v>0</v>
      </c>
      <c r="BE7">
        <f t="shared" si="26"/>
        <v>0</v>
      </c>
      <c r="BF7">
        <f t="shared" si="27"/>
        <v>0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 s="201" customFormat="1" ht="14.25" x14ac:dyDescent="0.2">
      <c r="A8" s="10">
        <v>823</v>
      </c>
      <c r="B8" s="11" t="s">
        <v>239</v>
      </c>
      <c r="C8" s="105" t="s">
        <v>240</v>
      </c>
      <c r="D8" s="11" t="s">
        <v>233</v>
      </c>
      <c r="E8" s="12">
        <v>9375</v>
      </c>
      <c r="F8" s="202">
        <v>74</v>
      </c>
      <c r="G8" s="11">
        <v>30000</v>
      </c>
      <c r="H8" s="116">
        <v>-3500</v>
      </c>
      <c r="I8" s="192"/>
      <c r="J8" s="204"/>
      <c r="K8" s="193"/>
      <c r="L8" s="193"/>
      <c r="M8" s="193"/>
      <c r="N8" s="203">
        <f t="shared" si="0"/>
        <v>30000</v>
      </c>
      <c r="O8" s="203">
        <f t="shared" si="1"/>
        <v>26500</v>
      </c>
      <c r="P8" s="203">
        <f t="shared" si="2"/>
        <v>26500</v>
      </c>
      <c r="Q8" s="214"/>
      <c r="R8" s="215"/>
      <c r="S8" s="218">
        <v>45635</v>
      </c>
      <c r="T8" s="205"/>
      <c r="U8" s="205"/>
      <c r="V8" s="216"/>
      <c r="W8" s="212"/>
      <c r="X8" s="10">
        <v>7</v>
      </c>
      <c r="Y8" s="10">
        <v>7</v>
      </c>
      <c r="Z8" s="213">
        <f t="shared" si="3"/>
        <v>30000</v>
      </c>
      <c r="AA8" s="62"/>
      <c r="AB8" s="62"/>
      <c r="AC8" s="62"/>
      <c r="AD8" s="62"/>
      <c r="AE8" s="62"/>
      <c r="AF8" s="63"/>
      <c r="AG8" s="64"/>
      <c r="AH8" s="6">
        <v>1</v>
      </c>
      <c r="AI8">
        <f t="shared" si="4"/>
        <v>25</v>
      </c>
      <c r="AJ8">
        <f t="shared" si="5"/>
        <v>25</v>
      </c>
      <c r="AK8">
        <f t="shared" si="6"/>
        <v>0</v>
      </c>
      <c r="AL8">
        <f t="shared" si="7"/>
        <v>0</v>
      </c>
      <c r="AM8">
        <f t="shared" si="8"/>
        <v>0</v>
      </c>
      <c r="AN8">
        <f t="shared" si="9"/>
        <v>0</v>
      </c>
      <c r="AO8">
        <f t="shared" si="10"/>
        <v>0</v>
      </c>
      <c r="AP8">
        <f t="shared" si="11"/>
        <v>0</v>
      </c>
      <c r="AQ8">
        <f t="shared" si="12"/>
        <v>0</v>
      </c>
      <c r="AR8">
        <f t="shared" si="13"/>
        <v>0</v>
      </c>
      <c r="AS8">
        <f t="shared" si="14"/>
        <v>0</v>
      </c>
      <c r="AT8">
        <f t="shared" si="15"/>
        <v>0</v>
      </c>
      <c r="AU8">
        <f t="shared" si="16"/>
        <v>1</v>
      </c>
      <c r="AV8">
        <f t="shared" si="17"/>
        <v>1</v>
      </c>
      <c r="AW8">
        <f t="shared" si="18"/>
        <v>1</v>
      </c>
      <c r="AX8">
        <f t="shared" si="19"/>
        <v>1</v>
      </c>
      <c r="AY8">
        <f t="shared" si="20"/>
        <v>26500</v>
      </c>
      <c r="AZ8">
        <f t="shared" si="21"/>
        <v>26500</v>
      </c>
      <c r="BA8">
        <f t="shared" si="22"/>
        <v>0</v>
      </c>
      <c r="BB8">
        <f t="shared" si="23"/>
        <v>0</v>
      </c>
      <c r="BC8">
        <f t="shared" si="24"/>
        <v>0</v>
      </c>
      <c r="BD8">
        <f t="shared" si="25"/>
        <v>0</v>
      </c>
      <c r="BE8">
        <f t="shared" si="26"/>
        <v>0</v>
      </c>
      <c r="BF8">
        <f t="shared" si="27"/>
        <v>0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 s="201" customFormat="1" ht="14.25" x14ac:dyDescent="0.2">
      <c r="A9" s="10">
        <v>834</v>
      </c>
      <c r="B9" s="11" t="s">
        <v>476</v>
      </c>
      <c r="C9" s="105" t="s">
        <v>477</v>
      </c>
      <c r="D9" s="11" t="s">
        <v>233</v>
      </c>
      <c r="E9" s="12">
        <v>9034</v>
      </c>
      <c r="F9" s="202">
        <v>74</v>
      </c>
      <c r="G9" s="11">
        <v>60000</v>
      </c>
      <c r="H9" s="116">
        <v>-4000</v>
      </c>
      <c r="I9" s="192"/>
      <c r="J9" s="204"/>
      <c r="K9" s="193"/>
      <c r="L9" s="193"/>
      <c r="M9" s="193"/>
      <c r="N9" s="203">
        <f t="shared" si="0"/>
        <v>60000</v>
      </c>
      <c r="O9" s="203">
        <f t="shared" si="1"/>
        <v>56000</v>
      </c>
      <c r="P9" s="203">
        <f t="shared" si="2"/>
        <v>56000</v>
      </c>
      <c r="Q9" s="214"/>
      <c r="R9" s="215"/>
      <c r="S9" s="218">
        <v>45636</v>
      </c>
      <c r="T9" s="205"/>
      <c r="U9" s="205"/>
      <c r="V9" s="216"/>
      <c r="W9" s="212"/>
      <c r="X9" s="10">
        <v>7</v>
      </c>
      <c r="Y9" s="10">
        <v>7</v>
      </c>
      <c r="Z9" s="213">
        <f t="shared" si="3"/>
        <v>60000</v>
      </c>
      <c r="AA9" s="62"/>
      <c r="AB9" s="62"/>
      <c r="AC9" s="62"/>
      <c r="AD9" s="62"/>
      <c r="AE9" s="62"/>
      <c r="AF9" s="63"/>
      <c r="AG9" s="64"/>
      <c r="AH9" s="6">
        <v>1</v>
      </c>
      <c r="AI9">
        <f t="shared" si="4"/>
        <v>25</v>
      </c>
      <c r="AJ9">
        <f t="shared" si="5"/>
        <v>25</v>
      </c>
      <c r="AK9">
        <f t="shared" si="6"/>
        <v>0</v>
      </c>
      <c r="AL9">
        <f t="shared" si="7"/>
        <v>0</v>
      </c>
      <c r="AM9">
        <f t="shared" si="8"/>
        <v>0</v>
      </c>
      <c r="AN9">
        <f t="shared" si="9"/>
        <v>0</v>
      </c>
      <c r="AO9">
        <f t="shared" si="10"/>
        <v>0</v>
      </c>
      <c r="AP9">
        <f t="shared" si="11"/>
        <v>0</v>
      </c>
      <c r="AQ9">
        <f t="shared" si="12"/>
        <v>0</v>
      </c>
      <c r="AR9">
        <f t="shared" si="13"/>
        <v>0</v>
      </c>
      <c r="AS9">
        <f t="shared" si="14"/>
        <v>0</v>
      </c>
      <c r="AT9">
        <f t="shared" si="15"/>
        <v>0</v>
      </c>
      <c r="AU9">
        <f t="shared" si="16"/>
        <v>1</v>
      </c>
      <c r="AV9">
        <f t="shared" si="17"/>
        <v>1</v>
      </c>
      <c r="AW9">
        <f t="shared" si="18"/>
        <v>1</v>
      </c>
      <c r="AX9">
        <f t="shared" si="19"/>
        <v>1</v>
      </c>
      <c r="AY9">
        <f t="shared" si="20"/>
        <v>56000</v>
      </c>
      <c r="AZ9">
        <f t="shared" si="21"/>
        <v>56000</v>
      </c>
      <c r="BA9">
        <f t="shared" si="22"/>
        <v>0</v>
      </c>
      <c r="BB9">
        <f t="shared" si="23"/>
        <v>0</v>
      </c>
      <c r="BC9">
        <f t="shared" si="24"/>
        <v>0</v>
      </c>
      <c r="BD9">
        <f t="shared" si="25"/>
        <v>0</v>
      </c>
      <c r="BE9">
        <f t="shared" si="26"/>
        <v>0</v>
      </c>
      <c r="BF9">
        <f t="shared" si="27"/>
        <v>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 s="201" customFormat="1" ht="14.25" x14ac:dyDescent="0.2">
      <c r="A10" s="10">
        <v>1021</v>
      </c>
      <c r="B10" s="11" t="s">
        <v>241</v>
      </c>
      <c r="C10" s="105" t="s">
        <v>242</v>
      </c>
      <c r="D10" s="11" t="s">
        <v>157</v>
      </c>
      <c r="E10" s="12">
        <v>300</v>
      </c>
      <c r="F10" s="202">
        <v>69</v>
      </c>
      <c r="G10" s="11">
        <v>55000</v>
      </c>
      <c r="H10" s="116">
        <v>0</v>
      </c>
      <c r="I10" s="192"/>
      <c r="J10" s="204"/>
      <c r="K10" s="193"/>
      <c r="L10" s="193"/>
      <c r="M10" s="193"/>
      <c r="N10" s="203">
        <f t="shared" si="0"/>
        <v>55000</v>
      </c>
      <c r="O10" s="203">
        <f t="shared" si="1"/>
        <v>55000</v>
      </c>
      <c r="P10" s="203">
        <f t="shared" si="2"/>
        <v>55000</v>
      </c>
      <c r="Q10" s="214"/>
      <c r="R10" s="215"/>
      <c r="S10" s="218">
        <v>45640</v>
      </c>
      <c r="T10" s="205"/>
      <c r="U10" s="205"/>
      <c r="V10" s="216"/>
      <c r="W10" s="212"/>
      <c r="X10" s="10">
        <v>7</v>
      </c>
      <c r="Y10" s="10">
        <v>7</v>
      </c>
      <c r="Z10" s="213">
        <f t="shared" si="3"/>
        <v>55000</v>
      </c>
      <c r="AA10" s="62"/>
      <c r="AB10" s="62"/>
      <c r="AC10" s="62"/>
      <c r="AD10" s="62"/>
      <c r="AE10" s="62"/>
      <c r="AF10" s="63"/>
      <c r="AG10" s="64"/>
      <c r="AH10" s="6">
        <v>1</v>
      </c>
      <c r="AI10">
        <f t="shared" si="4"/>
        <v>25</v>
      </c>
      <c r="AJ10">
        <f t="shared" si="5"/>
        <v>25</v>
      </c>
      <c r="AK10">
        <f t="shared" si="6"/>
        <v>0</v>
      </c>
      <c r="AL10">
        <f t="shared" si="7"/>
        <v>0</v>
      </c>
      <c r="AM10">
        <f t="shared" si="8"/>
        <v>0</v>
      </c>
      <c r="AN10">
        <f t="shared" si="9"/>
        <v>0</v>
      </c>
      <c r="AO10">
        <f t="shared" si="10"/>
        <v>0</v>
      </c>
      <c r="AP10">
        <f t="shared" si="11"/>
        <v>0</v>
      </c>
      <c r="AQ10">
        <f t="shared" si="12"/>
        <v>0</v>
      </c>
      <c r="AR10">
        <f t="shared" si="13"/>
        <v>0</v>
      </c>
      <c r="AS10">
        <f t="shared" si="14"/>
        <v>0</v>
      </c>
      <c r="AT10">
        <f t="shared" si="15"/>
        <v>0</v>
      </c>
      <c r="AU10">
        <f t="shared" si="16"/>
        <v>1</v>
      </c>
      <c r="AV10">
        <f t="shared" si="17"/>
        <v>1</v>
      </c>
      <c r="AW10">
        <f t="shared" si="18"/>
        <v>1</v>
      </c>
      <c r="AX10">
        <f t="shared" si="19"/>
        <v>1</v>
      </c>
      <c r="AY10">
        <f t="shared" si="20"/>
        <v>55000</v>
      </c>
      <c r="AZ10">
        <f t="shared" si="21"/>
        <v>55000</v>
      </c>
      <c r="BA10">
        <f t="shared" si="22"/>
        <v>0</v>
      </c>
      <c r="BB10">
        <f t="shared" si="23"/>
        <v>0</v>
      </c>
      <c r="BC10">
        <f t="shared" si="24"/>
        <v>0</v>
      </c>
      <c r="BD10">
        <f t="shared" si="25"/>
        <v>0</v>
      </c>
      <c r="BE10">
        <f t="shared" si="26"/>
        <v>0</v>
      </c>
      <c r="BF10">
        <f t="shared" si="27"/>
        <v>0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 s="201" customFormat="1" ht="14.25" x14ac:dyDescent="0.2">
      <c r="A11" s="10">
        <v>1108</v>
      </c>
      <c r="B11" s="11" t="s">
        <v>478</v>
      </c>
      <c r="C11" s="105" t="s">
        <v>479</v>
      </c>
      <c r="D11" s="11" t="s">
        <v>160</v>
      </c>
      <c r="E11" s="12">
        <v>9341</v>
      </c>
      <c r="F11" s="202">
        <v>67</v>
      </c>
      <c r="G11" s="11">
        <v>60000</v>
      </c>
      <c r="H11" s="116">
        <v>-12000</v>
      </c>
      <c r="I11" s="192"/>
      <c r="J11" s="204"/>
      <c r="K11" s="193"/>
      <c r="L11" s="193"/>
      <c r="M11" s="193"/>
      <c r="N11" s="203">
        <f t="shared" si="0"/>
        <v>60000</v>
      </c>
      <c r="O11" s="203">
        <f t="shared" si="1"/>
        <v>48000</v>
      </c>
      <c r="P11" s="203">
        <f t="shared" si="2"/>
        <v>48000</v>
      </c>
      <c r="Q11" s="214"/>
      <c r="R11" s="215"/>
      <c r="S11" s="218">
        <v>45636</v>
      </c>
      <c r="T11" s="205"/>
      <c r="U11" s="205"/>
      <c r="V11" s="216"/>
      <c r="W11" s="212"/>
      <c r="X11" s="10">
        <v>7</v>
      </c>
      <c r="Y11" s="10">
        <v>7</v>
      </c>
      <c r="Z11" s="213">
        <f t="shared" si="3"/>
        <v>60000</v>
      </c>
      <c r="AA11" s="62"/>
      <c r="AB11" s="62"/>
      <c r="AC11" s="62"/>
      <c r="AD11" s="62"/>
      <c r="AE11" s="62"/>
      <c r="AF11" s="63"/>
      <c r="AG11" s="64"/>
      <c r="AH11" s="6">
        <v>1</v>
      </c>
      <c r="AI11">
        <f t="shared" si="4"/>
        <v>25</v>
      </c>
      <c r="AJ11">
        <f t="shared" si="5"/>
        <v>25</v>
      </c>
      <c r="AK11">
        <f t="shared" si="6"/>
        <v>0</v>
      </c>
      <c r="AL11">
        <f t="shared" si="7"/>
        <v>0</v>
      </c>
      <c r="AM11">
        <f t="shared" si="8"/>
        <v>0</v>
      </c>
      <c r="AN11">
        <f t="shared" si="9"/>
        <v>0</v>
      </c>
      <c r="AO11">
        <f t="shared" si="10"/>
        <v>0</v>
      </c>
      <c r="AP11">
        <f t="shared" si="11"/>
        <v>0</v>
      </c>
      <c r="AQ11">
        <f t="shared" si="12"/>
        <v>0</v>
      </c>
      <c r="AR11">
        <f t="shared" si="13"/>
        <v>0</v>
      </c>
      <c r="AS11">
        <f t="shared" si="14"/>
        <v>0</v>
      </c>
      <c r="AT11">
        <f t="shared" si="15"/>
        <v>0</v>
      </c>
      <c r="AU11">
        <f t="shared" si="16"/>
        <v>1</v>
      </c>
      <c r="AV11">
        <f t="shared" si="17"/>
        <v>1</v>
      </c>
      <c r="AW11">
        <f t="shared" si="18"/>
        <v>1</v>
      </c>
      <c r="AX11">
        <f t="shared" si="19"/>
        <v>1</v>
      </c>
      <c r="AY11">
        <f t="shared" si="20"/>
        <v>48000</v>
      </c>
      <c r="AZ11">
        <f t="shared" si="21"/>
        <v>48000</v>
      </c>
      <c r="BA11">
        <f t="shared" si="22"/>
        <v>0</v>
      </c>
      <c r="BB11">
        <f t="shared" si="23"/>
        <v>0</v>
      </c>
      <c r="BC11">
        <f t="shared" si="24"/>
        <v>0</v>
      </c>
      <c r="BD11">
        <f t="shared" si="25"/>
        <v>0</v>
      </c>
      <c r="BE11">
        <f t="shared" si="26"/>
        <v>0</v>
      </c>
      <c r="BF11">
        <f t="shared" si="27"/>
        <v>0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 s="201" customFormat="1" ht="14.25" x14ac:dyDescent="0.2">
      <c r="A12" s="10">
        <v>1186</v>
      </c>
      <c r="B12" s="11" t="s">
        <v>480</v>
      </c>
      <c r="C12" s="105" t="s">
        <v>481</v>
      </c>
      <c r="D12" s="11" t="s">
        <v>106</v>
      </c>
      <c r="E12" s="12">
        <v>8984</v>
      </c>
      <c r="F12" s="202">
        <v>65</v>
      </c>
      <c r="G12" s="11">
        <v>60000</v>
      </c>
      <c r="H12" s="116">
        <v>-24000</v>
      </c>
      <c r="I12" s="192"/>
      <c r="J12" s="204"/>
      <c r="K12" s="193"/>
      <c r="L12" s="193"/>
      <c r="M12" s="193"/>
      <c r="N12" s="203">
        <f t="shared" si="0"/>
        <v>60000</v>
      </c>
      <c r="O12" s="203">
        <f t="shared" si="1"/>
        <v>36000</v>
      </c>
      <c r="P12" s="203">
        <f t="shared" si="2"/>
        <v>36000</v>
      </c>
      <c r="Q12" s="214">
        <v>45659</v>
      </c>
      <c r="R12" s="215"/>
      <c r="S12" s="218">
        <v>45628</v>
      </c>
      <c r="T12" s="205"/>
      <c r="U12" s="205"/>
      <c r="V12" s="216" t="s">
        <v>1131</v>
      </c>
      <c r="W12" s="212"/>
      <c r="X12" s="10">
        <v>7</v>
      </c>
      <c r="Y12" s="10">
        <v>7</v>
      </c>
      <c r="Z12" s="213">
        <f t="shared" si="3"/>
        <v>60000</v>
      </c>
      <c r="AA12" s="62"/>
      <c r="AB12" s="62"/>
      <c r="AC12" s="62"/>
      <c r="AD12" s="62"/>
      <c r="AE12" s="62"/>
      <c r="AF12" s="63"/>
      <c r="AG12" s="64"/>
      <c r="AH12" s="6">
        <v>1</v>
      </c>
      <c r="AI12">
        <f t="shared" si="4"/>
        <v>25</v>
      </c>
      <c r="AJ12">
        <f t="shared" si="5"/>
        <v>25</v>
      </c>
      <c r="AK12">
        <f t="shared" si="6"/>
        <v>0</v>
      </c>
      <c r="AL12">
        <f t="shared" si="7"/>
        <v>0</v>
      </c>
      <c r="AM12">
        <f t="shared" si="8"/>
        <v>0</v>
      </c>
      <c r="AN12">
        <f t="shared" si="9"/>
        <v>0</v>
      </c>
      <c r="AO12">
        <f t="shared" si="10"/>
        <v>0</v>
      </c>
      <c r="AP12">
        <f t="shared" si="11"/>
        <v>0</v>
      </c>
      <c r="AQ12">
        <f t="shared" si="12"/>
        <v>0</v>
      </c>
      <c r="AR12">
        <f t="shared" si="13"/>
        <v>0</v>
      </c>
      <c r="AS12">
        <f t="shared" si="14"/>
        <v>0</v>
      </c>
      <c r="AT12">
        <f t="shared" si="15"/>
        <v>0</v>
      </c>
      <c r="AU12">
        <f t="shared" si="16"/>
        <v>1</v>
      </c>
      <c r="AV12">
        <f t="shared" si="17"/>
        <v>1</v>
      </c>
      <c r="AW12">
        <f t="shared" si="18"/>
        <v>1</v>
      </c>
      <c r="AX12">
        <f t="shared" si="19"/>
        <v>1</v>
      </c>
      <c r="AY12">
        <f t="shared" si="20"/>
        <v>36000</v>
      </c>
      <c r="AZ12">
        <f t="shared" si="21"/>
        <v>36000</v>
      </c>
      <c r="BA12">
        <f t="shared" si="22"/>
        <v>0</v>
      </c>
      <c r="BB12">
        <f t="shared" si="23"/>
        <v>0</v>
      </c>
      <c r="BC12">
        <f t="shared" si="24"/>
        <v>0</v>
      </c>
      <c r="BD12">
        <f t="shared" si="25"/>
        <v>0</v>
      </c>
      <c r="BE12">
        <f t="shared" si="26"/>
        <v>0</v>
      </c>
      <c r="BF12">
        <f t="shared" si="27"/>
        <v>0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 s="201" customFormat="1" ht="14.25" x14ac:dyDescent="0.2">
      <c r="A13" s="10">
        <v>1413</v>
      </c>
      <c r="B13" s="11" t="s">
        <v>482</v>
      </c>
      <c r="C13" s="105" t="s">
        <v>483</v>
      </c>
      <c r="D13" s="11" t="s">
        <v>220</v>
      </c>
      <c r="E13" s="12">
        <v>8855</v>
      </c>
      <c r="F13" s="202">
        <v>59</v>
      </c>
      <c r="G13" s="11">
        <v>55000</v>
      </c>
      <c r="H13" s="116">
        <v>-60000</v>
      </c>
      <c r="I13" s="192"/>
      <c r="J13" s="204"/>
      <c r="K13" s="193"/>
      <c r="L13" s="193"/>
      <c r="M13" s="193"/>
      <c r="N13" s="203">
        <f t="shared" si="0"/>
        <v>55000</v>
      </c>
      <c r="O13" s="203">
        <f t="shared" si="1"/>
        <v>-5000</v>
      </c>
      <c r="P13" s="203">
        <f t="shared" si="2"/>
        <v>0</v>
      </c>
      <c r="Q13" s="214"/>
      <c r="R13" s="215"/>
      <c r="S13" s="218">
        <v>45636</v>
      </c>
      <c r="T13" s="205"/>
      <c r="U13" s="205"/>
      <c r="V13" s="216"/>
      <c r="W13" s="212"/>
      <c r="X13" s="10">
        <v>7</v>
      </c>
      <c r="Y13" s="10">
        <v>7</v>
      </c>
      <c r="Z13" s="213">
        <f t="shared" si="3"/>
        <v>55000</v>
      </c>
      <c r="AA13" s="62"/>
      <c r="AB13" s="62"/>
      <c r="AC13" s="62"/>
      <c r="AD13" s="62"/>
      <c r="AE13" s="62"/>
      <c r="AF13" s="63"/>
      <c r="AG13" s="64"/>
      <c r="AH13" s="6">
        <v>1</v>
      </c>
      <c r="AI13">
        <f t="shared" si="4"/>
        <v>25</v>
      </c>
      <c r="AJ13">
        <f t="shared" si="5"/>
        <v>25</v>
      </c>
      <c r="AK13">
        <f t="shared" si="6"/>
        <v>0</v>
      </c>
      <c r="AL13">
        <f t="shared" si="7"/>
        <v>0</v>
      </c>
      <c r="AM13">
        <f t="shared" si="8"/>
        <v>0</v>
      </c>
      <c r="AN13">
        <f t="shared" si="9"/>
        <v>0</v>
      </c>
      <c r="AO13">
        <f t="shared" si="10"/>
        <v>0</v>
      </c>
      <c r="AP13">
        <f t="shared" si="11"/>
        <v>0</v>
      </c>
      <c r="AQ13">
        <f t="shared" si="12"/>
        <v>0</v>
      </c>
      <c r="AR13">
        <f t="shared" si="13"/>
        <v>0</v>
      </c>
      <c r="AS13">
        <f t="shared" si="14"/>
        <v>0</v>
      </c>
      <c r="AT13">
        <f t="shared" si="15"/>
        <v>0</v>
      </c>
      <c r="AU13">
        <f t="shared" si="16"/>
        <v>0</v>
      </c>
      <c r="AV13">
        <f t="shared" si="17"/>
        <v>0</v>
      </c>
      <c r="AW13">
        <f t="shared" si="18"/>
        <v>0</v>
      </c>
      <c r="AX13">
        <f t="shared" si="19"/>
        <v>0</v>
      </c>
      <c r="AY13">
        <f t="shared" si="20"/>
        <v>0</v>
      </c>
      <c r="AZ13">
        <f t="shared" si="21"/>
        <v>0</v>
      </c>
      <c r="BA13">
        <f t="shared" si="22"/>
        <v>0</v>
      </c>
      <c r="BB13">
        <f t="shared" si="23"/>
        <v>0</v>
      </c>
      <c r="BC13">
        <f t="shared" si="24"/>
        <v>0</v>
      </c>
      <c r="BD13">
        <f t="shared" si="25"/>
        <v>0</v>
      </c>
      <c r="BE13">
        <f t="shared" si="26"/>
        <v>0</v>
      </c>
      <c r="BF13">
        <f t="shared" si="27"/>
        <v>0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 s="201" customFormat="1" ht="14.25" x14ac:dyDescent="0.2">
      <c r="A14" s="10">
        <v>1417</v>
      </c>
      <c r="B14" s="11" t="s">
        <v>484</v>
      </c>
      <c r="C14" s="105" t="s">
        <v>481</v>
      </c>
      <c r="D14" s="11" t="s">
        <v>106</v>
      </c>
      <c r="E14" s="12">
        <v>8539</v>
      </c>
      <c r="F14" s="202">
        <v>58</v>
      </c>
      <c r="G14" s="11">
        <v>60000</v>
      </c>
      <c r="H14" s="116">
        <v>-6000</v>
      </c>
      <c r="I14" s="192"/>
      <c r="J14" s="204"/>
      <c r="K14" s="193"/>
      <c r="L14" s="193"/>
      <c r="M14" s="193"/>
      <c r="N14" s="203">
        <f t="shared" si="0"/>
        <v>60000</v>
      </c>
      <c r="O14" s="203">
        <f t="shared" si="1"/>
        <v>54000</v>
      </c>
      <c r="P14" s="203">
        <f t="shared" si="2"/>
        <v>54000</v>
      </c>
      <c r="Q14" s="214">
        <v>45659</v>
      </c>
      <c r="R14" s="215"/>
      <c r="S14" s="218">
        <v>45628</v>
      </c>
      <c r="T14" s="205"/>
      <c r="U14" s="205"/>
      <c r="V14" s="216" t="s">
        <v>1131</v>
      </c>
      <c r="W14" s="212"/>
      <c r="X14" s="10">
        <v>7</v>
      </c>
      <c r="Y14" s="10">
        <v>7</v>
      </c>
      <c r="Z14" s="213">
        <f t="shared" si="3"/>
        <v>60000</v>
      </c>
      <c r="AA14" s="62"/>
      <c r="AB14" s="62"/>
      <c r="AC14" s="62"/>
      <c r="AD14" s="62"/>
      <c r="AE14" s="62"/>
      <c r="AF14" s="63"/>
      <c r="AG14" s="64"/>
      <c r="AH14" s="6">
        <v>1</v>
      </c>
      <c r="AI14">
        <f t="shared" si="4"/>
        <v>25</v>
      </c>
      <c r="AJ14">
        <f t="shared" si="5"/>
        <v>25</v>
      </c>
      <c r="AK14">
        <f t="shared" si="6"/>
        <v>0</v>
      </c>
      <c r="AL14">
        <f t="shared" si="7"/>
        <v>0</v>
      </c>
      <c r="AM14">
        <f t="shared" si="8"/>
        <v>0</v>
      </c>
      <c r="AN14">
        <f t="shared" si="9"/>
        <v>0</v>
      </c>
      <c r="AO14">
        <f t="shared" si="10"/>
        <v>0</v>
      </c>
      <c r="AP14">
        <f t="shared" si="11"/>
        <v>0</v>
      </c>
      <c r="AQ14">
        <f t="shared" si="12"/>
        <v>0</v>
      </c>
      <c r="AR14">
        <f t="shared" si="13"/>
        <v>0</v>
      </c>
      <c r="AS14">
        <f t="shared" si="14"/>
        <v>0</v>
      </c>
      <c r="AT14">
        <f t="shared" si="15"/>
        <v>0</v>
      </c>
      <c r="AU14">
        <f t="shared" si="16"/>
        <v>1</v>
      </c>
      <c r="AV14">
        <f t="shared" si="17"/>
        <v>1</v>
      </c>
      <c r="AW14">
        <f t="shared" si="18"/>
        <v>1</v>
      </c>
      <c r="AX14">
        <f t="shared" si="19"/>
        <v>1</v>
      </c>
      <c r="AY14">
        <f t="shared" si="20"/>
        <v>54000</v>
      </c>
      <c r="AZ14">
        <f t="shared" si="21"/>
        <v>54000</v>
      </c>
      <c r="BA14">
        <f t="shared" si="22"/>
        <v>0</v>
      </c>
      <c r="BB14">
        <f t="shared" si="23"/>
        <v>0</v>
      </c>
      <c r="BC14">
        <f t="shared" si="24"/>
        <v>0</v>
      </c>
      <c r="BD14">
        <f t="shared" si="25"/>
        <v>0</v>
      </c>
      <c r="BE14">
        <f t="shared" si="26"/>
        <v>0</v>
      </c>
      <c r="BF14">
        <f t="shared" si="27"/>
        <v>0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 s="201" customFormat="1" ht="14.25" x14ac:dyDescent="0.2">
      <c r="A15" s="10">
        <v>1449</v>
      </c>
      <c r="B15" s="11" t="s">
        <v>306</v>
      </c>
      <c r="C15" s="105" t="s">
        <v>307</v>
      </c>
      <c r="D15" s="11" t="s">
        <v>147</v>
      </c>
      <c r="E15" s="12">
        <v>8865</v>
      </c>
      <c r="F15" s="202">
        <v>57</v>
      </c>
      <c r="G15" s="11">
        <v>60000</v>
      </c>
      <c r="H15" s="116">
        <v>0</v>
      </c>
      <c r="I15" s="192"/>
      <c r="J15" s="204"/>
      <c r="K15" s="193"/>
      <c r="L15" s="193"/>
      <c r="M15" s="193"/>
      <c r="N15" s="203">
        <f t="shared" si="0"/>
        <v>60000</v>
      </c>
      <c r="O15" s="203">
        <f t="shared" si="1"/>
        <v>60000</v>
      </c>
      <c r="P15" s="203">
        <f t="shared" si="2"/>
        <v>60000</v>
      </c>
      <c r="Q15" s="214"/>
      <c r="R15" s="215"/>
      <c r="S15" s="218">
        <v>45656</v>
      </c>
      <c r="T15" s="205"/>
      <c r="U15" s="205"/>
      <c r="V15" s="216"/>
      <c r="W15" s="212"/>
      <c r="X15" s="10">
        <v>7</v>
      </c>
      <c r="Y15" s="10">
        <v>7</v>
      </c>
      <c r="Z15" s="213">
        <f t="shared" si="3"/>
        <v>60000</v>
      </c>
      <c r="AA15" s="62"/>
      <c r="AB15" s="62"/>
      <c r="AC15" s="62"/>
      <c r="AD15" s="62"/>
      <c r="AE15" s="62"/>
      <c r="AF15" s="63"/>
      <c r="AG15" s="64"/>
      <c r="AH15" s="6">
        <v>1</v>
      </c>
      <c r="AI15">
        <f t="shared" si="4"/>
        <v>25</v>
      </c>
      <c r="AJ15">
        <f t="shared" si="5"/>
        <v>25</v>
      </c>
      <c r="AK15">
        <f t="shared" si="6"/>
        <v>0</v>
      </c>
      <c r="AL15">
        <f t="shared" si="7"/>
        <v>0</v>
      </c>
      <c r="AM15">
        <f t="shared" si="8"/>
        <v>0</v>
      </c>
      <c r="AN15">
        <f t="shared" si="9"/>
        <v>0</v>
      </c>
      <c r="AO15">
        <f t="shared" si="10"/>
        <v>0</v>
      </c>
      <c r="AP15">
        <f t="shared" si="11"/>
        <v>0</v>
      </c>
      <c r="AQ15">
        <f t="shared" si="12"/>
        <v>0</v>
      </c>
      <c r="AR15">
        <f t="shared" si="13"/>
        <v>0</v>
      </c>
      <c r="AS15">
        <f t="shared" si="14"/>
        <v>0</v>
      </c>
      <c r="AT15">
        <f t="shared" si="15"/>
        <v>0</v>
      </c>
      <c r="AU15">
        <f t="shared" si="16"/>
        <v>1</v>
      </c>
      <c r="AV15">
        <f t="shared" si="17"/>
        <v>1</v>
      </c>
      <c r="AW15">
        <f t="shared" si="18"/>
        <v>1</v>
      </c>
      <c r="AX15">
        <f t="shared" si="19"/>
        <v>1</v>
      </c>
      <c r="AY15">
        <f t="shared" si="20"/>
        <v>60000</v>
      </c>
      <c r="AZ15">
        <f t="shared" si="21"/>
        <v>60000</v>
      </c>
      <c r="BA15">
        <f t="shared" si="22"/>
        <v>0</v>
      </c>
      <c r="BB15">
        <f t="shared" si="23"/>
        <v>0</v>
      </c>
      <c r="BC15">
        <f t="shared" si="24"/>
        <v>0</v>
      </c>
      <c r="BD15">
        <f t="shared" si="25"/>
        <v>0</v>
      </c>
      <c r="BE15">
        <f t="shared" si="26"/>
        <v>0</v>
      </c>
      <c r="BF15">
        <f t="shared" si="27"/>
        <v>0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01" customFormat="1" ht="14.25" x14ac:dyDescent="0.2">
      <c r="A16" s="10">
        <v>1457</v>
      </c>
      <c r="B16" s="11" t="s">
        <v>243</v>
      </c>
      <c r="C16" s="105" t="s">
        <v>244</v>
      </c>
      <c r="D16" s="11" t="s">
        <v>221</v>
      </c>
      <c r="E16" s="12">
        <v>8864</v>
      </c>
      <c r="F16" s="202">
        <v>57</v>
      </c>
      <c r="G16" s="11">
        <v>60000</v>
      </c>
      <c r="H16" s="116">
        <v>-15000</v>
      </c>
      <c r="I16" s="192"/>
      <c r="J16" s="204"/>
      <c r="K16" s="193"/>
      <c r="L16" s="193"/>
      <c r="M16" s="193"/>
      <c r="N16" s="203">
        <f t="shared" si="0"/>
        <v>60000</v>
      </c>
      <c r="O16" s="203">
        <f t="shared" si="1"/>
        <v>45000</v>
      </c>
      <c r="P16" s="203">
        <f t="shared" si="2"/>
        <v>45000</v>
      </c>
      <c r="Q16" s="214"/>
      <c r="R16" s="215"/>
      <c r="S16" s="218">
        <v>45643</v>
      </c>
      <c r="T16" s="205"/>
      <c r="U16" s="205"/>
      <c r="V16" s="216"/>
      <c r="W16" s="212"/>
      <c r="X16" s="10">
        <v>7</v>
      </c>
      <c r="Y16" s="10">
        <v>7</v>
      </c>
      <c r="Z16" s="213">
        <f t="shared" si="3"/>
        <v>60000</v>
      </c>
      <c r="AA16" s="62"/>
      <c r="AB16" s="62"/>
      <c r="AC16" s="62"/>
      <c r="AD16" s="62"/>
      <c r="AE16" s="62"/>
      <c r="AF16" s="63"/>
      <c r="AG16" s="64"/>
      <c r="AH16" s="6">
        <v>1</v>
      </c>
      <c r="AI16">
        <f t="shared" si="4"/>
        <v>25</v>
      </c>
      <c r="AJ16">
        <f t="shared" si="5"/>
        <v>25</v>
      </c>
      <c r="AK16">
        <f t="shared" si="6"/>
        <v>0</v>
      </c>
      <c r="AL16">
        <f t="shared" si="7"/>
        <v>0</v>
      </c>
      <c r="AM16">
        <f t="shared" si="8"/>
        <v>0</v>
      </c>
      <c r="AN16">
        <f t="shared" si="9"/>
        <v>0</v>
      </c>
      <c r="AO16">
        <f t="shared" si="10"/>
        <v>0</v>
      </c>
      <c r="AP16">
        <f t="shared" si="11"/>
        <v>0</v>
      </c>
      <c r="AQ16">
        <f t="shared" si="12"/>
        <v>0</v>
      </c>
      <c r="AR16">
        <f t="shared" si="13"/>
        <v>0</v>
      </c>
      <c r="AS16">
        <f t="shared" si="14"/>
        <v>0</v>
      </c>
      <c r="AT16">
        <f t="shared" si="15"/>
        <v>0</v>
      </c>
      <c r="AU16">
        <f t="shared" si="16"/>
        <v>1</v>
      </c>
      <c r="AV16">
        <f t="shared" si="17"/>
        <v>1</v>
      </c>
      <c r="AW16">
        <f t="shared" si="18"/>
        <v>1</v>
      </c>
      <c r="AX16">
        <f t="shared" si="19"/>
        <v>1</v>
      </c>
      <c r="AY16">
        <f t="shared" si="20"/>
        <v>45000</v>
      </c>
      <c r="AZ16">
        <f t="shared" si="21"/>
        <v>45000</v>
      </c>
      <c r="BA16">
        <f t="shared" si="22"/>
        <v>0</v>
      </c>
      <c r="BB16">
        <f t="shared" si="23"/>
        <v>0</v>
      </c>
      <c r="BC16">
        <f t="shared" si="24"/>
        <v>0</v>
      </c>
      <c r="BD16">
        <f t="shared" si="25"/>
        <v>0</v>
      </c>
      <c r="BE16">
        <f t="shared" si="26"/>
        <v>0</v>
      </c>
      <c r="BF16">
        <f t="shared" si="27"/>
        <v>0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</row>
    <row r="17" spans="1:256" s="201" customFormat="1" ht="14.25" x14ac:dyDescent="0.2">
      <c r="A17" s="10">
        <v>1462</v>
      </c>
      <c r="B17" s="11" t="s">
        <v>485</v>
      </c>
      <c r="C17" s="105" t="s">
        <v>486</v>
      </c>
      <c r="D17" s="11" t="s">
        <v>157</v>
      </c>
      <c r="E17" s="12">
        <v>8885</v>
      </c>
      <c r="F17" s="202">
        <v>57</v>
      </c>
      <c r="G17" s="11">
        <v>60000</v>
      </c>
      <c r="H17" s="116">
        <v>0</v>
      </c>
      <c r="I17" s="192"/>
      <c r="J17" s="204"/>
      <c r="K17" s="193"/>
      <c r="L17" s="193"/>
      <c r="M17" s="193"/>
      <c r="N17" s="203">
        <f t="shared" si="0"/>
        <v>60000</v>
      </c>
      <c r="O17" s="203">
        <f t="shared" si="1"/>
        <v>60000</v>
      </c>
      <c r="P17" s="203">
        <f t="shared" si="2"/>
        <v>60000</v>
      </c>
      <c r="Q17" s="214"/>
      <c r="R17" s="215"/>
      <c r="S17" s="218">
        <v>45643</v>
      </c>
      <c r="T17" s="205"/>
      <c r="U17" s="205"/>
      <c r="V17" s="216"/>
      <c r="W17" s="212"/>
      <c r="X17" s="10">
        <v>7</v>
      </c>
      <c r="Y17" s="10">
        <v>7</v>
      </c>
      <c r="Z17" s="213">
        <f t="shared" si="3"/>
        <v>60000</v>
      </c>
      <c r="AA17" s="62"/>
      <c r="AB17" s="62"/>
      <c r="AC17" s="62"/>
      <c r="AD17" s="62"/>
      <c r="AE17" s="62"/>
      <c r="AF17" s="63"/>
      <c r="AG17" s="64"/>
      <c r="AH17" s="6">
        <v>1</v>
      </c>
      <c r="AI17">
        <f t="shared" si="4"/>
        <v>25</v>
      </c>
      <c r="AJ17">
        <f t="shared" si="5"/>
        <v>25</v>
      </c>
      <c r="AK17">
        <f t="shared" si="6"/>
        <v>0</v>
      </c>
      <c r="AL17">
        <f t="shared" si="7"/>
        <v>0</v>
      </c>
      <c r="AM17">
        <f t="shared" si="8"/>
        <v>0</v>
      </c>
      <c r="AN17">
        <f t="shared" si="9"/>
        <v>0</v>
      </c>
      <c r="AO17">
        <f t="shared" si="10"/>
        <v>0</v>
      </c>
      <c r="AP17">
        <f t="shared" si="11"/>
        <v>0</v>
      </c>
      <c r="AQ17">
        <f t="shared" si="12"/>
        <v>0</v>
      </c>
      <c r="AR17">
        <f t="shared" si="13"/>
        <v>0</v>
      </c>
      <c r="AS17">
        <f t="shared" si="14"/>
        <v>0</v>
      </c>
      <c r="AT17">
        <f t="shared" si="15"/>
        <v>0</v>
      </c>
      <c r="AU17">
        <f t="shared" si="16"/>
        <v>1</v>
      </c>
      <c r="AV17">
        <f t="shared" si="17"/>
        <v>1</v>
      </c>
      <c r="AW17">
        <f t="shared" si="18"/>
        <v>1</v>
      </c>
      <c r="AX17">
        <f t="shared" si="19"/>
        <v>1</v>
      </c>
      <c r="AY17">
        <f t="shared" si="20"/>
        <v>60000</v>
      </c>
      <c r="AZ17">
        <f t="shared" si="21"/>
        <v>60000</v>
      </c>
      <c r="BA17">
        <f t="shared" si="22"/>
        <v>0</v>
      </c>
      <c r="BB17">
        <f t="shared" si="23"/>
        <v>0</v>
      </c>
      <c r="BC17">
        <f t="shared" si="24"/>
        <v>0</v>
      </c>
      <c r="BD17">
        <f t="shared" si="25"/>
        <v>0</v>
      </c>
      <c r="BE17">
        <f t="shared" si="26"/>
        <v>0</v>
      </c>
      <c r="BF17">
        <f t="shared" si="27"/>
        <v>0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201" customFormat="1" ht="14.25" x14ac:dyDescent="0.2">
      <c r="A18" s="10">
        <v>1463</v>
      </c>
      <c r="B18" s="11" t="s">
        <v>485</v>
      </c>
      <c r="C18" s="105" t="s">
        <v>486</v>
      </c>
      <c r="D18" s="11" t="s">
        <v>157</v>
      </c>
      <c r="E18" s="12">
        <v>8884</v>
      </c>
      <c r="F18" s="202">
        <v>57</v>
      </c>
      <c r="G18" s="11">
        <v>60000</v>
      </c>
      <c r="H18" s="116">
        <v>0</v>
      </c>
      <c r="I18" s="192"/>
      <c r="J18" s="204"/>
      <c r="K18" s="193"/>
      <c r="L18" s="193"/>
      <c r="M18" s="193"/>
      <c r="N18" s="203">
        <f t="shared" si="0"/>
        <v>60000</v>
      </c>
      <c r="O18" s="203">
        <f t="shared" si="1"/>
        <v>60000</v>
      </c>
      <c r="P18" s="203">
        <f t="shared" si="2"/>
        <v>60000</v>
      </c>
      <c r="Q18" s="214"/>
      <c r="R18" s="215"/>
      <c r="S18" s="218">
        <v>45643</v>
      </c>
      <c r="T18" s="205"/>
      <c r="U18" s="205"/>
      <c r="V18" s="216"/>
      <c r="W18" s="212"/>
      <c r="X18" s="10">
        <v>7</v>
      </c>
      <c r="Y18" s="10">
        <v>7</v>
      </c>
      <c r="Z18" s="213">
        <f t="shared" si="3"/>
        <v>60000</v>
      </c>
      <c r="AA18" s="62"/>
      <c r="AB18" s="62"/>
      <c r="AC18" s="62"/>
      <c r="AD18" s="62"/>
      <c r="AE18" s="62"/>
      <c r="AF18" s="63"/>
      <c r="AG18" s="64"/>
      <c r="AH18" s="6">
        <v>1</v>
      </c>
      <c r="AI18">
        <f t="shared" si="4"/>
        <v>25</v>
      </c>
      <c r="AJ18">
        <f t="shared" si="5"/>
        <v>25</v>
      </c>
      <c r="AK18">
        <f t="shared" si="6"/>
        <v>0</v>
      </c>
      <c r="AL18">
        <f t="shared" si="7"/>
        <v>0</v>
      </c>
      <c r="AM18">
        <f t="shared" si="8"/>
        <v>0</v>
      </c>
      <c r="AN18">
        <f t="shared" si="9"/>
        <v>0</v>
      </c>
      <c r="AO18">
        <f t="shared" si="10"/>
        <v>0</v>
      </c>
      <c r="AP18">
        <f t="shared" si="11"/>
        <v>0</v>
      </c>
      <c r="AQ18">
        <f t="shared" si="12"/>
        <v>0</v>
      </c>
      <c r="AR18">
        <f t="shared" si="13"/>
        <v>0</v>
      </c>
      <c r="AS18">
        <f t="shared" si="14"/>
        <v>0</v>
      </c>
      <c r="AT18">
        <f t="shared" si="15"/>
        <v>0</v>
      </c>
      <c r="AU18">
        <f t="shared" si="16"/>
        <v>1</v>
      </c>
      <c r="AV18">
        <f t="shared" si="17"/>
        <v>1</v>
      </c>
      <c r="AW18">
        <f t="shared" si="18"/>
        <v>1</v>
      </c>
      <c r="AX18">
        <f t="shared" si="19"/>
        <v>1</v>
      </c>
      <c r="AY18">
        <f t="shared" si="20"/>
        <v>60000</v>
      </c>
      <c r="AZ18">
        <f t="shared" si="21"/>
        <v>60000</v>
      </c>
      <c r="BA18">
        <f t="shared" si="22"/>
        <v>0</v>
      </c>
      <c r="BB18">
        <f t="shared" si="23"/>
        <v>0</v>
      </c>
      <c r="BC18">
        <f t="shared" si="24"/>
        <v>0</v>
      </c>
      <c r="BD18">
        <f t="shared" si="25"/>
        <v>0</v>
      </c>
      <c r="BE18">
        <f t="shared" si="26"/>
        <v>0</v>
      </c>
      <c r="BF18">
        <f t="shared" si="27"/>
        <v>0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</row>
    <row r="19" spans="1:256" s="201" customFormat="1" ht="14.25" x14ac:dyDescent="0.2">
      <c r="A19" s="10">
        <v>1509</v>
      </c>
      <c r="B19" s="11" t="s">
        <v>487</v>
      </c>
      <c r="C19" s="105" t="s">
        <v>488</v>
      </c>
      <c r="D19" s="11" t="s">
        <v>105</v>
      </c>
      <c r="E19" s="12">
        <v>8866</v>
      </c>
      <c r="F19" s="202">
        <v>56</v>
      </c>
      <c r="G19" s="11">
        <v>60000</v>
      </c>
      <c r="H19" s="116">
        <v>0</v>
      </c>
      <c r="I19" s="192"/>
      <c r="J19" s="204"/>
      <c r="K19" s="193"/>
      <c r="L19" s="193"/>
      <c r="M19" s="193"/>
      <c r="N19" s="203">
        <f t="shared" si="0"/>
        <v>60000</v>
      </c>
      <c r="O19" s="203">
        <f t="shared" si="1"/>
        <v>60000</v>
      </c>
      <c r="P19" s="203">
        <f t="shared" si="2"/>
        <v>60000</v>
      </c>
      <c r="Q19" s="214"/>
      <c r="R19" s="215"/>
      <c r="S19" s="218">
        <v>45638</v>
      </c>
      <c r="T19" s="205"/>
      <c r="U19" s="205"/>
      <c r="V19" s="216"/>
      <c r="W19" s="212"/>
      <c r="X19" s="10">
        <v>7</v>
      </c>
      <c r="Y19" s="10">
        <v>7</v>
      </c>
      <c r="Z19" s="213">
        <f t="shared" si="3"/>
        <v>60000</v>
      </c>
      <c r="AA19" s="62"/>
      <c r="AB19" s="62"/>
      <c r="AC19" s="62"/>
      <c r="AD19" s="62"/>
      <c r="AE19" s="62"/>
      <c r="AF19" s="63"/>
      <c r="AG19" s="64"/>
      <c r="AH19" s="6">
        <v>1</v>
      </c>
      <c r="AI19">
        <f t="shared" si="4"/>
        <v>25</v>
      </c>
      <c r="AJ19">
        <f t="shared" si="5"/>
        <v>25</v>
      </c>
      <c r="AK19">
        <f t="shared" si="6"/>
        <v>0</v>
      </c>
      <c r="AL19">
        <f t="shared" si="7"/>
        <v>0</v>
      </c>
      <c r="AM19">
        <f t="shared" si="8"/>
        <v>0</v>
      </c>
      <c r="AN19">
        <f t="shared" si="9"/>
        <v>0</v>
      </c>
      <c r="AO19">
        <f t="shared" si="10"/>
        <v>0</v>
      </c>
      <c r="AP19">
        <f t="shared" si="11"/>
        <v>0</v>
      </c>
      <c r="AQ19">
        <f t="shared" si="12"/>
        <v>0</v>
      </c>
      <c r="AR19">
        <f t="shared" si="13"/>
        <v>0</v>
      </c>
      <c r="AS19">
        <f t="shared" si="14"/>
        <v>0</v>
      </c>
      <c r="AT19">
        <f t="shared" si="15"/>
        <v>0</v>
      </c>
      <c r="AU19">
        <f t="shared" si="16"/>
        <v>1</v>
      </c>
      <c r="AV19">
        <f t="shared" si="17"/>
        <v>1</v>
      </c>
      <c r="AW19">
        <f t="shared" si="18"/>
        <v>1</v>
      </c>
      <c r="AX19">
        <f t="shared" si="19"/>
        <v>1</v>
      </c>
      <c r="AY19">
        <f t="shared" si="20"/>
        <v>60000</v>
      </c>
      <c r="AZ19">
        <f t="shared" si="21"/>
        <v>60000</v>
      </c>
      <c r="BA19">
        <f t="shared" si="22"/>
        <v>0</v>
      </c>
      <c r="BB19">
        <f t="shared" si="23"/>
        <v>0</v>
      </c>
      <c r="BC19">
        <f t="shared" si="24"/>
        <v>0</v>
      </c>
      <c r="BD19">
        <f t="shared" si="25"/>
        <v>0</v>
      </c>
      <c r="BE19">
        <f t="shared" si="26"/>
        <v>0</v>
      </c>
      <c r="BF19">
        <f t="shared" si="27"/>
        <v>0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 s="201" customFormat="1" ht="14.25" x14ac:dyDescent="0.2">
      <c r="A20" s="10">
        <v>1526</v>
      </c>
      <c r="B20" s="11" t="s">
        <v>245</v>
      </c>
      <c r="C20" s="105" t="s">
        <v>246</v>
      </c>
      <c r="D20" s="11" t="s">
        <v>233</v>
      </c>
      <c r="E20" s="12">
        <v>9557</v>
      </c>
      <c r="F20" s="202">
        <v>55</v>
      </c>
      <c r="G20" s="11">
        <v>30000</v>
      </c>
      <c r="H20" s="116">
        <v>-70700</v>
      </c>
      <c r="I20" s="192"/>
      <c r="J20" s="204"/>
      <c r="K20" s="193"/>
      <c r="L20" s="193"/>
      <c r="M20" s="193"/>
      <c r="N20" s="203">
        <f t="shared" si="0"/>
        <v>30000</v>
      </c>
      <c r="O20" s="203">
        <f t="shared" si="1"/>
        <v>-40700</v>
      </c>
      <c r="P20" s="203">
        <f t="shared" si="2"/>
        <v>0</v>
      </c>
      <c r="Q20" s="214"/>
      <c r="R20" s="215"/>
      <c r="S20" s="218">
        <v>45640</v>
      </c>
      <c r="T20" s="205"/>
      <c r="U20" s="205"/>
      <c r="V20" s="216"/>
      <c r="W20" s="212"/>
      <c r="X20" s="10">
        <v>7</v>
      </c>
      <c r="Y20" s="10">
        <v>7</v>
      </c>
      <c r="Z20" s="213">
        <f t="shared" si="3"/>
        <v>30000</v>
      </c>
      <c r="AA20" s="62"/>
      <c r="AB20" s="62"/>
      <c r="AC20" s="62"/>
      <c r="AD20" s="62"/>
      <c r="AE20" s="62"/>
      <c r="AF20" s="63"/>
      <c r="AG20" s="64"/>
      <c r="AH20" s="6">
        <v>1</v>
      </c>
      <c r="AI20">
        <f t="shared" si="4"/>
        <v>25</v>
      </c>
      <c r="AJ20">
        <f t="shared" si="5"/>
        <v>25</v>
      </c>
      <c r="AK20">
        <f t="shared" si="6"/>
        <v>0</v>
      </c>
      <c r="AL20">
        <f t="shared" si="7"/>
        <v>0</v>
      </c>
      <c r="AM20">
        <f t="shared" si="8"/>
        <v>0</v>
      </c>
      <c r="AN20">
        <f t="shared" si="9"/>
        <v>0</v>
      </c>
      <c r="AO20">
        <f t="shared" si="10"/>
        <v>0</v>
      </c>
      <c r="AP20">
        <f t="shared" si="11"/>
        <v>0</v>
      </c>
      <c r="AQ20">
        <f t="shared" si="12"/>
        <v>0</v>
      </c>
      <c r="AR20">
        <f t="shared" si="13"/>
        <v>0</v>
      </c>
      <c r="AS20">
        <f t="shared" si="14"/>
        <v>0</v>
      </c>
      <c r="AT20">
        <f t="shared" si="15"/>
        <v>0</v>
      </c>
      <c r="AU20">
        <f t="shared" si="16"/>
        <v>0</v>
      </c>
      <c r="AV20">
        <f t="shared" si="17"/>
        <v>0</v>
      </c>
      <c r="AW20">
        <f t="shared" si="18"/>
        <v>0</v>
      </c>
      <c r="AX20">
        <f t="shared" si="19"/>
        <v>0</v>
      </c>
      <c r="AY20">
        <f t="shared" si="20"/>
        <v>0</v>
      </c>
      <c r="AZ20">
        <f t="shared" si="21"/>
        <v>0</v>
      </c>
      <c r="BA20">
        <f t="shared" si="22"/>
        <v>0</v>
      </c>
      <c r="BB20">
        <f t="shared" si="23"/>
        <v>0</v>
      </c>
      <c r="BC20">
        <f t="shared" si="24"/>
        <v>0</v>
      </c>
      <c r="BD20">
        <f t="shared" si="25"/>
        <v>0</v>
      </c>
      <c r="BE20">
        <f t="shared" si="26"/>
        <v>0</v>
      </c>
      <c r="BF20">
        <f t="shared" si="27"/>
        <v>0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201" customFormat="1" ht="14.25" x14ac:dyDescent="0.2">
      <c r="A21" s="10">
        <v>1589</v>
      </c>
      <c r="B21" s="11" t="s">
        <v>247</v>
      </c>
      <c r="C21" s="105" t="s">
        <v>248</v>
      </c>
      <c r="D21" s="11" t="s">
        <v>105</v>
      </c>
      <c r="E21" s="12">
        <v>9614</v>
      </c>
      <c r="F21" s="202">
        <v>55</v>
      </c>
      <c r="G21" s="11">
        <v>30000</v>
      </c>
      <c r="H21" s="116">
        <v>-29000</v>
      </c>
      <c r="I21" s="192"/>
      <c r="J21" s="204"/>
      <c r="K21" s="193"/>
      <c r="L21" s="193"/>
      <c r="M21" s="193"/>
      <c r="N21" s="203">
        <f t="shared" si="0"/>
        <v>30000</v>
      </c>
      <c r="O21" s="203">
        <f t="shared" si="1"/>
        <v>1000</v>
      </c>
      <c r="P21" s="203">
        <f t="shared" si="2"/>
        <v>1000</v>
      </c>
      <c r="Q21" s="214"/>
      <c r="R21" s="215"/>
      <c r="S21" s="218">
        <v>45645</v>
      </c>
      <c r="T21" s="205"/>
      <c r="U21" s="205"/>
      <c r="V21" s="216"/>
      <c r="W21" s="212"/>
      <c r="X21" s="10">
        <v>7</v>
      </c>
      <c r="Y21" s="10">
        <v>7</v>
      </c>
      <c r="Z21" s="213">
        <f t="shared" si="3"/>
        <v>30000</v>
      </c>
      <c r="AA21" s="62"/>
      <c r="AB21" s="62"/>
      <c r="AC21" s="62"/>
      <c r="AD21" s="62"/>
      <c r="AE21" s="62"/>
      <c r="AF21" s="63"/>
      <c r="AG21" s="64"/>
      <c r="AH21" s="6">
        <v>1</v>
      </c>
      <c r="AI21">
        <f t="shared" si="4"/>
        <v>25</v>
      </c>
      <c r="AJ21">
        <f t="shared" si="5"/>
        <v>25</v>
      </c>
      <c r="AK21">
        <f t="shared" si="6"/>
        <v>0</v>
      </c>
      <c r="AL21">
        <f t="shared" si="7"/>
        <v>0</v>
      </c>
      <c r="AM21">
        <f t="shared" si="8"/>
        <v>0</v>
      </c>
      <c r="AN21">
        <f t="shared" si="9"/>
        <v>0</v>
      </c>
      <c r="AO21">
        <f t="shared" si="10"/>
        <v>0</v>
      </c>
      <c r="AP21">
        <f t="shared" si="11"/>
        <v>0</v>
      </c>
      <c r="AQ21">
        <f t="shared" si="12"/>
        <v>0</v>
      </c>
      <c r="AR21">
        <f t="shared" si="13"/>
        <v>0</v>
      </c>
      <c r="AS21">
        <f t="shared" si="14"/>
        <v>0</v>
      </c>
      <c r="AT21">
        <f t="shared" si="15"/>
        <v>0</v>
      </c>
      <c r="AU21">
        <f t="shared" si="16"/>
        <v>1</v>
      </c>
      <c r="AV21">
        <f t="shared" si="17"/>
        <v>1</v>
      </c>
      <c r="AW21">
        <f t="shared" si="18"/>
        <v>1</v>
      </c>
      <c r="AX21">
        <f t="shared" si="19"/>
        <v>1</v>
      </c>
      <c r="AY21">
        <f t="shared" si="20"/>
        <v>1000</v>
      </c>
      <c r="AZ21">
        <f t="shared" si="21"/>
        <v>1000</v>
      </c>
      <c r="BA21">
        <f t="shared" si="22"/>
        <v>0</v>
      </c>
      <c r="BB21">
        <f t="shared" si="23"/>
        <v>0</v>
      </c>
      <c r="BC21">
        <f t="shared" si="24"/>
        <v>0</v>
      </c>
      <c r="BD21">
        <f t="shared" si="25"/>
        <v>0</v>
      </c>
      <c r="BE21">
        <f t="shared" si="26"/>
        <v>0</v>
      </c>
      <c r="BF21">
        <f t="shared" si="27"/>
        <v>0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</row>
    <row r="22" spans="1:256" s="201" customFormat="1" ht="14.25" x14ac:dyDescent="0.2">
      <c r="A22" s="10">
        <v>1597</v>
      </c>
      <c r="B22" s="11" t="s">
        <v>489</v>
      </c>
      <c r="C22" s="105" t="s">
        <v>490</v>
      </c>
      <c r="D22" s="11" t="s">
        <v>105</v>
      </c>
      <c r="E22" s="12">
        <v>9625</v>
      </c>
      <c r="F22" s="202">
        <v>54</v>
      </c>
      <c r="G22" s="11">
        <v>60000</v>
      </c>
      <c r="H22" s="116">
        <v>-3500</v>
      </c>
      <c r="I22" s="192"/>
      <c r="J22" s="204"/>
      <c r="K22" s="193"/>
      <c r="L22" s="193"/>
      <c r="M22" s="193"/>
      <c r="N22" s="203">
        <f t="shared" si="0"/>
        <v>60000</v>
      </c>
      <c r="O22" s="203">
        <f t="shared" si="1"/>
        <v>56500</v>
      </c>
      <c r="P22" s="203">
        <f t="shared" si="2"/>
        <v>56500</v>
      </c>
      <c r="Q22" s="214"/>
      <c r="R22" s="215"/>
      <c r="S22" s="218">
        <v>45656</v>
      </c>
      <c r="T22" s="205"/>
      <c r="U22" s="205"/>
      <c r="V22" s="216"/>
      <c r="W22" s="212"/>
      <c r="X22" s="10">
        <v>7</v>
      </c>
      <c r="Y22" s="10">
        <v>7</v>
      </c>
      <c r="Z22" s="213">
        <f t="shared" si="3"/>
        <v>60000</v>
      </c>
      <c r="AA22" s="62"/>
      <c r="AB22" s="62"/>
      <c r="AC22" s="62"/>
      <c r="AD22" s="62"/>
      <c r="AE22" s="62"/>
      <c r="AF22" s="63"/>
      <c r="AG22" s="64"/>
      <c r="AH22" s="6">
        <v>1</v>
      </c>
      <c r="AI22">
        <f t="shared" si="4"/>
        <v>25</v>
      </c>
      <c r="AJ22">
        <f t="shared" si="5"/>
        <v>25</v>
      </c>
      <c r="AK22">
        <f t="shared" si="6"/>
        <v>0</v>
      </c>
      <c r="AL22">
        <f t="shared" si="7"/>
        <v>0</v>
      </c>
      <c r="AM22">
        <f t="shared" si="8"/>
        <v>0</v>
      </c>
      <c r="AN22">
        <f t="shared" si="9"/>
        <v>0</v>
      </c>
      <c r="AO22">
        <f t="shared" si="10"/>
        <v>0</v>
      </c>
      <c r="AP22">
        <f t="shared" si="11"/>
        <v>0</v>
      </c>
      <c r="AQ22">
        <f t="shared" si="12"/>
        <v>0</v>
      </c>
      <c r="AR22">
        <f t="shared" si="13"/>
        <v>0</v>
      </c>
      <c r="AS22">
        <f t="shared" si="14"/>
        <v>0</v>
      </c>
      <c r="AT22">
        <f t="shared" si="15"/>
        <v>0</v>
      </c>
      <c r="AU22">
        <f t="shared" si="16"/>
        <v>1</v>
      </c>
      <c r="AV22">
        <f t="shared" si="17"/>
        <v>1</v>
      </c>
      <c r="AW22">
        <f t="shared" si="18"/>
        <v>1</v>
      </c>
      <c r="AX22">
        <f t="shared" si="19"/>
        <v>1</v>
      </c>
      <c r="AY22">
        <f t="shared" si="20"/>
        <v>56500</v>
      </c>
      <c r="AZ22">
        <f t="shared" si="21"/>
        <v>56500</v>
      </c>
      <c r="BA22">
        <f t="shared" si="22"/>
        <v>0</v>
      </c>
      <c r="BB22">
        <f t="shared" si="23"/>
        <v>0</v>
      </c>
      <c r="BC22">
        <f t="shared" si="24"/>
        <v>0</v>
      </c>
      <c r="BD22">
        <f t="shared" si="25"/>
        <v>0</v>
      </c>
      <c r="BE22">
        <f t="shared" si="26"/>
        <v>0</v>
      </c>
      <c r="BF22">
        <f t="shared" si="27"/>
        <v>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s="201" customFormat="1" ht="14.25" x14ac:dyDescent="0.2">
      <c r="A23" s="10">
        <v>1601</v>
      </c>
      <c r="B23" s="11" t="s">
        <v>491</v>
      </c>
      <c r="C23" s="105" t="s">
        <v>492</v>
      </c>
      <c r="D23" s="11" t="s">
        <v>173</v>
      </c>
      <c r="E23" s="12">
        <v>9594</v>
      </c>
      <c r="F23" s="202">
        <v>54</v>
      </c>
      <c r="G23" s="11">
        <v>60000</v>
      </c>
      <c r="H23" s="116">
        <v>0</v>
      </c>
      <c r="I23" s="192"/>
      <c r="J23" s="204"/>
      <c r="K23" s="193"/>
      <c r="L23" s="193"/>
      <c r="M23" s="193"/>
      <c r="N23" s="203">
        <f t="shared" si="0"/>
        <v>60000</v>
      </c>
      <c r="O23" s="203">
        <f t="shared" si="1"/>
        <v>60000</v>
      </c>
      <c r="P23" s="203">
        <f t="shared" si="2"/>
        <v>60000</v>
      </c>
      <c r="Q23" s="214">
        <v>45660</v>
      </c>
      <c r="R23" s="215"/>
      <c r="S23" s="218">
        <v>45632</v>
      </c>
      <c r="T23" s="205"/>
      <c r="U23" s="205"/>
      <c r="V23" s="216" t="s">
        <v>1131</v>
      </c>
      <c r="W23" s="212"/>
      <c r="X23" s="10">
        <v>7</v>
      </c>
      <c r="Y23" s="10">
        <v>7</v>
      </c>
      <c r="Z23" s="213">
        <f t="shared" si="3"/>
        <v>60000</v>
      </c>
      <c r="AA23" s="62"/>
      <c r="AB23" s="62"/>
      <c r="AC23" s="62"/>
      <c r="AD23" s="62"/>
      <c r="AE23" s="62"/>
      <c r="AF23" s="63"/>
      <c r="AG23" s="64"/>
      <c r="AH23" s="6">
        <v>1</v>
      </c>
      <c r="AI23">
        <f t="shared" si="4"/>
        <v>25</v>
      </c>
      <c r="AJ23">
        <f t="shared" si="5"/>
        <v>25</v>
      </c>
      <c r="AK23">
        <f t="shared" si="6"/>
        <v>0</v>
      </c>
      <c r="AL23">
        <f t="shared" si="7"/>
        <v>0</v>
      </c>
      <c r="AM23">
        <f t="shared" si="8"/>
        <v>0</v>
      </c>
      <c r="AN23">
        <f t="shared" si="9"/>
        <v>0</v>
      </c>
      <c r="AO23">
        <f t="shared" si="10"/>
        <v>0</v>
      </c>
      <c r="AP23">
        <f t="shared" si="11"/>
        <v>0</v>
      </c>
      <c r="AQ23">
        <f t="shared" si="12"/>
        <v>0</v>
      </c>
      <c r="AR23">
        <f t="shared" si="13"/>
        <v>0</v>
      </c>
      <c r="AS23">
        <f t="shared" si="14"/>
        <v>0</v>
      </c>
      <c r="AT23">
        <f t="shared" si="15"/>
        <v>0</v>
      </c>
      <c r="AU23">
        <f t="shared" si="16"/>
        <v>1</v>
      </c>
      <c r="AV23">
        <f t="shared" si="17"/>
        <v>1</v>
      </c>
      <c r="AW23">
        <f t="shared" si="18"/>
        <v>1</v>
      </c>
      <c r="AX23">
        <f t="shared" si="19"/>
        <v>1</v>
      </c>
      <c r="AY23">
        <f t="shared" si="20"/>
        <v>60000</v>
      </c>
      <c r="AZ23">
        <f t="shared" si="21"/>
        <v>60000</v>
      </c>
      <c r="BA23">
        <f t="shared" si="22"/>
        <v>0</v>
      </c>
      <c r="BB23">
        <f t="shared" si="23"/>
        <v>0</v>
      </c>
      <c r="BC23">
        <f t="shared" si="24"/>
        <v>0</v>
      </c>
      <c r="BD23">
        <f t="shared" si="25"/>
        <v>0</v>
      </c>
      <c r="BE23">
        <f t="shared" si="26"/>
        <v>0</v>
      </c>
      <c r="BF23">
        <f t="shared" si="27"/>
        <v>0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 s="201" customFormat="1" ht="14.25" x14ac:dyDescent="0.2">
      <c r="A24" s="10">
        <v>1647</v>
      </c>
      <c r="B24" s="11" t="s">
        <v>222</v>
      </c>
      <c r="C24" s="105" t="s">
        <v>223</v>
      </c>
      <c r="D24" s="11" t="s">
        <v>190</v>
      </c>
      <c r="E24" s="12">
        <v>9624</v>
      </c>
      <c r="F24" s="202">
        <v>54</v>
      </c>
      <c r="G24" s="11">
        <v>30000</v>
      </c>
      <c r="H24" s="116">
        <v>0</v>
      </c>
      <c r="I24" s="192"/>
      <c r="J24" s="204"/>
      <c r="K24" s="193"/>
      <c r="L24" s="193"/>
      <c r="M24" s="193"/>
      <c r="N24" s="203">
        <f t="shared" si="0"/>
        <v>30000</v>
      </c>
      <c r="O24" s="203">
        <f t="shared" si="1"/>
        <v>30000</v>
      </c>
      <c r="P24" s="203">
        <f t="shared" si="2"/>
        <v>30000</v>
      </c>
      <c r="Q24" s="214"/>
      <c r="R24" s="215"/>
      <c r="S24" s="218">
        <v>45654</v>
      </c>
      <c r="T24" s="205"/>
      <c r="U24" s="205"/>
      <c r="V24" s="216"/>
      <c r="W24" s="212"/>
      <c r="X24" s="10">
        <v>7</v>
      </c>
      <c r="Y24" s="10">
        <v>7</v>
      </c>
      <c r="Z24" s="213">
        <f t="shared" si="3"/>
        <v>30000</v>
      </c>
      <c r="AA24" s="62"/>
      <c r="AB24" s="62"/>
      <c r="AC24" s="62"/>
      <c r="AD24" s="62"/>
      <c r="AE24" s="62"/>
      <c r="AF24" s="63"/>
      <c r="AG24" s="64"/>
      <c r="AH24" s="6">
        <v>1</v>
      </c>
      <c r="AI24">
        <f t="shared" si="4"/>
        <v>25</v>
      </c>
      <c r="AJ24">
        <f t="shared" si="5"/>
        <v>25</v>
      </c>
      <c r="AK24">
        <f t="shared" si="6"/>
        <v>0</v>
      </c>
      <c r="AL24">
        <f t="shared" si="7"/>
        <v>0</v>
      </c>
      <c r="AM24">
        <f t="shared" si="8"/>
        <v>0</v>
      </c>
      <c r="AN24">
        <f t="shared" si="9"/>
        <v>0</v>
      </c>
      <c r="AO24">
        <f t="shared" si="10"/>
        <v>0</v>
      </c>
      <c r="AP24">
        <f t="shared" si="11"/>
        <v>0</v>
      </c>
      <c r="AQ24">
        <f t="shared" si="12"/>
        <v>0</v>
      </c>
      <c r="AR24">
        <f t="shared" si="13"/>
        <v>0</v>
      </c>
      <c r="AS24">
        <f t="shared" si="14"/>
        <v>0</v>
      </c>
      <c r="AT24">
        <f t="shared" si="15"/>
        <v>0</v>
      </c>
      <c r="AU24">
        <f t="shared" si="16"/>
        <v>1</v>
      </c>
      <c r="AV24">
        <f t="shared" si="17"/>
        <v>1</v>
      </c>
      <c r="AW24">
        <f t="shared" si="18"/>
        <v>1</v>
      </c>
      <c r="AX24">
        <f t="shared" si="19"/>
        <v>1</v>
      </c>
      <c r="AY24">
        <f t="shared" si="20"/>
        <v>30000</v>
      </c>
      <c r="AZ24">
        <f t="shared" si="21"/>
        <v>30000</v>
      </c>
      <c r="BA24">
        <f t="shared" si="22"/>
        <v>0</v>
      </c>
      <c r="BB24">
        <f t="shared" si="23"/>
        <v>0</v>
      </c>
      <c r="BC24">
        <f t="shared" si="24"/>
        <v>0</v>
      </c>
      <c r="BD24">
        <f t="shared" si="25"/>
        <v>0</v>
      </c>
      <c r="BE24">
        <f t="shared" si="26"/>
        <v>0</v>
      </c>
      <c r="BF24">
        <f t="shared" si="27"/>
        <v>0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s="201" customFormat="1" ht="14.25" x14ac:dyDescent="0.2">
      <c r="A25" s="10">
        <v>1671</v>
      </c>
      <c r="B25" s="11" t="s">
        <v>224</v>
      </c>
      <c r="C25" s="105" t="s">
        <v>225</v>
      </c>
      <c r="D25" s="11" t="s">
        <v>105</v>
      </c>
      <c r="E25" s="12">
        <v>9740</v>
      </c>
      <c r="F25" s="202">
        <v>54</v>
      </c>
      <c r="G25" s="11">
        <v>30000</v>
      </c>
      <c r="H25" s="116">
        <v>-32000</v>
      </c>
      <c r="I25" s="192"/>
      <c r="J25" s="204"/>
      <c r="K25" s="193"/>
      <c r="L25" s="193"/>
      <c r="M25" s="193"/>
      <c r="N25" s="203">
        <f t="shared" si="0"/>
        <v>30000</v>
      </c>
      <c r="O25" s="203">
        <f t="shared" si="1"/>
        <v>-2000</v>
      </c>
      <c r="P25" s="203">
        <f t="shared" si="2"/>
        <v>0</v>
      </c>
      <c r="Q25" s="214"/>
      <c r="R25" s="215"/>
      <c r="S25" s="218">
        <v>45656</v>
      </c>
      <c r="T25" s="205"/>
      <c r="U25" s="205"/>
      <c r="V25" s="216"/>
      <c r="W25" s="212"/>
      <c r="X25" s="10">
        <v>7</v>
      </c>
      <c r="Y25" s="10">
        <v>7</v>
      </c>
      <c r="Z25" s="213">
        <f t="shared" si="3"/>
        <v>30000</v>
      </c>
      <c r="AA25" s="62"/>
      <c r="AB25" s="62"/>
      <c r="AC25" s="62"/>
      <c r="AD25" s="62"/>
      <c r="AE25" s="62"/>
      <c r="AF25" s="63"/>
      <c r="AG25" s="64"/>
      <c r="AH25" s="6">
        <v>1</v>
      </c>
      <c r="AI25">
        <f t="shared" si="4"/>
        <v>25</v>
      </c>
      <c r="AJ25">
        <f t="shared" si="5"/>
        <v>25</v>
      </c>
      <c r="AK25">
        <f t="shared" si="6"/>
        <v>0</v>
      </c>
      <c r="AL25">
        <f t="shared" si="7"/>
        <v>0</v>
      </c>
      <c r="AM25">
        <f t="shared" si="8"/>
        <v>0</v>
      </c>
      <c r="AN25">
        <f t="shared" si="9"/>
        <v>0</v>
      </c>
      <c r="AO25">
        <f t="shared" si="10"/>
        <v>0</v>
      </c>
      <c r="AP25">
        <f t="shared" si="11"/>
        <v>0</v>
      </c>
      <c r="AQ25">
        <f t="shared" si="12"/>
        <v>0</v>
      </c>
      <c r="AR25">
        <f t="shared" si="13"/>
        <v>0</v>
      </c>
      <c r="AS25">
        <f t="shared" si="14"/>
        <v>0</v>
      </c>
      <c r="AT25">
        <f t="shared" si="15"/>
        <v>0</v>
      </c>
      <c r="AU25">
        <f t="shared" si="16"/>
        <v>0</v>
      </c>
      <c r="AV25">
        <f t="shared" si="17"/>
        <v>0</v>
      </c>
      <c r="AW25">
        <f t="shared" si="18"/>
        <v>0</v>
      </c>
      <c r="AX25">
        <f t="shared" si="19"/>
        <v>0</v>
      </c>
      <c r="AY25">
        <f t="shared" si="20"/>
        <v>0</v>
      </c>
      <c r="AZ25">
        <f t="shared" si="21"/>
        <v>0</v>
      </c>
      <c r="BA25">
        <f t="shared" si="22"/>
        <v>0</v>
      </c>
      <c r="BB25">
        <f t="shared" si="23"/>
        <v>0</v>
      </c>
      <c r="BC25">
        <f t="shared" si="24"/>
        <v>0</v>
      </c>
      <c r="BD25">
        <f t="shared" si="25"/>
        <v>0</v>
      </c>
      <c r="BE25">
        <f t="shared" si="26"/>
        <v>0</v>
      </c>
      <c r="BF25">
        <f t="shared" si="27"/>
        <v>0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 s="201" customFormat="1" ht="14.25" x14ac:dyDescent="0.2">
      <c r="A26" s="10">
        <v>1673</v>
      </c>
      <c r="B26" s="11" t="s">
        <v>493</v>
      </c>
      <c r="C26" s="105" t="s">
        <v>494</v>
      </c>
      <c r="D26" s="11" t="s">
        <v>106</v>
      </c>
      <c r="E26" s="12">
        <v>9762</v>
      </c>
      <c r="F26" s="202">
        <v>54</v>
      </c>
      <c r="G26" s="11">
        <v>60000</v>
      </c>
      <c r="H26" s="116">
        <v>-145000</v>
      </c>
      <c r="I26" s="192"/>
      <c r="J26" s="204"/>
      <c r="K26" s="193"/>
      <c r="L26" s="193"/>
      <c r="M26" s="193"/>
      <c r="N26" s="203">
        <f t="shared" si="0"/>
        <v>60000</v>
      </c>
      <c r="O26" s="203">
        <f t="shared" si="1"/>
        <v>-85000</v>
      </c>
      <c r="P26" s="203">
        <f t="shared" si="2"/>
        <v>0</v>
      </c>
      <c r="Q26" s="214"/>
      <c r="R26" s="215"/>
      <c r="S26" s="218">
        <v>45635</v>
      </c>
      <c r="T26" s="205"/>
      <c r="U26" s="205"/>
      <c r="V26" s="216"/>
      <c r="W26" s="212"/>
      <c r="X26" s="10">
        <v>7</v>
      </c>
      <c r="Y26" s="10">
        <v>7</v>
      </c>
      <c r="Z26" s="213">
        <f t="shared" si="3"/>
        <v>60000</v>
      </c>
      <c r="AA26" s="62"/>
      <c r="AB26" s="62"/>
      <c r="AC26" s="62"/>
      <c r="AD26" s="62"/>
      <c r="AE26" s="62"/>
      <c r="AF26" s="63"/>
      <c r="AG26" s="64"/>
      <c r="AH26" s="6">
        <v>1</v>
      </c>
      <c r="AI26">
        <f t="shared" si="4"/>
        <v>25</v>
      </c>
      <c r="AJ26">
        <f t="shared" si="5"/>
        <v>25</v>
      </c>
      <c r="AK26">
        <f t="shared" si="6"/>
        <v>0</v>
      </c>
      <c r="AL26">
        <f t="shared" si="7"/>
        <v>0</v>
      </c>
      <c r="AM26">
        <f t="shared" si="8"/>
        <v>0</v>
      </c>
      <c r="AN26">
        <f t="shared" si="9"/>
        <v>0</v>
      </c>
      <c r="AO26">
        <f t="shared" si="10"/>
        <v>0</v>
      </c>
      <c r="AP26">
        <f t="shared" si="11"/>
        <v>0</v>
      </c>
      <c r="AQ26">
        <f t="shared" si="12"/>
        <v>0</v>
      </c>
      <c r="AR26">
        <f t="shared" si="13"/>
        <v>0</v>
      </c>
      <c r="AS26">
        <f t="shared" si="14"/>
        <v>0</v>
      </c>
      <c r="AT26">
        <f t="shared" si="15"/>
        <v>0</v>
      </c>
      <c r="AU26">
        <f t="shared" si="16"/>
        <v>0</v>
      </c>
      <c r="AV26">
        <f t="shared" si="17"/>
        <v>0</v>
      </c>
      <c r="AW26">
        <f t="shared" si="18"/>
        <v>0</v>
      </c>
      <c r="AX26">
        <f t="shared" si="19"/>
        <v>0</v>
      </c>
      <c r="AY26">
        <f t="shared" si="20"/>
        <v>0</v>
      </c>
      <c r="AZ26">
        <f t="shared" si="21"/>
        <v>0</v>
      </c>
      <c r="BA26">
        <f t="shared" si="22"/>
        <v>0</v>
      </c>
      <c r="BB26">
        <f t="shared" si="23"/>
        <v>0</v>
      </c>
      <c r="BC26">
        <f t="shared" si="24"/>
        <v>0</v>
      </c>
      <c r="BD26">
        <f t="shared" si="25"/>
        <v>0</v>
      </c>
      <c r="BE26">
        <f t="shared" si="26"/>
        <v>0</v>
      </c>
      <c r="BF26">
        <f t="shared" si="27"/>
        <v>0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 s="201" customFormat="1" ht="14.25" x14ac:dyDescent="0.2">
      <c r="A27" s="10">
        <v>1762</v>
      </c>
      <c r="B27" s="11" t="s">
        <v>495</v>
      </c>
      <c r="C27" s="105" t="s">
        <v>496</v>
      </c>
      <c r="D27" s="11" t="s">
        <v>105</v>
      </c>
      <c r="E27" s="12">
        <v>9816</v>
      </c>
      <c r="F27" s="202">
        <v>52</v>
      </c>
      <c r="G27" s="11">
        <v>55000</v>
      </c>
      <c r="H27" s="116">
        <v>-29700</v>
      </c>
      <c r="I27" s="192"/>
      <c r="J27" s="204"/>
      <c r="K27" s="193"/>
      <c r="L27" s="193"/>
      <c r="M27" s="193"/>
      <c r="N27" s="203">
        <f t="shared" si="0"/>
        <v>55000</v>
      </c>
      <c r="O27" s="203">
        <f t="shared" si="1"/>
        <v>25300</v>
      </c>
      <c r="P27" s="203">
        <f t="shared" si="2"/>
        <v>25300</v>
      </c>
      <c r="Q27" s="214"/>
      <c r="R27" s="215"/>
      <c r="S27" s="218">
        <v>45632</v>
      </c>
      <c r="T27" s="205"/>
      <c r="U27" s="205"/>
      <c r="V27" s="216"/>
      <c r="W27" s="212"/>
      <c r="X27" s="10">
        <v>7</v>
      </c>
      <c r="Y27" s="10">
        <v>7</v>
      </c>
      <c r="Z27" s="213">
        <f t="shared" si="3"/>
        <v>55000</v>
      </c>
      <c r="AA27" s="62"/>
      <c r="AB27" s="62"/>
      <c r="AC27" s="62"/>
      <c r="AD27" s="62"/>
      <c r="AE27" s="62"/>
      <c r="AF27" s="63"/>
      <c r="AG27" s="64"/>
      <c r="AH27" s="6">
        <v>1</v>
      </c>
      <c r="AI27">
        <f t="shared" si="4"/>
        <v>25</v>
      </c>
      <c r="AJ27">
        <f t="shared" si="5"/>
        <v>25</v>
      </c>
      <c r="AK27">
        <f t="shared" si="6"/>
        <v>0</v>
      </c>
      <c r="AL27">
        <f t="shared" si="7"/>
        <v>0</v>
      </c>
      <c r="AM27">
        <f t="shared" si="8"/>
        <v>0</v>
      </c>
      <c r="AN27">
        <f t="shared" si="9"/>
        <v>0</v>
      </c>
      <c r="AO27">
        <f t="shared" si="10"/>
        <v>0</v>
      </c>
      <c r="AP27">
        <f t="shared" si="11"/>
        <v>0</v>
      </c>
      <c r="AQ27">
        <f t="shared" si="12"/>
        <v>0</v>
      </c>
      <c r="AR27">
        <f t="shared" si="13"/>
        <v>0</v>
      </c>
      <c r="AS27">
        <f t="shared" si="14"/>
        <v>0</v>
      </c>
      <c r="AT27">
        <f t="shared" si="15"/>
        <v>0</v>
      </c>
      <c r="AU27">
        <f t="shared" si="16"/>
        <v>1</v>
      </c>
      <c r="AV27">
        <f t="shared" si="17"/>
        <v>1</v>
      </c>
      <c r="AW27">
        <f t="shared" si="18"/>
        <v>1</v>
      </c>
      <c r="AX27">
        <f t="shared" si="19"/>
        <v>1</v>
      </c>
      <c r="AY27">
        <f t="shared" si="20"/>
        <v>25300</v>
      </c>
      <c r="AZ27">
        <f t="shared" si="21"/>
        <v>25300</v>
      </c>
      <c r="BA27">
        <f t="shared" si="22"/>
        <v>0</v>
      </c>
      <c r="BB27">
        <f t="shared" si="23"/>
        <v>0</v>
      </c>
      <c r="BC27">
        <f t="shared" si="24"/>
        <v>0</v>
      </c>
      <c r="BD27">
        <f t="shared" si="25"/>
        <v>0</v>
      </c>
      <c r="BE27">
        <f t="shared" si="26"/>
        <v>0</v>
      </c>
      <c r="BF27">
        <f t="shared" si="27"/>
        <v>0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 s="201" customFormat="1" ht="14.25" x14ac:dyDescent="0.2">
      <c r="A28" s="10">
        <v>1791</v>
      </c>
      <c r="B28" s="11" t="s">
        <v>497</v>
      </c>
      <c r="C28" s="105" t="s">
        <v>498</v>
      </c>
      <c r="D28" s="11" t="s">
        <v>157</v>
      </c>
      <c r="E28" s="12">
        <v>9908</v>
      </c>
      <c r="F28" s="202">
        <v>52</v>
      </c>
      <c r="G28" s="11">
        <v>60000</v>
      </c>
      <c r="H28" s="116">
        <v>-15000</v>
      </c>
      <c r="I28" s="192"/>
      <c r="J28" s="204"/>
      <c r="K28" s="193"/>
      <c r="L28" s="193"/>
      <c r="M28" s="193"/>
      <c r="N28" s="203">
        <f t="shared" si="0"/>
        <v>60000</v>
      </c>
      <c r="O28" s="203">
        <f t="shared" si="1"/>
        <v>45000</v>
      </c>
      <c r="P28" s="203">
        <f t="shared" si="2"/>
        <v>45000</v>
      </c>
      <c r="Q28" s="214"/>
      <c r="R28" s="215"/>
      <c r="S28" s="218">
        <v>45642</v>
      </c>
      <c r="T28" s="205"/>
      <c r="U28" s="205"/>
      <c r="V28" s="216"/>
      <c r="W28" s="212"/>
      <c r="X28" s="10">
        <v>7</v>
      </c>
      <c r="Y28" s="10">
        <v>7</v>
      </c>
      <c r="Z28" s="213">
        <f t="shared" si="3"/>
        <v>60000</v>
      </c>
      <c r="AA28" s="62"/>
      <c r="AB28" s="62"/>
      <c r="AC28" s="62"/>
      <c r="AD28" s="62"/>
      <c r="AE28" s="62"/>
      <c r="AF28" s="63"/>
      <c r="AG28" s="64"/>
      <c r="AH28" s="6">
        <v>1</v>
      </c>
      <c r="AI28">
        <f t="shared" si="4"/>
        <v>25</v>
      </c>
      <c r="AJ28">
        <f t="shared" si="5"/>
        <v>25</v>
      </c>
      <c r="AK28">
        <f t="shared" si="6"/>
        <v>0</v>
      </c>
      <c r="AL28">
        <f t="shared" si="7"/>
        <v>0</v>
      </c>
      <c r="AM28">
        <f t="shared" si="8"/>
        <v>0</v>
      </c>
      <c r="AN28">
        <f t="shared" si="9"/>
        <v>0</v>
      </c>
      <c r="AO28">
        <f t="shared" si="10"/>
        <v>0</v>
      </c>
      <c r="AP28">
        <f t="shared" si="11"/>
        <v>0</v>
      </c>
      <c r="AQ28">
        <f t="shared" si="12"/>
        <v>0</v>
      </c>
      <c r="AR28">
        <f t="shared" si="13"/>
        <v>0</v>
      </c>
      <c r="AS28">
        <f t="shared" si="14"/>
        <v>0</v>
      </c>
      <c r="AT28">
        <f t="shared" si="15"/>
        <v>0</v>
      </c>
      <c r="AU28">
        <f t="shared" si="16"/>
        <v>1</v>
      </c>
      <c r="AV28">
        <f t="shared" si="17"/>
        <v>1</v>
      </c>
      <c r="AW28">
        <f t="shared" si="18"/>
        <v>1</v>
      </c>
      <c r="AX28">
        <f t="shared" si="19"/>
        <v>1</v>
      </c>
      <c r="AY28">
        <f t="shared" si="20"/>
        <v>45000</v>
      </c>
      <c r="AZ28">
        <f t="shared" si="21"/>
        <v>45000</v>
      </c>
      <c r="BA28">
        <f t="shared" si="22"/>
        <v>0</v>
      </c>
      <c r="BB28">
        <f t="shared" si="23"/>
        <v>0</v>
      </c>
      <c r="BC28">
        <f t="shared" si="24"/>
        <v>0</v>
      </c>
      <c r="BD28">
        <f t="shared" si="25"/>
        <v>0</v>
      </c>
      <c r="BE28">
        <f t="shared" si="26"/>
        <v>0</v>
      </c>
      <c r="BF28">
        <f t="shared" si="27"/>
        <v>0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 s="201" customFormat="1" ht="14.25" x14ac:dyDescent="0.2">
      <c r="A29" s="10">
        <v>1829</v>
      </c>
      <c r="B29" s="11" t="s">
        <v>249</v>
      </c>
      <c r="C29" s="105" t="s">
        <v>250</v>
      </c>
      <c r="D29" s="11" t="s">
        <v>233</v>
      </c>
      <c r="E29" s="12">
        <v>9936</v>
      </c>
      <c r="F29" s="202">
        <v>51</v>
      </c>
      <c r="G29" s="11">
        <v>30000</v>
      </c>
      <c r="H29" s="116">
        <v>-5000</v>
      </c>
      <c r="I29" s="192"/>
      <c r="J29" s="204"/>
      <c r="K29" s="193"/>
      <c r="L29" s="193"/>
      <c r="M29" s="193"/>
      <c r="N29" s="203">
        <f t="shared" si="0"/>
        <v>30000</v>
      </c>
      <c r="O29" s="203">
        <f t="shared" si="1"/>
        <v>25000</v>
      </c>
      <c r="P29" s="203">
        <f t="shared" si="2"/>
        <v>25000</v>
      </c>
      <c r="Q29" s="214"/>
      <c r="R29" s="215"/>
      <c r="S29" s="218">
        <v>45638</v>
      </c>
      <c r="T29" s="205"/>
      <c r="U29" s="205"/>
      <c r="V29" s="216"/>
      <c r="W29" s="212"/>
      <c r="X29" s="10">
        <v>7</v>
      </c>
      <c r="Y29" s="10">
        <v>7</v>
      </c>
      <c r="Z29" s="213">
        <f t="shared" si="3"/>
        <v>30000</v>
      </c>
      <c r="AA29" s="62"/>
      <c r="AB29" s="62"/>
      <c r="AC29" s="62"/>
      <c r="AD29" s="62"/>
      <c r="AE29" s="62"/>
      <c r="AF29" s="63"/>
      <c r="AG29" s="64"/>
      <c r="AH29" s="6">
        <v>1</v>
      </c>
      <c r="AI29">
        <f t="shared" si="4"/>
        <v>25</v>
      </c>
      <c r="AJ29">
        <f t="shared" si="5"/>
        <v>25</v>
      </c>
      <c r="AK29">
        <f t="shared" si="6"/>
        <v>0</v>
      </c>
      <c r="AL29">
        <f t="shared" si="7"/>
        <v>0</v>
      </c>
      <c r="AM29">
        <f t="shared" si="8"/>
        <v>0</v>
      </c>
      <c r="AN29">
        <f t="shared" si="9"/>
        <v>0</v>
      </c>
      <c r="AO29">
        <f t="shared" si="10"/>
        <v>0</v>
      </c>
      <c r="AP29">
        <f t="shared" si="11"/>
        <v>0</v>
      </c>
      <c r="AQ29">
        <f t="shared" si="12"/>
        <v>0</v>
      </c>
      <c r="AR29">
        <f t="shared" si="13"/>
        <v>0</v>
      </c>
      <c r="AS29">
        <f t="shared" si="14"/>
        <v>0</v>
      </c>
      <c r="AT29">
        <f t="shared" si="15"/>
        <v>0</v>
      </c>
      <c r="AU29">
        <f t="shared" si="16"/>
        <v>1</v>
      </c>
      <c r="AV29">
        <f t="shared" si="17"/>
        <v>1</v>
      </c>
      <c r="AW29">
        <f t="shared" si="18"/>
        <v>1</v>
      </c>
      <c r="AX29">
        <f t="shared" si="19"/>
        <v>1</v>
      </c>
      <c r="AY29">
        <f t="shared" si="20"/>
        <v>25000</v>
      </c>
      <c r="AZ29">
        <f t="shared" si="21"/>
        <v>25000</v>
      </c>
      <c r="BA29">
        <f t="shared" si="22"/>
        <v>0</v>
      </c>
      <c r="BB29">
        <f t="shared" si="23"/>
        <v>0</v>
      </c>
      <c r="BC29">
        <f t="shared" si="24"/>
        <v>0</v>
      </c>
      <c r="BD29">
        <f t="shared" si="25"/>
        <v>0</v>
      </c>
      <c r="BE29">
        <f t="shared" si="26"/>
        <v>0</v>
      </c>
      <c r="BF29">
        <f t="shared" si="27"/>
        <v>0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s="201" customFormat="1" ht="14.25" x14ac:dyDescent="0.2">
      <c r="A30" s="10">
        <v>1870</v>
      </c>
      <c r="B30" s="11" t="s">
        <v>273</v>
      </c>
      <c r="C30" s="105" t="s">
        <v>274</v>
      </c>
      <c r="D30" s="11" t="s">
        <v>106</v>
      </c>
      <c r="E30" s="12">
        <v>9889</v>
      </c>
      <c r="F30" s="202">
        <v>50</v>
      </c>
      <c r="G30" s="11">
        <v>40000</v>
      </c>
      <c r="H30" s="116">
        <v>0</v>
      </c>
      <c r="I30" s="192"/>
      <c r="J30" s="204"/>
      <c r="K30" s="193"/>
      <c r="L30" s="193"/>
      <c r="M30" s="193"/>
      <c r="N30" s="203">
        <f t="shared" si="0"/>
        <v>40000</v>
      </c>
      <c r="O30" s="203">
        <f t="shared" si="1"/>
        <v>40000</v>
      </c>
      <c r="P30" s="203">
        <f t="shared" si="2"/>
        <v>40000</v>
      </c>
      <c r="Q30" s="214"/>
      <c r="R30" s="215"/>
      <c r="S30" s="218">
        <v>45632</v>
      </c>
      <c r="T30" s="205"/>
      <c r="U30" s="205"/>
      <c r="V30" s="216"/>
      <c r="W30" s="212"/>
      <c r="X30" s="10">
        <v>7</v>
      </c>
      <c r="Y30" s="10">
        <v>7</v>
      </c>
      <c r="Z30" s="213">
        <f t="shared" si="3"/>
        <v>40000</v>
      </c>
      <c r="AA30" s="62"/>
      <c r="AB30" s="62"/>
      <c r="AC30" s="62"/>
      <c r="AD30" s="62"/>
      <c r="AE30" s="62"/>
      <c r="AF30" s="63"/>
      <c r="AG30" s="64"/>
      <c r="AH30" s="6">
        <v>1</v>
      </c>
      <c r="AI30">
        <f t="shared" si="4"/>
        <v>25</v>
      </c>
      <c r="AJ30">
        <f t="shared" si="5"/>
        <v>25</v>
      </c>
      <c r="AK30">
        <f t="shared" si="6"/>
        <v>0</v>
      </c>
      <c r="AL30">
        <f t="shared" si="7"/>
        <v>0</v>
      </c>
      <c r="AM30">
        <f t="shared" si="8"/>
        <v>0</v>
      </c>
      <c r="AN30">
        <f t="shared" si="9"/>
        <v>0</v>
      </c>
      <c r="AO30">
        <f t="shared" si="10"/>
        <v>0</v>
      </c>
      <c r="AP30">
        <f t="shared" si="11"/>
        <v>0</v>
      </c>
      <c r="AQ30">
        <f t="shared" si="12"/>
        <v>0</v>
      </c>
      <c r="AR30">
        <f t="shared" si="13"/>
        <v>0</v>
      </c>
      <c r="AS30">
        <f t="shared" si="14"/>
        <v>0</v>
      </c>
      <c r="AT30">
        <f t="shared" si="15"/>
        <v>0</v>
      </c>
      <c r="AU30">
        <f t="shared" si="16"/>
        <v>1</v>
      </c>
      <c r="AV30">
        <f t="shared" si="17"/>
        <v>1</v>
      </c>
      <c r="AW30">
        <f t="shared" si="18"/>
        <v>1</v>
      </c>
      <c r="AX30">
        <f t="shared" si="19"/>
        <v>1</v>
      </c>
      <c r="AY30">
        <f t="shared" si="20"/>
        <v>40000</v>
      </c>
      <c r="AZ30">
        <f t="shared" si="21"/>
        <v>40000</v>
      </c>
      <c r="BA30">
        <f t="shared" si="22"/>
        <v>0</v>
      </c>
      <c r="BB30">
        <f t="shared" si="23"/>
        <v>0</v>
      </c>
      <c r="BC30">
        <f t="shared" si="24"/>
        <v>0</v>
      </c>
      <c r="BD30">
        <f t="shared" si="25"/>
        <v>0</v>
      </c>
      <c r="BE30">
        <f t="shared" si="26"/>
        <v>0</v>
      </c>
      <c r="BF30">
        <f t="shared" si="27"/>
        <v>0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s="201" customFormat="1" ht="14.25" x14ac:dyDescent="0.2">
      <c r="A31" s="10">
        <v>1871</v>
      </c>
      <c r="B31" s="11" t="s">
        <v>226</v>
      </c>
      <c r="C31" s="105" t="s">
        <v>227</v>
      </c>
      <c r="D31" s="11" t="s">
        <v>221</v>
      </c>
      <c r="E31" s="12">
        <v>9891</v>
      </c>
      <c r="F31" s="202">
        <v>50</v>
      </c>
      <c r="G31" s="11">
        <v>35000</v>
      </c>
      <c r="H31" s="116">
        <v>0</v>
      </c>
      <c r="I31" s="192"/>
      <c r="J31" s="204"/>
      <c r="K31" s="193"/>
      <c r="L31" s="193"/>
      <c r="M31" s="193"/>
      <c r="N31" s="203">
        <f t="shared" si="0"/>
        <v>35000</v>
      </c>
      <c r="O31" s="203">
        <f t="shared" si="1"/>
        <v>35000</v>
      </c>
      <c r="P31" s="203">
        <f t="shared" si="2"/>
        <v>35000</v>
      </c>
      <c r="Q31" s="214"/>
      <c r="R31" s="215"/>
      <c r="S31" s="218">
        <v>45649</v>
      </c>
      <c r="T31" s="205"/>
      <c r="U31" s="205"/>
      <c r="V31" s="216"/>
      <c r="W31" s="212"/>
      <c r="X31" s="10">
        <v>7</v>
      </c>
      <c r="Y31" s="10">
        <v>7</v>
      </c>
      <c r="Z31" s="213">
        <f t="shared" si="3"/>
        <v>35000</v>
      </c>
      <c r="AA31" s="62"/>
      <c r="AB31" s="62"/>
      <c r="AC31" s="62"/>
      <c r="AD31" s="62"/>
      <c r="AE31" s="62"/>
      <c r="AF31" s="63"/>
      <c r="AG31" s="64"/>
      <c r="AH31" s="6">
        <v>1</v>
      </c>
      <c r="AI31">
        <f t="shared" si="4"/>
        <v>25</v>
      </c>
      <c r="AJ31">
        <f t="shared" si="5"/>
        <v>25</v>
      </c>
      <c r="AK31">
        <f t="shared" si="6"/>
        <v>0</v>
      </c>
      <c r="AL31">
        <f t="shared" si="7"/>
        <v>0</v>
      </c>
      <c r="AM31">
        <f t="shared" si="8"/>
        <v>0</v>
      </c>
      <c r="AN31">
        <f t="shared" si="9"/>
        <v>0</v>
      </c>
      <c r="AO31">
        <f t="shared" si="10"/>
        <v>0</v>
      </c>
      <c r="AP31">
        <f t="shared" si="11"/>
        <v>0</v>
      </c>
      <c r="AQ31">
        <f t="shared" si="12"/>
        <v>0</v>
      </c>
      <c r="AR31">
        <f t="shared" si="13"/>
        <v>0</v>
      </c>
      <c r="AS31">
        <f t="shared" si="14"/>
        <v>0</v>
      </c>
      <c r="AT31">
        <f t="shared" si="15"/>
        <v>0</v>
      </c>
      <c r="AU31">
        <f t="shared" si="16"/>
        <v>1</v>
      </c>
      <c r="AV31">
        <f t="shared" si="17"/>
        <v>1</v>
      </c>
      <c r="AW31">
        <f t="shared" si="18"/>
        <v>1</v>
      </c>
      <c r="AX31">
        <f t="shared" si="19"/>
        <v>1</v>
      </c>
      <c r="AY31">
        <f t="shared" si="20"/>
        <v>35000</v>
      </c>
      <c r="AZ31">
        <f t="shared" si="21"/>
        <v>35000</v>
      </c>
      <c r="BA31">
        <f t="shared" si="22"/>
        <v>0</v>
      </c>
      <c r="BB31">
        <f t="shared" si="23"/>
        <v>0</v>
      </c>
      <c r="BC31">
        <f t="shared" si="24"/>
        <v>0</v>
      </c>
      <c r="BD31">
        <f t="shared" si="25"/>
        <v>0</v>
      </c>
      <c r="BE31">
        <f t="shared" si="26"/>
        <v>0</v>
      </c>
      <c r="BF31">
        <f t="shared" si="27"/>
        <v>0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 s="201" customFormat="1" ht="14.25" x14ac:dyDescent="0.2">
      <c r="A32" s="10">
        <v>1884</v>
      </c>
      <c r="B32" s="11" t="s">
        <v>499</v>
      </c>
      <c r="C32" s="105" t="s">
        <v>500</v>
      </c>
      <c r="D32" s="11" t="s">
        <v>220</v>
      </c>
      <c r="E32" s="12">
        <v>9959</v>
      </c>
      <c r="F32" s="202">
        <v>50</v>
      </c>
      <c r="G32" s="11">
        <v>55000</v>
      </c>
      <c r="H32" s="116">
        <v>-25500</v>
      </c>
      <c r="I32" s="192"/>
      <c r="J32" s="204"/>
      <c r="K32" s="193"/>
      <c r="L32" s="193"/>
      <c r="M32" s="193"/>
      <c r="N32" s="203">
        <f t="shared" si="0"/>
        <v>55000</v>
      </c>
      <c r="O32" s="203">
        <f t="shared" si="1"/>
        <v>29500</v>
      </c>
      <c r="P32" s="203">
        <f t="shared" si="2"/>
        <v>29500</v>
      </c>
      <c r="Q32" s="214">
        <v>45659</v>
      </c>
      <c r="R32" s="215"/>
      <c r="S32" s="218">
        <v>45635</v>
      </c>
      <c r="T32" s="205"/>
      <c r="U32" s="205"/>
      <c r="V32" s="216" t="s">
        <v>1131</v>
      </c>
      <c r="W32" s="212"/>
      <c r="X32" s="10">
        <v>7</v>
      </c>
      <c r="Y32" s="10">
        <v>7</v>
      </c>
      <c r="Z32" s="213">
        <f t="shared" si="3"/>
        <v>55000</v>
      </c>
      <c r="AA32" s="62"/>
      <c r="AB32" s="62"/>
      <c r="AC32" s="62"/>
      <c r="AD32" s="62"/>
      <c r="AE32" s="62"/>
      <c r="AF32" s="63"/>
      <c r="AG32" s="64"/>
      <c r="AH32" s="6">
        <v>1</v>
      </c>
      <c r="AI32">
        <f t="shared" si="4"/>
        <v>25</v>
      </c>
      <c r="AJ32">
        <f t="shared" si="5"/>
        <v>25</v>
      </c>
      <c r="AK32">
        <f t="shared" si="6"/>
        <v>0</v>
      </c>
      <c r="AL32">
        <f t="shared" si="7"/>
        <v>0</v>
      </c>
      <c r="AM32">
        <f t="shared" si="8"/>
        <v>0</v>
      </c>
      <c r="AN32">
        <f t="shared" si="9"/>
        <v>0</v>
      </c>
      <c r="AO32">
        <f t="shared" si="10"/>
        <v>0</v>
      </c>
      <c r="AP32">
        <f t="shared" si="11"/>
        <v>0</v>
      </c>
      <c r="AQ32">
        <f t="shared" si="12"/>
        <v>0</v>
      </c>
      <c r="AR32">
        <f t="shared" si="13"/>
        <v>0</v>
      </c>
      <c r="AS32">
        <f t="shared" si="14"/>
        <v>0</v>
      </c>
      <c r="AT32">
        <f t="shared" si="15"/>
        <v>0</v>
      </c>
      <c r="AU32">
        <f t="shared" si="16"/>
        <v>1</v>
      </c>
      <c r="AV32">
        <f t="shared" si="17"/>
        <v>1</v>
      </c>
      <c r="AW32">
        <f t="shared" si="18"/>
        <v>1</v>
      </c>
      <c r="AX32">
        <f t="shared" si="19"/>
        <v>1</v>
      </c>
      <c r="AY32">
        <f t="shared" si="20"/>
        <v>29500</v>
      </c>
      <c r="AZ32">
        <f t="shared" si="21"/>
        <v>29500</v>
      </c>
      <c r="BA32">
        <f t="shared" si="22"/>
        <v>0</v>
      </c>
      <c r="BB32">
        <f t="shared" si="23"/>
        <v>0</v>
      </c>
      <c r="BC32">
        <f t="shared" si="24"/>
        <v>0</v>
      </c>
      <c r="BD32">
        <f t="shared" si="25"/>
        <v>0</v>
      </c>
      <c r="BE32">
        <f t="shared" si="26"/>
        <v>0</v>
      </c>
      <c r="BF32">
        <f t="shared" si="27"/>
        <v>0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201" customFormat="1" ht="14.25" x14ac:dyDescent="0.2">
      <c r="A33" s="10">
        <v>1900</v>
      </c>
      <c r="B33" s="11" t="s">
        <v>501</v>
      </c>
      <c r="C33" s="105" t="s">
        <v>502</v>
      </c>
      <c r="D33" s="11" t="s">
        <v>157</v>
      </c>
      <c r="E33" s="12">
        <v>10012</v>
      </c>
      <c r="F33" s="202">
        <v>50</v>
      </c>
      <c r="G33" s="11">
        <v>60000</v>
      </c>
      <c r="H33" s="116">
        <v>-50000</v>
      </c>
      <c r="I33" s="192"/>
      <c r="J33" s="204"/>
      <c r="K33" s="193"/>
      <c r="L33" s="193"/>
      <c r="M33" s="193"/>
      <c r="N33" s="203">
        <f t="shared" si="0"/>
        <v>60000</v>
      </c>
      <c r="O33" s="203">
        <f t="shared" si="1"/>
        <v>10000</v>
      </c>
      <c r="P33" s="203">
        <f t="shared" si="2"/>
        <v>10000</v>
      </c>
      <c r="Q33" s="214"/>
      <c r="R33" s="215"/>
      <c r="S33" s="218">
        <v>45656</v>
      </c>
      <c r="T33" s="205"/>
      <c r="U33" s="205"/>
      <c r="V33" s="216"/>
      <c r="W33" s="212"/>
      <c r="X33" s="10">
        <v>7</v>
      </c>
      <c r="Y33" s="10">
        <v>7</v>
      </c>
      <c r="Z33" s="213">
        <f t="shared" si="3"/>
        <v>60000</v>
      </c>
      <c r="AA33" s="62"/>
      <c r="AB33" s="62"/>
      <c r="AC33" s="62"/>
      <c r="AD33" s="62"/>
      <c r="AE33" s="62"/>
      <c r="AF33" s="63"/>
      <c r="AG33" s="64"/>
      <c r="AH33" s="6">
        <v>1</v>
      </c>
      <c r="AI33">
        <f t="shared" si="4"/>
        <v>25</v>
      </c>
      <c r="AJ33">
        <f t="shared" si="5"/>
        <v>25</v>
      </c>
      <c r="AK33">
        <f t="shared" si="6"/>
        <v>0</v>
      </c>
      <c r="AL33">
        <f t="shared" si="7"/>
        <v>0</v>
      </c>
      <c r="AM33">
        <f t="shared" si="8"/>
        <v>0</v>
      </c>
      <c r="AN33">
        <f t="shared" si="9"/>
        <v>0</v>
      </c>
      <c r="AO33">
        <f t="shared" si="10"/>
        <v>0</v>
      </c>
      <c r="AP33">
        <f t="shared" si="11"/>
        <v>0</v>
      </c>
      <c r="AQ33">
        <f t="shared" si="12"/>
        <v>0</v>
      </c>
      <c r="AR33">
        <f t="shared" si="13"/>
        <v>0</v>
      </c>
      <c r="AS33">
        <f t="shared" si="14"/>
        <v>0</v>
      </c>
      <c r="AT33">
        <f t="shared" si="15"/>
        <v>0</v>
      </c>
      <c r="AU33">
        <f t="shared" si="16"/>
        <v>1</v>
      </c>
      <c r="AV33">
        <f t="shared" si="17"/>
        <v>1</v>
      </c>
      <c r="AW33">
        <f t="shared" si="18"/>
        <v>1</v>
      </c>
      <c r="AX33">
        <f t="shared" si="19"/>
        <v>1</v>
      </c>
      <c r="AY33">
        <f t="shared" si="20"/>
        <v>10000</v>
      </c>
      <c r="AZ33">
        <f t="shared" si="21"/>
        <v>10000</v>
      </c>
      <c r="BA33">
        <f t="shared" si="22"/>
        <v>0</v>
      </c>
      <c r="BB33">
        <f t="shared" si="23"/>
        <v>0</v>
      </c>
      <c r="BC33">
        <f t="shared" si="24"/>
        <v>0</v>
      </c>
      <c r="BD33">
        <f t="shared" si="25"/>
        <v>0</v>
      </c>
      <c r="BE33">
        <f t="shared" si="26"/>
        <v>0</v>
      </c>
      <c r="BF33">
        <f t="shared" si="27"/>
        <v>0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s="201" customFormat="1" ht="14.25" x14ac:dyDescent="0.2">
      <c r="A34" s="10">
        <v>1952</v>
      </c>
      <c r="B34" s="11" t="s">
        <v>186</v>
      </c>
      <c r="C34" s="105" t="s">
        <v>503</v>
      </c>
      <c r="D34" s="11" t="s">
        <v>157</v>
      </c>
      <c r="E34" s="12">
        <v>10019</v>
      </c>
      <c r="F34" s="202">
        <v>48</v>
      </c>
      <c r="G34" s="11">
        <v>60000</v>
      </c>
      <c r="H34" s="116">
        <v>0</v>
      </c>
      <c r="I34" s="192"/>
      <c r="J34" s="204"/>
      <c r="K34" s="193"/>
      <c r="L34" s="193"/>
      <c r="M34" s="193"/>
      <c r="N34" s="203">
        <f t="shared" si="0"/>
        <v>60000</v>
      </c>
      <c r="O34" s="203">
        <f t="shared" si="1"/>
        <v>60000</v>
      </c>
      <c r="P34" s="203">
        <f t="shared" si="2"/>
        <v>60000</v>
      </c>
      <c r="Q34" s="214">
        <v>45663</v>
      </c>
      <c r="R34" s="215"/>
      <c r="S34" s="218">
        <v>45633</v>
      </c>
      <c r="T34" s="205"/>
      <c r="U34" s="205"/>
      <c r="V34" s="216" t="s">
        <v>1131</v>
      </c>
      <c r="W34" s="212"/>
      <c r="X34" s="10">
        <v>7</v>
      </c>
      <c r="Y34" s="10">
        <v>7</v>
      </c>
      <c r="Z34" s="213">
        <f t="shared" si="3"/>
        <v>60000</v>
      </c>
      <c r="AA34" s="62"/>
      <c r="AB34" s="62"/>
      <c r="AC34" s="62"/>
      <c r="AD34" s="62"/>
      <c r="AE34" s="62"/>
      <c r="AF34" s="63"/>
      <c r="AG34" s="64"/>
      <c r="AH34" s="6">
        <v>1</v>
      </c>
      <c r="AI34">
        <f t="shared" si="4"/>
        <v>25</v>
      </c>
      <c r="AJ34">
        <f t="shared" si="5"/>
        <v>25</v>
      </c>
      <c r="AK34">
        <f t="shared" si="6"/>
        <v>0</v>
      </c>
      <c r="AL34">
        <f t="shared" si="7"/>
        <v>0</v>
      </c>
      <c r="AM34">
        <f t="shared" si="8"/>
        <v>0</v>
      </c>
      <c r="AN34">
        <f t="shared" si="9"/>
        <v>0</v>
      </c>
      <c r="AO34">
        <f t="shared" si="10"/>
        <v>0</v>
      </c>
      <c r="AP34">
        <f t="shared" si="11"/>
        <v>0</v>
      </c>
      <c r="AQ34">
        <f t="shared" si="12"/>
        <v>0</v>
      </c>
      <c r="AR34">
        <f t="shared" si="13"/>
        <v>0</v>
      </c>
      <c r="AS34">
        <f t="shared" si="14"/>
        <v>0</v>
      </c>
      <c r="AT34">
        <f t="shared" si="15"/>
        <v>0</v>
      </c>
      <c r="AU34">
        <f t="shared" si="16"/>
        <v>1</v>
      </c>
      <c r="AV34">
        <f t="shared" si="17"/>
        <v>1</v>
      </c>
      <c r="AW34">
        <f t="shared" si="18"/>
        <v>1</v>
      </c>
      <c r="AX34">
        <f t="shared" si="19"/>
        <v>1</v>
      </c>
      <c r="AY34">
        <f t="shared" si="20"/>
        <v>60000</v>
      </c>
      <c r="AZ34">
        <f t="shared" si="21"/>
        <v>60000</v>
      </c>
      <c r="BA34">
        <f t="shared" si="22"/>
        <v>0</v>
      </c>
      <c r="BB34">
        <f t="shared" si="23"/>
        <v>0</v>
      </c>
      <c r="BC34">
        <f t="shared" si="24"/>
        <v>0</v>
      </c>
      <c r="BD34">
        <f t="shared" si="25"/>
        <v>0</v>
      </c>
      <c r="BE34">
        <f t="shared" si="26"/>
        <v>0</v>
      </c>
      <c r="BF34">
        <f t="shared" si="27"/>
        <v>0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s="201" customFormat="1" ht="14.25" x14ac:dyDescent="0.2">
      <c r="A35" s="10">
        <v>1954</v>
      </c>
      <c r="B35" s="11" t="s">
        <v>188</v>
      </c>
      <c r="C35" s="105" t="s">
        <v>189</v>
      </c>
      <c r="D35" s="11" t="s">
        <v>190</v>
      </c>
      <c r="E35" s="12">
        <v>10045</v>
      </c>
      <c r="F35" s="202">
        <v>48</v>
      </c>
      <c r="G35" s="11">
        <v>50000</v>
      </c>
      <c r="H35" s="116">
        <v>-30000</v>
      </c>
      <c r="I35" s="192"/>
      <c r="J35" s="204"/>
      <c r="K35" s="193"/>
      <c r="L35" s="193"/>
      <c r="M35" s="193"/>
      <c r="N35" s="203">
        <f t="shared" si="0"/>
        <v>50000</v>
      </c>
      <c r="O35" s="203">
        <f t="shared" si="1"/>
        <v>20000</v>
      </c>
      <c r="P35" s="203">
        <f t="shared" si="2"/>
        <v>20000</v>
      </c>
      <c r="Q35" s="214">
        <v>45659</v>
      </c>
      <c r="R35" s="215"/>
      <c r="S35" s="218">
        <v>45628</v>
      </c>
      <c r="T35" s="205"/>
      <c r="U35" s="205"/>
      <c r="V35" s="216" t="s">
        <v>1131</v>
      </c>
      <c r="W35" s="212"/>
      <c r="X35" s="10">
        <v>7</v>
      </c>
      <c r="Y35" s="10">
        <v>7</v>
      </c>
      <c r="Z35" s="213">
        <f t="shared" si="3"/>
        <v>50000</v>
      </c>
      <c r="AA35" s="62"/>
      <c r="AB35" s="62"/>
      <c r="AC35" s="62"/>
      <c r="AD35" s="62"/>
      <c r="AE35" s="62"/>
      <c r="AF35" s="63"/>
      <c r="AG35" s="64"/>
      <c r="AH35" s="6">
        <v>1</v>
      </c>
      <c r="AI35">
        <f t="shared" si="4"/>
        <v>25</v>
      </c>
      <c r="AJ35">
        <f t="shared" si="5"/>
        <v>25</v>
      </c>
      <c r="AK35">
        <f t="shared" si="6"/>
        <v>0</v>
      </c>
      <c r="AL35">
        <f t="shared" si="7"/>
        <v>0</v>
      </c>
      <c r="AM35">
        <f t="shared" si="8"/>
        <v>0</v>
      </c>
      <c r="AN35">
        <f t="shared" si="9"/>
        <v>0</v>
      </c>
      <c r="AO35">
        <f t="shared" si="10"/>
        <v>0</v>
      </c>
      <c r="AP35">
        <f t="shared" si="11"/>
        <v>0</v>
      </c>
      <c r="AQ35">
        <f t="shared" si="12"/>
        <v>0</v>
      </c>
      <c r="AR35">
        <f t="shared" si="13"/>
        <v>0</v>
      </c>
      <c r="AS35">
        <f t="shared" si="14"/>
        <v>0</v>
      </c>
      <c r="AT35">
        <f t="shared" si="15"/>
        <v>0</v>
      </c>
      <c r="AU35">
        <f t="shared" si="16"/>
        <v>1</v>
      </c>
      <c r="AV35">
        <f t="shared" si="17"/>
        <v>1</v>
      </c>
      <c r="AW35">
        <f t="shared" si="18"/>
        <v>1</v>
      </c>
      <c r="AX35">
        <f t="shared" si="19"/>
        <v>1</v>
      </c>
      <c r="AY35">
        <f t="shared" si="20"/>
        <v>20000</v>
      </c>
      <c r="AZ35">
        <f t="shared" si="21"/>
        <v>20000</v>
      </c>
      <c r="BA35">
        <f t="shared" si="22"/>
        <v>0</v>
      </c>
      <c r="BB35">
        <f t="shared" si="23"/>
        <v>0</v>
      </c>
      <c r="BC35">
        <f t="shared" si="24"/>
        <v>0</v>
      </c>
      <c r="BD35">
        <f t="shared" si="25"/>
        <v>0</v>
      </c>
      <c r="BE35">
        <f t="shared" si="26"/>
        <v>0</v>
      </c>
      <c r="BF35">
        <f t="shared" si="27"/>
        <v>0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 s="201" customFormat="1" ht="14.25" x14ac:dyDescent="0.2">
      <c r="A36" s="10">
        <v>1956</v>
      </c>
      <c r="B36" s="11" t="s">
        <v>229</v>
      </c>
      <c r="C36" s="105" t="s">
        <v>230</v>
      </c>
      <c r="D36" s="11" t="s">
        <v>231</v>
      </c>
      <c r="E36" s="12">
        <v>10057</v>
      </c>
      <c r="F36" s="202">
        <v>48</v>
      </c>
      <c r="G36" s="11">
        <v>35000</v>
      </c>
      <c r="H36" s="116">
        <v>-57000</v>
      </c>
      <c r="I36" s="192"/>
      <c r="J36" s="204"/>
      <c r="K36" s="193"/>
      <c r="L36" s="193"/>
      <c r="M36" s="193"/>
      <c r="N36" s="203">
        <f t="shared" si="0"/>
        <v>35000</v>
      </c>
      <c r="O36" s="203">
        <f t="shared" si="1"/>
        <v>-22000</v>
      </c>
      <c r="P36" s="203">
        <f t="shared" si="2"/>
        <v>0</v>
      </c>
      <c r="Q36" s="214"/>
      <c r="R36" s="215"/>
      <c r="S36" s="218">
        <v>45638</v>
      </c>
      <c r="T36" s="205"/>
      <c r="U36" s="205"/>
      <c r="V36" s="216"/>
      <c r="W36" s="212"/>
      <c r="X36" s="10">
        <v>7</v>
      </c>
      <c r="Y36" s="10">
        <v>7</v>
      </c>
      <c r="Z36" s="213">
        <f t="shared" si="3"/>
        <v>35000</v>
      </c>
      <c r="AA36" s="62"/>
      <c r="AB36" s="62"/>
      <c r="AC36" s="62"/>
      <c r="AD36" s="62"/>
      <c r="AE36" s="62"/>
      <c r="AF36" s="63"/>
      <c r="AG36" s="64"/>
      <c r="AH36" s="6">
        <v>1</v>
      </c>
      <c r="AI36">
        <f t="shared" si="4"/>
        <v>25</v>
      </c>
      <c r="AJ36">
        <f t="shared" si="5"/>
        <v>25</v>
      </c>
      <c r="AK36">
        <f t="shared" si="6"/>
        <v>0</v>
      </c>
      <c r="AL36">
        <f t="shared" si="7"/>
        <v>0</v>
      </c>
      <c r="AM36">
        <f t="shared" si="8"/>
        <v>0</v>
      </c>
      <c r="AN36">
        <f t="shared" si="9"/>
        <v>0</v>
      </c>
      <c r="AO36">
        <f t="shared" si="10"/>
        <v>0</v>
      </c>
      <c r="AP36">
        <f t="shared" si="11"/>
        <v>0</v>
      </c>
      <c r="AQ36">
        <f t="shared" si="12"/>
        <v>0</v>
      </c>
      <c r="AR36">
        <f t="shared" si="13"/>
        <v>0</v>
      </c>
      <c r="AS36">
        <f t="shared" si="14"/>
        <v>0</v>
      </c>
      <c r="AT36">
        <f t="shared" si="15"/>
        <v>0</v>
      </c>
      <c r="AU36">
        <f t="shared" si="16"/>
        <v>0</v>
      </c>
      <c r="AV36">
        <f t="shared" si="17"/>
        <v>0</v>
      </c>
      <c r="AW36">
        <f t="shared" si="18"/>
        <v>0</v>
      </c>
      <c r="AX36">
        <f t="shared" si="19"/>
        <v>0</v>
      </c>
      <c r="AY36">
        <f t="shared" si="20"/>
        <v>0</v>
      </c>
      <c r="AZ36">
        <f t="shared" si="21"/>
        <v>0</v>
      </c>
      <c r="BA36">
        <f t="shared" si="22"/>
        <v>0</v>
      </c>
      <c r="BB36">
        <f t="shared" si="23"/>
        <v>0</v>
      </c>
      <c r="BC36">
        <f t="shared" si="24"/>
        <v>0</v>
      </c>
      <c r="BD36">
        <f t="shared" si="25"/>
        <v>0</v>
      </c>
      <c r="BE36">
        <f t="shared" si="26"/>
        <v>0</v>
      </c>
      <c r="BF36">
        <f t="shared" si="27"/>
        <v>0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 s="201" customFormat="1" ht="14.25" x14ac:dyDescent="0.2">
      <c r="A37" s="10">
        <v>1999</v>
      </c>
      <c r="B37" s="11" t="s">
        <v>504</v>
      </c>
      <c r="C37" s="105" t="s">
        <v>505</v>
      </c>
      <c r="D37" s="11" t="s">
        <v>106</v>
      </c>
      <c r="E37" s="12">
        <v>10192</v>
      </c>
      <c r="F37" s="202">
        <v>47</v>
      </c>
      <c r="G37" s="11">
        <v>60000</v>
      </c>
      <c r="H37" s="116">
        <v>-15000</v>
      </c>
      <c r="I37" s="192"/>
      <c r="J37" s="204"/>
      <c r="K37" s="193"/>
      <c r="L37" s="193"/>
      <c r="M37" s="193"/>
      <c r="N37" s="203">
        <f t="shared" si="0"/>
        <v>60000</v>
      </c>
      <c r="O37" s="203">
        <f t="shared" si="1"/>
        <v>45000</v>
      </c>
      <c r="P37" s="203">
        <f t="shared" si="2"/>
        <v>45000</v>
      </c>
      <c r="Q37" s="214">
        <v>45660</v>
      </c>
      <c r="R37" s="215"/>
      <c r="S37" s="218">
        <v>45628</v>
      </c>
      <c r="T37" s="205"/>
      <c r="U37" s="205"/>
      <c r="V37" s="216" t="s">
        <v>1131</v>
      </c>
      <c r="W37" s="212"/>
      <c r="X37" s="10">
        <v>7</v>
      </c>
      <c r="Y37" s="10">
        <v>7</v>
      </c>
      <c r="Z37" s="213">
        <f t="shared" si="3"/>
        <v>60000</v>
      </c>
      <c r="AA37" s="62"/>
      <c r="AB37" s="62"/>
      <c r="AC37" s="62"/>
      <c r="AD37" s="62"/>
      <c r="AE37" s="62"/>
      <c r="AF37" s="63"/>
      <c r="AG37" s="64"/>
      <c r="AH37" s="6">
        <v>1</v>
      </c>
      <c r="AI37">
        <f t="shared" si="4"/>
        <v>25</v>
      </c>
      <c r="AJ37">
        <f t="shared" si="5"/>
        <v>25</v>
      </c>
      <c r="AK37">
        <f t="shared" si="6"/>
        <v>0</v>
      </c>
      <c r="AL37">
        <f t="shared" si="7"/>
        <v>0</v>
      </c>
      <c r="AM37">
        <f t="shared" si="8"/>
        <v>0</v>
      </c>
      <c r="AN37">
        <f t="shared" si="9"/>
        <v>0</v>
      </c>
      <c r="AO37">
        <f t="shared" si="10"/>
        <v>0</v>
      </c>
      <c r="AP37">
        <f t="shared" si="11"/>
        <v>0</v>
      </c>
      <c r="AQ37">
        <f t="shared" si="12"/>
        <v>0</v>
      </c>
      <c r="AR37">
        <f t="shared" si="13"/>
        <v>0</v>
      </c>
      <c r="AS37">
        <f t="shared" si="14"/>
        <v>0</v>
      </c>
      <c r="AT37">
        <f t="shared" si="15"/>
        <v>0</v>
      </c>
      <c r="AU37">
        <f t="shared" si="16"/>
        <v>1</v>
      </c>
      <c r="AV37">
        <f t="shared" si="17"/>
        <v>1</v>
      </c>
      <c r="AW37">
        <f t="shared" si="18"/>
        <v>1</v>
      </c>
      <c r="AX37">
        <f t="shared" si="19"/>
        <v>1</v>
      </c>
      <c r="AY37">
        <f t="shared" si="20"/>
        <v>45000</v>
      </c>
      <c r="AZ37">
        <f t="shared" si="21"/>
        <v>45000</v>
      </c>
      <c r="BA37">
        <f t="shared" si="22"/>
        <v>0</v>
      </c>
      <c r="BB37">
        <f t="shared" si="23"/>
        <v>0</v>
      </c>
      <c r="BC37">
        <f t="shared" si="24"/>
        <v>0</v>
      </c>
      <c r="BD37">
        <f t="shared" si="25"/>
        <v>0</v>
      </c>
      <c r="BE37">
        <f t="shared" si="26"/>
        <v>0</v>
      </c>
      <c r="BF37">
        <f t="shared" si="27"/>
        <v>0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s="201" customFormat="1" ht="14.25" x14ac:dyDescent="0.2">
      <c r="A38" s="10">
        <v>2007</v>
      </c>
      <c r="B38" s="11" t="s">
        <v>251</v>
      </c>
      <c r="C38" s="105" t="s">
        <v>252</v>
      </c>
      <c r="D38" s="11" t="s">
        <v>106</v>
      </c>
      <c r="E38" s="12">
        <v>10202</v>
      </c>
      <c r="F38" s="202">
        <v>47</v>
      </c>
      <c r="G38" s="11">
        <v>45000</v>
      </c>
      <c r="H38" s="116">
        <v>0</v>
      </c>
      <c r="I38" s="192"/>
      <c r="J38" s="204"/>
      <c r="K38" s="193"/>
      <c r="L38" s="193"/>
      <c r="M38" s="193"/>
      <c r="N38" s="203">
        <f t="shared" si="0"/>
        <v>45000</v>
      </c>
      <c r="O38" s="203">
        <f t="shared" si="1"/>
        <v>45000</v>
      </c>
      <c r="P38" s="203">
        <f t="shared" si="2"/>
        <v>45000</v>
      </c>
      <c r="Q38" s="214">
        <v>45663</v>
      </c>
      <c r="R38" s="215"/>
      <c r="S38" s="218">
        <v>45630</v>
      </c>
      <c r="T38" s="205"/>
      <c r="U38" s="205"/>
      <c r="V38" s="216" t="s">
        <v>1131</v>
      </c>
      <c r="W38" s="212"/>
      <c r="X38" s="10">
        <v>7</v>
      </c>
      <c r="Y38" s="10">
        <v>7</v>
      </c>
      <c r="Z38" s="213">
        <f t="shared" si="3"/>
        <v>45000</v>
      </c>
      <c r="AA38" s="62"/>
      <c r="AB38" s="62"/>
      <c r="AC38" s="62"/>
      <c r="AD38" s="62"/>
      <c r="AE38" s="62"/>
      <c r="AF38" s="63"/>
      <c r="AG38" s="64"/>
      <c r="AH38" s="6">
        <v>1</v>
      </c>
      <c r="AI38">
        <f t="shared" si="4"/>
        <v>25</v>
      </c>
      <c r="AJ38">
        <f t="shared" si="5"/>
        <v>25</v>
      </c>
      <c r="AK38">
        <f t="shared" si="6"/>
        <v>0</v>
      </c>
      <c r="AL38">
        <f t="shared" si="7"/>
        <v>0</v>
      </c>
      <c r="AM38">
        <f t="shared" si="8"/>
        <v>0</v>
      </c>
      <c r="AN38">
        <f t="shared" si="9"/>
        <v>0</v>
      </c>
      <c r="AO38">
        <f t="shared" si="10"/>
        <v>0</v>
      </c>
      <c r="AP38">
        <f t="shared" si="11"/>
        <v>0</v>
      </c>
      <c r="AQ38">
        <f t="shared" si="12"/>
        <v>0</v>
      </c>
      <c r="AR38">
        <f t="shared" si="13"/>
        <v>0</v>
      </c>
      <c r="AS38">
        <f t="shared" si="14"/>
        <v>0</v>
      </c>
      <c r="AT38">
        <f t="shared" si="15"/>
        <v>0</v>
      </c>
      <c r="AU38">
        <f t="shared" si="16"/>
        <v>1</v>
      </c>
      <c r="AV38">
        <f t="shared" si="17"/>
        <v>1</v>
      </c>
      <c r="AW38">
        <f t="shared" si="18"/>
        <v>1</v>
      </c>
      <c r="AX38">
        <f t="shared" si="19"/>
        <v>1</v>
      </c>
      <c r="AY38">
        <f t="shared" si="20"/>
        <v>45000</v>
      </c>
      <c r="AZ38">
        <f t="shared" si="21"/>
        <v>45000</v>
      </c>
      <c r="BA38">
        <f t="shared" si="22"/>
        <v>0</v>
      </c>
      <c r="BB38">
        <f t="shared" si="23"/>
        <v>0</v>
      </c>
      <c r="BC38">
        <f t="shared" si="24"/>
        <v>0</v>
      </c>
      <c r="BD38">
        <f t="shared" si="25"/>
        <v>0</v>
      </c>
      <c r="BE38">
        <f t="shared" si="26"/>
        <v>0</v>
      </c>
      <c r="BF38">
        <f t="shared" si="27"/>
        <v>0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s="201" customFormat="1" ht="14.25" x14ac:dyDescent="0.2">
      <c r="A39" s="10">
        <v>2010</v>
      </c>
      <c r="B39" s="11" t="s">
        <v>214</v>
      </c>
      <c r="C39" s="105" t="s">
        <v>215</v>
      </c>
      <c r="D39" s="11" t="s">
        <v>173</v>
      </c>
      <c r="E39" s="12">
        <v>10206</v>
      </c>
      <c r="F39" s="202">
        <v>47</v>
      </c>
      <c r="G39" s="11">
        <v>30000</v>
      </c>
      <c r="H39" s="116">
        <v>-28000</v>
      </c>
      <c r="I39" s="192"/>
      <c r="J39" s="204"/>
      <c r="K39" s="193"/>
      <c r="L39" s="193"/>
      <c r="M39" s="193"/>
      <c r="N39" s="203">
        <f t="shared" si="0"/>
        <v>30000</v>
      </c>
      <c r="O39" s="203">
        <f t="shared" si="1"/>
        <v>2000</v>
      </c>
      <c r="P39" s="203">
        <f t="shared" si="2"/>
        <v>2000</v>
      </c>
      <c r="Q39" s="214"/>
      <c r="R39" s="215"/>
      <c r="S39" s="218">
        <v>45647</v>
      </c>
      <c r="T39" s="205"/>
      <c r="U39" s="205"/>
      <c r="V39" s="216"/>
      <c r="W39" s="212"/>
      <c r="X39" s="10">
        <v>7</v>
      </c>
      <c r="Y39" s="10">
        <v>7</v>
      </c>
      <c r="Z39" s="213">
        <f t="shared" si="3"/>
        <v>30000</v>
      </c>
      <c r="AA39" s="62"/>
      <c r="AB39" s="62"/>
      <c r="AC39" s="62"/>
      <c r="AD39" s="62"/>
      <c r="AE39" s="62"/>
      <c r="AF39" s="63"/>
      <c r="AG39" s="64"/>
      <c r="AH39" s="6">
        <v>1</v>
      </c>
      <c r="AI39">
        <f t="shared" si="4"/>
        <v>25</v>
      </c>
      <c r="AJ39">
        <f t="shared" si="5"/>
        <v>25</v>
      </c>
      <c r="AK39">
        <f t="shared" si="6"/>
        <v>0</v>
      </c>
      <c r="AL39">
        <f t="shared" si="7"/>
        <v>0</v>
      </c>
      <c r="AM39">
        <f t="shared" si="8"/>
        <v>0</v>
      </c>
      <c r="AN39">
        <f t="shared" si="9"/>
        <v>0</v>
      </c>
      <c r="AO39">
        <f t="shared" si="10"/>
        <v>0</v>
      </c>
      <c r="AP39">
        <f t="shared" si="11"/>
        <v>0</v>
      </c>
      <c r="AQ39">
        <f t="shared" si="12"/>
        <v>0</v>
      </c>
      <c r="AR39">
        <f t="shared" si="13"/>
        <v>0</v>
      </c>
      <c r="AS39">
        <f t="shared" si="14"/>
        <v>0</v>
      </c>
      <c r="AT39">
        <f t="shared" si="15"/>
        <v>0</v>
      </c>
      <c r="AU39">
        <f t="shared" si="16"/>
        <v>1</v>
      </c>
      <c r="AV39">
        <f t="shared" si="17"/>
        <v>1</v>
      </c>
      <c r="AW39">
        <f t="shared" si="18"/>
        <v>1</v>
      </c>
      <c r="AX39">
        <f t="shared" si="19"/>
        <v>1</v>
      </c>
      <c r="AY39">
        <f t="shared" si="20"/>
        <v>2000</v>
      </c>
      <c r="AZ39">
        <f t="shared" si="21"/>
        <v>2000</v>
      </c>
      <c r="BA39">
        <f t="shared" si="22"/>
        <v>0</v>
      </c>
      <c r="BB39">
        <f t="shared" si="23"/>
        <v>0</v>
      </c>
      <c r="BC39">
        <f t="shared" si="24"/>
        <v>0</v>
      </c>
      <c r="BD39">
        <f t="shared" si="25"/>
        <v>0</v>
      </c>
      <c r="BE39">
        <f t="shared" si="26"/>
        <v>0</v>
      </c>
      <c r="BF39">
        <f t="shared" si="27"/>
        <v>0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 s="201" customFormat="1" ht="14.25" x14ac:dyDescent="0.2">
      <c r="A40" s="10">
        <v>2015</v>
      </c>
      <c r="B40" s="11" t="s">
        <v>216</v>
      </c>
      <c r="C40" s="105" t="s">
        <v>217</v>
      </c>
      <c r="D40" s="11" t="s">
        <v>218</v>
      </c>
      <c r="E40" s="12">
        <v>10189</v>
      </c>
      <c r="F40" s="202">
        <v>47</v>
      </c>
      <c r="G40" s="11">
        <v>70000</v>
      </c>
      <c r="H40" s="116">
        <v>-118000</v>
      </c>
      <c r="I40" s="192"/>
      <c r="J40" s="204"/>
      <c r="K40" s="193"/>
      <c r="L40" s="193"/>
      <c r="M40" s="193"/>
      <c r="N40" s="203">
        <f t="shared" si="0"/>
        <v>70000</v>
      </c>
      <c r="O40" s="203">
        <f t="shared" si="1"/>
        <v>-48000</v>
      </c>
      <c r="P40" s="203">
        <f t="shared" si="2"/>
        <v>0</v>
      </c>
      <c r="Q40" s="214">
        <v>45663</v>
      </c>
      <c r="R40" s="215"/>
      <c r="S40" s="218">
        <v>45629</v>
      </c>
      <c r="T40" s="205"/>
      <c r="U40" s="205"/>
      <c r="V40" s="216" t="s">
        <v>1131</v>
      </c>
      <c r="W40" s="212"/>
      <c r="X40" s="10">
        <v>7</v>
      </c>
      <c r="Y40" s="10">
        <v>7</v>
      </c>
      <c r="Z40" s="213">
        <f t="shared" si="3"/>
        <v>70000</v>
      </c>
      <c r="AA40" s="62"/>
      <c r="AB40" s="62"/>
      <c r="AC40" s="62"/>
      <c r="AD40" s="62"/>
      <c r="AE40" s="62"/>
      <c r="AF40" s="63"/>
      <c r="AG40" s="64"/>
      <c r="AH40" s="6">
        <v>1</v>
      </c>
      <c r="AI40">
        <f t="shared" si="4"/>
        <v>25</v>
      </c>
      <c r="AJ40">
        <f t="shared" si="5"/>
        <v>25</v>
      </c>
      <c r="AK40">
        <f t="shared" si="6"/>
        <v>0</v>
      </c>
      <c r="AL40">
        <f t="shared" si="7"/>
        <v>0</v>
      </c>
      <c r="AM40">
        <f t="shared" si="8"/>
        <v>0</v>
      </c>
      <c r="AN40">
        <f t="shared" si="9"/>
        <v>0</v>
      </c>
      <c r="AO40">
        <f t="shared" si="10"/>
        <v>0</v>
      </c>
      <c r="AP40">
        <f t="shared" si="11"/>
        <v>0</v>
      </c>
      <c r="AQ40">
        <f t="shared" si="12"/>
        <v>0</v>
      </c>
      <c r="AR40">
        <f t="shared" si="13"/>
        <v>0</v>
      </c>
      <c r="AS40">
        <f t="shared" si="14"/>
        <v>0</v>
      </c>
      <c r="AT40">
        <f t="shared" si="15"/>
        <v>0</v>
      </c>
      <c r="AU40">
        <f t="shared" si="16"/>
        <v>0</v>
      </c>
      <c r="AV40">
        <f t="shared" si="17"/>
        <v>0</v>
      </c>
      <c r="AW40">
        <f t="shared" si="18"/>
        <v>0</v>
      </c>
      <c r="AX40">
        <f t="shared" si="19"/>
        <v>0</v>
      </c>
      <c r="AY40">
        <f t="shared" si="20"/>
        <v>0</v>
      </c>
      <c r="AZ40">
        <f t="shared" si="21"/>
        <v>0</v>
      </c>
      <c r="BA40">
        <f t="shared" si="22"/>
        <v>0</v>
      </c>
      <c r="BB40">
        <f t="shared" si="23"/>
        <v>0</v>
      </c>
      <c r="BC40">
        <f t="shared" si="24"/>
        <v>0</v>
      </c>
      <c r="BD40">
        <f t="shared" si="25"/>
        <v>0</v>
      </c>
      <c r="BE40">
        <f t="shared" si="26"/>
        <v>0</v>
      </c>
      <c r="BF40">
        <f t="shared" si="27"/>
        <v>0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 s="201" customFormat="1" ht="14.25" x14ac:dyDescent="0.2">
      <c r="A41" s="10">
        <v>2024</v>
      </c>
      <c r="B41" s="11" t="s">
        <v>275</v>
      </c>
      <c r="C41" s="105" t="s">
        <v>276</v>
      </c>
      <c r="D41" s="11" t="s">
        <v>105</v>
      </c>
      <c r="E41" s="12">
        <v>10095</v>
      </c>
      <c r="F41" s="202">
        <v>47</v>
      </c>
      <c r="G41" s="11">
        <v>30000</v>
      </c>
      <c r="H41" s="116">
        <v>-24000</v>
      </c>
      <c r="I41" s="192"/>
      <c r="J41" s="204"/>
      <c r="K41" s="193"/>
      <c r="L41" s="193"/>
      <c r="M41" s="193"/>
      <c r="N41" s="203">
        <f t="shared" si="0"/>
        <v>30000</v>
      </c>
      <c r="O41" s="203">
        <f t="shared" si="1"/>
        <v>6000</v>
      </c>
      <c r="P41" s="203">
        <f t="shared" si="2"/>
        <v>6000</v>
      </c>
      <c r="Q41" s="214">
        <v>45659</v>
      </c>
      <c r="R41" s="215"/>
      <c r="S41" s="218">
        <v>45628</v>
      </c>
      <c r="T41" s="205"/>
      <c r="U41" s="205"/>
      <c r="V41" s="216" t="s">
        <v>1131</v>
      </c>
      <c r="W41" s="212"/>
      <c r="X41" s="10">
        <v>7</v>
      </c>
      <c r="Y41" s="10">
        <v>7</v>
      </c>
      <c r="Z41" s="213">
        <f t="shared" si="3"/>
        <v>30000</v>
      </c>
      <c r="AA41" s="62"/>
      <c r="AB41" s="62"/>
      <c r="AC41" s="62"/>
      <c r="AD41" s="62"/>
      <c r="AE41" s="62"/>
      <c r="AF41" s="63"/>
      <c r="AG41" s="64"/>
      <c r="AH41" s="6">
        <v>1</v>
      </c>
      <c r="AI41">
        <f t="shared" si="4"/>
        <v>25</v>
      </c>
      <c r="AJ41">
        <f t="shared" si="5"/>
        <v>25</v>
      </c>
      <c r="AK41">
        <f t="shared" si="6"/>
        <v>0</v>
      </c>
      <c r="AL41">
        <f t="shared" si="7"/>
        <v>0</v>
      </c>
      <c r="AM41">
        <f t="shared" si="8"/>
        <v>0</v>
      </c>
      <c r="AN41">
        <f t="shared" si="9"/>
        <v>0</v>
      </c>
      <c r="AO41">
        <f t="shared" si="10"/>
        <v>0</v>
      </c>
      <c r="AP41">
        <f t="shared" si="11"/>
        <v>0</v>
      </c>
      <c r="AQ41">
        <f t="shared" si="12"/>
        <v>0</v>
      </c>
      <c r="AR41">
        <f t="shared" si="13"/>
        <v>0</v>
      </c>
      <c r="AS41">
        <f t="shared" si="14"/>
        <v>0</v>
      </c>
      <c r="AT41">
        <f t="shared" si="15"/>
        <v>0</v>
      </c>
      <c r="AU41">
        <f t="shared" si="16"/>
        <v>1</v>
      </c>
      <c r="AV41">
        <f t="shared" si="17"/>
        <v>1</v>
      </c>
      <c r="AW41">
        <f t="shared" si="18"/>
        <v>1</v>
      </c>
      <c r="AX41">
        <f t="shared" si="19"/>
        <v>1</v>
      </c>
      <c r="AY41">
        <f t="shared" si="20"/>
        <v>6000</v>
      </c>
      <c r="AZ41">
        <f t="shared" si="21"/>
        <v>6000</v>
      </c>
      <c r="BA41">
        <f t="shared" si="22"/>
        <v>0</v>
      </c>
      <c r="BB41">
        <f t="shared" si="23"/>
        <v>0</v>
      </c>
      <c r="BC41">
        <f t="shared" si="24"/>
        <v>0</v>
      </c>
      <c r="BD41">
        <f t="shared" si="25"/>
        <v>0</v>
      </c>
      <c r="BE41">
        <f t="shared" si="26"/>
        <v>0</v>
      </c>
      <c r="BF41">
        <f t="shared" si="27"/>
        <v>0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 s="201" customFormat="1" ht="14.25" x14ac:dyDescent="0.2">
      <c r="A42" s="10">
        <v>2048</v>
      </c>
      <c r="B42" s="11" t="s">
        <v>506</v>
      </c>
      <c r="C42" s="105" t="s">
        <v>507</v>
      </c>
      <c r="D42" s="11" t="s">
        <v>106</v>
      </c>
      <c r="E42" s="12">
        <v>10224</v>
      </c>
      <c r="F42" s="202">
        <v>46</v>
      </c>
      <c r="G42" s="11">
        <v>60000</v>
      </c>
      <c r="H42" s="116">
        <v>-40000</v>
      </c>
      <c r="I42" s="192"/>
      <c r="J42" s="204"/>
      <c r="K42" s="193"/>
      <c r="L42" s="193"/>
      <c r="M42" s="193"/>
      <c r="N42" s="203">
        <f t="shared" si="0"/>
        <v>60000</v>
      </c>
      <c r="O42" s="203">
        <f t="shared" si="1"/>
        <v>20000</v>
      </c>
      <c r="P42" s="203">
        <f t="shared" si="2"/>
        <v>20000</v>
      </c>
      <c r="Q42" s="214"/>
      <c r="R42" s="215"/>
      <c r="S42" s="218">
        <v>45653</v>
      </c>
      <c r="T42" s="205"/>
      <c r="U42" s="205"/>
      <c r="V42" s="216"/>
      <c r="W42" s="212"/>
      <c r="X42" s="10">
        <v>7</v>
      </c>
      <c r="Y42" s="10">
        <v>7</v>
      </c>
      <c r="Z42" s="213">
        <f t="shared" si="3"/>
        <v>60000</v>
      </c>
      <c r="AA42" s="62"/>
      <c r="AB42" s="62"/>
      <c r="AC42" s="62"/>
      <c r="AD42" s="62"/>
      <c r="AE42" s="62"/>
      <c r="AF42" s="63"/>
      <c r="AG42" s="64"/>
      <c r="AH42" s="6">
        <v>1</v>
      </c>
      <c r="AI42">
        <f t="shared" si="4"/>
        <v>25</v>
      </c>
      <c r="AJ42">
        <f t="shared" si="5"/>
        <v>25</v>
      </c>
      <c r="AK42">
        <f t="shared" si="6"/>
        <v>0</v>
      </c>
      <c r="AL42">
        <f t="shared" si="7"/>
        <v>0</v>
      </c>
      <c r="AM42">
        <f t="shared" si="8"/>
        <v>0</v>
      </c>
      <c r="AN42">
        <f t="shared" si="9"/>
        <v>0</v>
      </c>
      <c r="AO42">
        <f t="shared" si="10"/>
        <v>0</v>
      </c>
      <c r="AP42">
        <f t="shared" si="11"/>
        <v>0</v>
      </c>
      <c r="AQ42">
        <f t="shared" si="12"/>
        <v>0</v>
      </c>
      <c r="AR42">
        <f t="shared" si="13"/>
        <v>0</v>
      </c>
      <c r="AS42">
        <f t="shared" si="14"/>
        <v>0</v>
      </c>
      <c r="AT42">
        <f t="shared" si="15"/>
        <v>0</v>
      </c>
      <c r="AU42">
        <f t="shared" si="16"/>
        <v>1</v>
      </c>
      <c r="AV42">
        <f t="shared" si="17"/>
        <v>1</v>
      </c>
      <c r="AW42">
        <f t="shared" si="18"/>
        <v>1</v>
      </c>
      <c r="AX42">
        <f t="shared" si="19"/>
        <v>1</v>
      </c>
      <c r="AY42">
        <f t="shared" si="20"/>
        <v>20000</v>
      </c>
      <c r="AZ42">
        <f t="shared" si="21"/>
        <v>20000</v>
      </c>
      <c r="BA42">
        <f t="shared" si="22"/>
        <v>0</v>
      </c>
      <c r="BB42">
        <f t="shared" si="23"/>
        <v>0</v>
      </c>
      <c r="BC42">
        <f t="shared" si="24"/>
        <v>0</v>
      </c>
      <c r="BD42">
        <f t="shared" si="25"/>
        <v>0</v>
      </c>
      <c r="BE42">
        <f t="shared" si="26"/>
        <v>0</v>
      </c>
      <c r="BF42">
        <f t="shared" si="27"/>
        <v>0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 s="201" customFormat="1" ht="14.25" x14ac:dyDescent="0.2">
      <c r="A43" s="10">
        <v>2052</v>
      </c>
      <c r="B43" s="11" t="s">
        <v>508</v>
      </c>
      <c r="C43" s="105" t="s">
        <v>509</v>
      </c>
      <c r="D43" s="11" t="s">
        <v>218</v>
      </c>
      <c r="E43" s="12">
        <v>11099</v>
      </c>
      <c r="F43" s="202">
        <v>46</v>
      </c>
      <c r="G43" s="11">
        <v>60000</v>
      </c>
      <c r="H43" s="116">
        <v>-45000</v>
      </c>
      <c r="I43" s="192"/>
      <c r="J43" s="204"/>
      <c r="K43" s="193"/>
      <c r="L43" s="193"/>
      <c r="M43" s="193"/>
      <c r="N43" s="203">
        <f t="shared" si="0"/>
        <v>60000</v>
      </c>
      <c r="O43" s="203">
        <f t="shared" si="1"/>
        <v>15000</v>
      </c>
      <c r="P43" s="203">
        <f t="shared" si="2"/>
        <v>15000</v>
      </c>
      <c r="Q43" s="214"/>
      <c r="R43" s="215"/>
      <c r="S43" s="218">
        <v>45636</v>
      </c>
      <c r="T43" s="205"/>
      <c r="U43" s="205"/>
      <c r="V43" s="216"/>
      <c r="W43" s="212"/>
      <c r="X43" s="10">
        <v>7</v>
      </c>
      <c r="Y43" s="10">
        <v>7</v>
      </c>
      <c r="Z43" s="213">
        <f t="shared" si="3"/>
        <v>60000</v>
      </c>
      <c r="AA43" s="62"/>
      <c r="AB43" s="62"/>
      <c r="AC43" s="62"/>
      <c r="AD43" s="62"/>
      <c r="AE43" s="62"/>
      <c r="AF43" s="63"/>
      <c r="AG43" s="64"/>
      <c r="AH43" s="6">
        <v>1</v>
      </c>
      <c r="AI43">
        <f t="shared" si="4"/>
        <v>25</v>
      </c>
      <c r="AJ43">
        <f t="shared" si="5"/>
        <v>25</v>
      </c>
      <c r="AK43">
        <f t="shared" si="6"/>
        <v>0</v>
      </c>
      <c r="AL43">
        <f t="shared" si="7"/>
        <v>0</v>
      </c>
      <c r="AM43">
        <f t="shared" si="8"/>
        <v>0</v>
      </c>
      <c r="AN43">
        <f t="shared" si="9"/>
        <v>0</v>
      </c>
      <c r="AO43">
        <f t="shared" si="10"/>
        <v>0</v>
      </c>
      <c r="AP43">
        <f t="shared" si="11"/>
        <v>0</v>
      </c>
      <c r="AQ43">
        <f t="shared" si="12"/>
        <v>0</v>
      </c>
      <c r="AR43">
        <f t="shared" si="13"/>
        <v>0</v>
      </c>
      <c r="AS43">
        <f t="shared" si="14"/>
        <v>0</v>
      </c>
      <c r="AT43">
        <f t="shared" si="15"/>
        <v>0</v>
      </c>
      <c r="AU43">
        <f t="shared" si="16"/>
        <v>1</v>
      </c>
      <c r="AV43">
        <f t="shared" si="17"/>
        <v>1</v>
      </c>
      <c r="AW43">
        <f t="shared" si="18"/>
        <v>1</v>
      </c>
      <c r="AX43">
        <f t="shared" si="19"/>
        <v>1</v>
      </c>
      <c r="AY43">
        <f t="shared" si="20"/>
        <v>15000</v>
      </c>
      <c r="AZ43">
        <f t="shared" si="21"/>
        <v>15000</v>
      </c>
      <c r="BA43">
        <f t="shared" si="22"/>
        <v>0</v>
      </c>
      <c r="BB43">
        <f t="shared" si="23"/>
        <v>0</v>
      </c>
      <c r="BC43">
        <f t="shared" si="24"/>
        <v>0</v>
      </c>
      <c r="BD43">
        <f t="shared" si="25"/>
        <v>0</v>
      </c>
      <c r="BE43">
        <f t="shared" si="26"/>
        <v>0</v>
      </c>
      <c r="BF43">
        <f t="shared" si="27"/>
        <v>0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 s="201" customFormat="1" ht="14.25" x14ac:dyDescent="0.2">
      <c r="A44" s="10">
        <v>2079</v>
      </c>
      <c r="B44" s="11" t="s">
        <v>334</v>
      </c>
      <c r="C44" s="105" t="s">
        <v>335</v>
      </c>
      <c r="D44" s="11" t="s">
        <v>105</v>
      </c>
      <c r="E44" s="12">
        <v>10262</v>
      </c>
      <c r="F44" s="202">
        <v>45</v>
      </c>
      <c r="G44" s="11">
        <v>30000</v>
      </c>
      <c r="H44" s="116">
        <v>-18000</v>
      </c>
      <c r="I44" s="192"/>
      <c r="J44" s="204"/>
      <c r="K44" s="193"/>
      <c r="L44" s="193"/>
      <c r="M44" s="193"/>
      <c r="N44" s="203">
        <f t="shared" si="0"/>
        <v>30000</v>
      </c>
      <c r="O44" s="203">
        <f t="shared" si="1"/>
        <v>12000</v>
      </c>
      <c r="P44" s="203">
        <f t="shared" si="2"/>
        <v>12000</v>
      </c>
      <c r="Q44" s="214"/>
      <c r="R44" s="215"/>
      <c r="S44" s="218">
        <v>45656</v>
      </c>
      <c r="T44" s="205"/>
      <c r="U44" s="205"/>
      <c r="V44" s="216"/>
      <c r="W44" s="212"/>
      <c r="X44" s="10">
        <v>7</v>
      </c>
      <c r="Y44" s="10">
        <v>7</v>
      </c>
      <c r="Z44" s="213">
        <f t="shared" si="3"/>
        <v>30000</v>
      </c>
      <c r="AA44" s="62"/>
      <c r="AB44" s="62"/>
      <c r="AC44" s="62"/>
      <c r="AD44" s="62"/>
      <c r="AE44" s="62"/>
      <c r="AF44" s="63"/>
      <c r="AG44" s="64"/>
      <c r="AH44" s="6">
        <v>1</v>
      </c>
      <c r="AI44">
        <f t="shared" si="4"/>
        <v>25</v>
      </c>
      <c r="AJ44">
        <f t="shared" si="5"/>
        <v>25</v>
      </c>
      <c r="AK44">
        <f t="shared" si="6"/>
        <v>0</v>
      </c>
      <c r="AL44">
        <f t="shared" si="7"/>
        <v>0</v>
      </c>
      <c r="AM44">
        <f t="shared" si="8"/>
        <v>0</v>
      </c>
      <c r="AN44">
        <f t="shared" si="9"/>
        <v>0</v>
      </c>
      <c r="AO44">
        <f t="shared" si="10"/>
        <v>0</v>
      </c>
      <c r="AP44">
        <f t="shared" si="11"/>
        <v>0</v>
      </c>
      <c r="AQ44">
        <f t="shared" si="12"/>
        <v>0</v>
      </c>
      <c r="AR44">
        <f t="shared" si="13"/>
        <v>0</v>
      </c>
      <c r="AS44">
        <f t="shared" si="14"/>
        <v>0</v>
      </c>
      <c r="AT44">
        <f t="shared" si="15"/>
        <v>0</v>
      </c>
      <c r="AU44">
        <f t="shared" si="16"/>
        <v>1</v>
      </c>
      <c r="AV44">
        <f t="shared" si="17"/>
        <v>1</v>
      </c>
      <c r="AW44">
        <f t="shared" si="18"/>
        <v>1</v>
      </c>
      <c r="AX44">
        <f t="shared" si="19"/>
        <v>1</v>
      </c>
      <c r="AY44">
        <f t="shared" si="20"/>
        <v>12000</v>
      </c>
      <c r="AZ44">
        <f t="shared" si="21"/>
        <v>12000</v>
      </c>
      <c r="BA44">
        <f t="shared" si="22"/>
        <v>0</v>
      </c>
      <c r="BB44">
        <f t="shared" si="23"/>
        <v>0</v>
      </c>
      <c r="BC44">
        <f t="shared" si="24"/>
        <v>0</v>
      </c>
      <c r="BD44">
        <f t="shared" si="25"/>
        <v>0</v>
      </c>
      <c r="BE44">
        <f t="shared" si="26"/>
        <v>0</v>
      </c>
      <c r="BF44">
        <f t="shared" si="27"/>
        <v>0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s="201" customFormat="1" ht="14.25" x14ac:dyDescent="0.2">
      <c r="A45" s="10">
        <v>2092</v>
      </c>
      <c r="B45" s="11" t="s">
        <v>336</v>
      </c>
      <c r="C45" s="105" t="s">
        <v>337</v>
      </c>
      <c r="D45" s="11" t="s">
        <v>233</v>
      </c>
      <c r="E45" s="12">
        <v>10285</v>
      </c>
      <c r="F45" s="202">
        <v>45</v>
      </c>
      <c r="G45" s="11">
        <v>25000</v>
      </c>
      <c r="H45" s="116">
        <v>0</v>
      </c>
      <c r="I45" s="192"/>
      <c r="J45" s="204"/>
      <c r="K45" s="193"/>
      <c r="L45" s="193"/>
      <c r="M45" s="193"/>
      <c r="N45" s="203">
        <f t="shared" si="0"/>
        <v>25000</v>
      </c>
      <c r="O45" s="203">
        <f t="shared" si="1"/>
        <v>25000</v>
      </c>
      <c r="P45" s="203">
        <f t="shared" si="2"/>
        <v>25000</v>
      </c>
      <c r="Q45" s="214"/>
      <c r="R45" s="215"/>
      <c r="S45" s="218">
        <v>45654</v>
      </c>
      <c r="T45" s="205"/>
      <c r="U45" s="205"/>
      <c r="V45" s="216"/>
      <c r="W45" s="212"/>
      <c r="X45" s="10">
        <v>7</v>
      </c>
      <c r="Y45" s="10">
        <v>7</v>
      </c>
      <c r="Z45" s="213">
        <f t="shared" si="3"/>
        <v>25000</v>
      </c>
      <c r="AA45" s="62"/>
      <c r="AB45" s="62"/>
      <c r="AC45" s="62"/>
      <c r="AD45" s="62"/>
      <c r="AE45" s="62"/>
      <c r="AF45" s="63"/>
      <c r="AG45" s="64"/>
      <c r="AH45" s="6">
        <v>1</v>
      </c>
      <c r="AI45">
        <f t="shared" si="4"/>
        <v>25</v>
      </c>
      <c r="AJ45">
        <f t="shared" si="5"/>
        <v>25</v>
      </c>
      <c r="AK45">
        <f t="shared" si="6"/>
        <v>0</v>
      </c>
      <c r="AL45">
        <f t="shared" si="7"/>
        <v>0</v>
      </c>
      <c r="AM45">
        <f t="shared" si="8"/>
        <v>0</v>
      </c>
      <c r="AN45">
        <f t="shared" si="9"/>
        <v>0</v>
      </c>
      <c r="AO45">
        <f t="shared" si="10"/>
        <v>0</v>
      </c>
      <c r="AP45">
        <f t="shared" si="11"/>
        <v>0</v>
      </c>
      <c r="AQ45">
        <f t="shared" si="12"/>
        <v>0</v>
      </c>
      <c r="AR45">
        <f t="shared" si="13"/>
        <v>0</v>
      </c>
      <c r="AS45">
        <f t="shared" si="14"/>
        <v>0</v>
      </c>
      <c r="AT45">
        <f t="shared" si="15"/>
        <v>0</v>
      </c>
      <c r="AU45">
        <f t="shared" si="16"/>
        <v>1</v>
      </c>
      <c r="AV45">
        <f t="shared" si="17"/>
        <v>1</v>
      </c>
      <c r="AW45">
        <f t="shared" si="18"/>
        <v>1</v>
      </c>
      <c r="AX45">
        <f t="shared" si="19"/>
        <v>1</v>
      </c>
      <c r="AY45">
        <f t="shared" si="20"/>
        <v>25000</v>
      </c>
      <c r="AZ45">
        <f t="shared" si="21"/>
        <v>25000</v>
      </c>
      <c r="BA45">
        <f t="shared" si="22"/>
        <v>0</v>
      </c>
      <c r="BB45">
        <f t="shared" si="23"/>
        <v>0</v>
      </c>
      <c r="BC45">
        <f t="shared" si="24"/>
        <v>0</v>
      </c>
      <c r="BD45">
        <f t="shared" si="25"/>
        <v>0</v>
      </c>
      <c r="BE45">
        <f t="shared" si="26"/>
        <v>0</v>
      </c>
      <c r="BF45">
        <f t="shared" si="27"/>
        <v>0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s="201" customFormat="1" ht="14.25" x14ac:dyDescent="0.2">
      <c r="A46" s="10">
        <v>2095</v>
      </c>
      <c r="B46" s="11" t="s">
        <v>510</v>
      </c>
      <c r="C46" s="105" t="s">
        <v>511</v>
      </c>
      <c r="D46" s="11" t="s">
        <v>512</v>
      </c>
      <c r="E46" s="12">
        <v>10288</v>
      </c>
      <c r="F46" s="202">
        <v>45</v>
      </c>
      <c r="G46" s="11">
        <v>65000</v>
      </c>
      <c r="H46" s="116">
        <v>0</v>
      </c>
      <c r="I46" s="192"/>
      <c r="J46" s="204"/>
      <c r="K46" s="193"/>
      <c r="L46" s="193"/>
      <c r="M46" s="193"/>
      <c r="N46" s="203">
        <f t="shared" si="0"/>
        <v>65000</v>
      </c>
      <c r="O46" s="203">
        <f t="shared" si="1"/>
        <v>65000</v>
      </c>
      <c r="P46" s="203">
        <f t="shared" si="2"/>
        <v>65000</v>
      </c>
      <c r="Q46" s="214">
        <v>45663</v>
      </c>
      <c r="R46" s="215"/>
      <c r="S46" s="218">
        <v>45630</v>
      </c>
      <c r="T46" s="205"/>
      <c r="U46" s="205"/>
      <c r="V46" s="216" t="s">
        <v>1131</v>
      </c>
      <c r="W46" s="212"/>
      <c r="X46" s="10">
        <v>7</v>
      </c>
      <c r="Y46" s="10">
        <v>7</v>
      </c>
      <c r="Z46" s="213">
        <f t="shared" si="3"/>
        <v>65000</v>
      </c>
      <c r="AA46" s="62"/>
      <c r="AB46" s="62"/>
      <c r="AC46" s="62"/>
      <c r="AD46" s="62"/>
      <c r="AE46" s="62"/>
      <c r="AF46" s="63"/>
      <c r="AG46" s="64"/>
      <c r="AH46" s="6">
        <v>1</v>
      </c>
      <c r="AI46">
        <f t="shared" si="4"/>
        <v>25</v>
      </c>
      <c r="AJ46">
        <f t="shared" si="5"/>
        <v>25</v>
      </c>
      <c r="AK46">
        <f t="shared" si="6"/>
        <v>0</v>
      </c>
      <c r="AL46">
        <f t="shared" si="7"/>
        <v>0</v>
      </c>
      <c r="AM46">
        <f t="shared" si="8"/>
        <v>0</v>
      </c>
      <c r="AN46">
        <f t="shared" si="9"/>
        <v>0</v>
      </c>
      <c r="AO46">
        <f t="shared" si="10"/>
        <v>0</v>
      </c>
      <c r="AP46">
        <f t="shared" si="11"/>
        <v>0</v>
      </c>
      <c r="AQ46">
        <f t="shared" si="12"/>
        <v>0</v>
      </c>
      <c r="AR46">
        <f t="shared" si="13"/>
        <v>0</v>
      </c>
      <c r="AS46">
        <f t="shared" si="14"/>
        <v>0</v>
      </c>
      <c r="AT46">
        <f t="shared" si="15"/>
        <v>0</v>
      </c>
      <c r="AU46">
        <f t="shared" si="16"/>
        <v>1</v>
      </c>
      <c r="AV46">
        <f t="shared" si="17"/>
        <v>1</v>
      </c>
      <c r="AW46">
        <f t="shared" si="18"/>
        <v>1</v>
      </c>
      <c r="AX46">
        <f t="shared" si="19"/>
        <v>1</v>
      </c>
      <c r="AY46">
        <f t="shared" si="20"/>
        <v>65000</v>
      </c>
      <c r="AZ46">
        <f t="shared" si="21"/>
        <v>65000</v>
      </c>
      <c r="BA46">
        <f t="shared" si="22"/>
        <v>0</v>
      </c>
      <c r="BB46">
        <f t="shared" si="23"/>
        <v>0</v>
      </c>
      <c r="BC46">
        <f t="shared" si="24"/>
        <v>0</v>
      </c>
      <c r="BD46">
        <f t="shared" si="25"/>
        <v>0</v>
      </c>
      <c r="BE46">
        <f t="shared" si="26"/>
        <v>0</v>
      </c>
      <c r="BF46">
        <f t="shared" si="27"/>
        <v>0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 s="201" customFormat="1" ht="14.25" x14ac:dyDescent="0.2">
      <c r="A47" s="10">
        <v>2116</v>
      </c>
      <c r="B47" s="11" t="s">
        <v>513</v>
      </c>
      <c r="C47" s="105" t="s">
        <v>514</v>
      </c>
      <c r="D47" s="11" t="s">
        <v>157</v>
      </c>
      <c r="E47" s="12">
        <v>10435</v>
      </c>
      <c r="F47" s="202">
        <v>44</v>
      </c>
      <c r="G47" s="11">
        <v>60000</v>
      </c>
      <c r="H47" s="116">
        <v>0</v>
      </c>
      <c r="I47" s="192"/>
      <c r="J47" s="204"/>
      <c r="K47" s="193"/>
      <c r="L47" s="193"/>
      <c r="M47" s="193"/>
      <c r="N47" s="203">
        <f t="shared" si="0"/>
        <v>60000</v>
      </c>
      <c r="O47" s="203">
        <f t="shared" si="1"/>
        <v>60000</v>
      </c>
      <c r="P47" s="203">
        <f t="shared" si="2"/>
        <v>60000</v>
      </c>
      <c r="Q47" s="214"/>
      <c r="R47" s="215"/>
      <c r="S47" s="218">
        <v>45637</v>
      </c>
      <c r="T47" s="205"/>
      <c r="U47" s="205"/>
      <c r="V47" s="216"/>
      <c r="W47" s="212"/>
      <c r="X47" s="10">
        <v>7</v>
      </c>
      <c r="Y47" s="10">
        <v>7</v>
      </c>
      <c r="Z47" s="213">
        <f t="shared" si="3"/>
        <v>60000</v>
      </c>
      <c r="AA47" s="62"/>
      <c r="AB47" s="62"/>
      <c r="AC47" s="62"/>
      <c r="AD47" s="62"/>
      <c r="AE47" s="62"/>
      <c r="AF47" s="63"/>
      <c r="AG47" s="64"/>
      <c r="AH47" s="6">
        <v>1</v>
      </c>
      <c r="AI47">
        <f t="shared" si="4"/>
        <v>25</v>
      </c>
      <c r="AJ47">
        <f t="shared" si="5"/>
        <v>25</v>
      </c>
      <c r="AK47">
        <f t="shared" si="6"/>
        <v>0</v>
      </c>
      <c r="AL47">
        <f t="shared" si="7"/>
        <v>0</v>
      </c>
      <c r="AM47">
        <f t="shared" si="8"/>
        <v>0</v>
      </c>
      <c r="AN47">
        <f t="shared" si="9"/>
        <v>0</v>
      </c>
      <c r="AO47">
        <f t="shared" si="10"/>
        <v>0</v>
      </c>
      <c r="AP47">
        <f t="shared" si="11"/>
        <v>0</v>
      </c>
      <c r="AQ47">
        <f t="shared" si="12"/>
        <v>0</v>
      </c>
      <c r="AR47">
        <f t="shared" si="13"/>
        <v>0</v>
      </c>
      <c r="AS47">
        <f t="shared" si="14"/>
        <v>0</v>
      </c>
      <c r="AT47">
        <f t="shared" si="15"/>
        <v>0</v>
      </c>
      <c r="AU47">
        <f t="shared" si="16"/>
        <v>1</v>
      </c>
      <c r="AV47">
        <f t="shared" si="17"/>
        <v>1</v>
      </c>
      <c r="AW47">
        <f t="shared" si="18"/>
        <v>1</v>
      </c>
      <c r="AX47">
        <f t="shared" si="19"/>
        <v>1</v>
      </c>
      <c r="AY47">
        <f t="shared" si="20"/>
        <v>60000</v>
      </c>
      <c r="AZ47">
        <f t="shared" si="21"/>
        <v>60000</v>
      </c>
      <c r="BA47">
        <f t="shared" si="22"/>
        <v>0</v>
      </c>
      <c r="BB47">
        <f t="shared" si="23"/>
        <v>0</v>
      </c>
      <c r="BC47">
        <f t="shared" si="24"/>
        <v>0</v>
      </c>
      <c r="BD47">
        <f t="shared" si="25"/>
        <v>0</v>
      </c>
      <c r="BE47">
        <f t="shared" si="26"/>
        <v>0</v>
      </c>
      <c r="BF47">
        <f t="shared" si="27"/>
        <v>0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 s="201" customFormat="1" ht="14.25" x14ac:dyDescent="0.2">
      <c r="A48" s="10">
        <v>2119</v>
      </c>
      <c r="B48" s="11" t="s">
        <v>253</v>
      </c>
      <c r="C48" s="105" t="s">
        <v>254</v>
      </c>
      <c r="D48" s="11" t="s">
        <v>106</v>
      </c>
      <c r="E48" s="12">
        <v>10430</v>
      </c>
      <c r="F48" s="202">
        <v>44</v>
      </c>
      <c r="G48" s="11">
        <v>30000</v>
      </c>
      <c r="H48" s="116">
        <v>0</v>
      </c>
      <c r="I48" s="192"/>
      <c r="J48" s="204"/>
      <c r="K48" s="193"/>
      <c r="L48" s="193"/>
      <c r="M48" s="193"/>
      <c r="N48" s="203">
        <f t="shared" si="0"/>
        <v>30000</v>
      </c>
      <c r="O48" s="203">
        <f t="shared" si="1"/>
        <v>30000</v>
      </c>
      <c r="P48" s="203">
        <f t="shared" si="2"/>
        <v>30000</v>
      </c>
      <c r="Q48" s="214">
        <v>45663</v>
      </c>
      <c r="R48" s="215"/>
      <c r="S48" s="218">
        <v>45631</v>
      </c>
      <c r="T48" s="205"/>
      <c r="U48" s="205"/>
      <c r="V48" s="216" t="s">
        <v>1131</v>
      </c>
      <c r="W48" s="212"/>
      <c r="X48" s="10">
        <v>7</v>
      </c>
      <c r="Y48" s="10">
        <v>7</v>
      </c>
      <c r="Z48" s="213">
        <f t="shared" si="3"/>
        <v>30000</v>
      </c>
      <c r="AA48" s="62"/>
      <c r="AB48" s="62"/>
      <c r="AC48" s="62"/>
      <c r="AD48" s="62"/>
      <c r="AE48" s="62"/>
      <c r="AF48" s="63"/>
      <c r="AG48" s="64"/>
      <c r="AH48" s="6">
        <v>1</v>
      </c>
      <c r="AI48">
        <f t="shared" si="4"/>
        <v>25</v>
      </c>
      <c r="AJ48">
        <f t="shared" si="5"/>
        <v>25</v>
      </c>
      <c r="AK48">
        <f t="shared" si="6"/>
        <v>0</v>
      </c>
      <c r="AL48">
        <f t="shared" si="7"/>
        <v>0</v>
      </c>
      <c r="AM48">
        <f t="shared" si="8"/>
        <v>0</v>
      </c>
      <c r="AN48">
        <f t="shared" si="9"/>
        <v>0</v>
      </c>
      <c r="AO48">
        <f t="shared" si="10"/>
        <v>0</v>
      </c>
      <c r="AP48">
        <f t="shared" si="11"/>
        <v>0</v>
      </c>
      <c r="AQ48">
        <f t="shared" si="12"/>
        <v>0</v>
      </c>
      <c r="AR48">
        <f t="shared" si="13"/>
        <v>0</v>
      </c>
      <c r="AS48">
        <f t="shared" si="14"/>
        <v>0</v>
      </c>
      <c r="AT48">
        <f t="shared" si="15"/>
        <v>0</v>
      </c>
      <c r="AU48">
        <f t="shared" si="16"/>
        <v>1</v>
      </c>
      <c r="AV48">
        <f t="shared" si="17"/>
        <v>1</v>
      </c>
      <c r="AW48">
        <f t="shared" si="18"/>
        <v>1</v>
      </c>
      <c r="AX48">
        <f t="shared" si="19"/>
        <v>1</v>
      </c>
      <c r="AY48">
        <f t="shared" si="20"/>
        <v>30000</v>
      </c>
      <c r="AZ48">
        <f t="shared" si="21"/>
        <v>30000</v>
      </c>
      <c r="BA48">
        <f t="shared" si="22"/>
        <v>0</v>
      </c>
      <c r="BB48">
        <f t="shared" si="23"/>
        <v>0</v>
      </c>
      <c r="BC48">
        <f t="shared" si="24"/>
        <v>0</v>
      </c>
      <c r="BD48">
        <f t="shared" si="25"/>
        <v>0</v>
      </c>
      <c r="BE48">
        <f t="shared" si="26"/>
        <v>0</v>
      </c>
      <c r="BF48">
        <f t="shared" si="27"/>
        <v>0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201" customFormat="1" ht="14.25" x14ac:dyDescent="0.2">
      <c r="A49" s="10">
        <v>2120</v>
      </c>
      <c r="B49" s="11" t="s">
        <v>338</v>
      </c>
      <c r="C49" s="105" t="s">
        <v>339</v>
      </c>
      <c r="D49" s="11" t="s">
        <v>157</v>
      </c>
      <c r="E49" s="12">
        <v>10281</v>
      </c>
      <c r="F49" s="202">
        <v>44</v>
      </c>
      <c r="G49" s="11">
        <v>50000</v>
      </c>
      <c r="H49" s="116">
        <v>-80000</v>
      </c>
      <c r="I49" s="192"/>
      <c r="J49" s="204"/>
      <c r="K49" s="193"/>
      <c r="L49" s="193"/>
      <c r="M49" s="193"/>
      <c r="N49" s="203">
        <f t="shared" si="0"/>
        <v>50000</v>
      </c>
      <c r="O49" s="203">
        <f t="shared" si="1"/>
        <v>-30000</v>
      </c>
      <c r="P49" s="203">
        <f t="shared" si="2"/>
        <v>0</v>
      </c>
      <c r="Q49" s="214"/>
      <c r="R49" s="215"/>
      <c r="S49" s="218">
        <v>45632</v>
      </c>
      <c r="T49" s="205"/>
      <c r="U49" s="205"/>
      <c r="V49" s="216" t="s">
        <v>330</v>
      </c>
      <c r="W49" s="212"/>
      <c r="X49" s="10">
        <v>7</v>
      </c>
      <c r="Y49" s="10">
        <v>7</v>
      </c>
      <c r="Z49" s="213">
        <f t="shared" si="3"/>
        <v>50000</v>
      </c>
      <c r="AA49" s="62"/>
      <c r="AB49" s="62"/>
      <c r="AC49" s="62"/>
      <c r="AD49" s="62"/>
      <c r="AE49" s="62"/>
      <c r="AF49" s="63"/>
      <c r="AG49" s="64"/>
      <c r="AH49" s="6">
        <v>1</v>
      </c>
      <c r="AI49">
        <f t="shared" si="4"/>
        <v>25</v>
      </c>
      <c r="AJ49">
        <f t="shared" si="5"/>
        <v>25</v>
      </c>
      <c r="AK49">
        <f t="shared" si="6"/>
        <v>0</v>
      </c>
      <c r="AL49">
        <f t="shared" si="7"/>
        <v>0</v>
      </c>
      <c r="AM49">
        <f t="shared" si="8"/>
        <v>0</v>
      </c>
      <c r="AN49">
        <f t="shared" si="9"/>
        <v>0</v>
      </c>
      <c r="AO49">
        <f t="shared" si="10"/>
        <v>0</v>
      </c>
      <c r="AP49">
        <f t="shared" si="11"/>
        <v>0</v>
      </c>
      <c r="AQ49">
        <f t="shared" si="12"/>
        <v>0</v>
      </c>
      <c r="AR49">
        <f t="shared" si="13"/>
        <v>0</v>
      </c>
      <c r="AS49">
        <f t="shared" si="14"/>
        <v>0</v>
      </c>
      <c r="AT49">
        <f t="shared" si="15"/>
        <v>0</v>
      </c>
      <c r="AU49">
        <f t="shared" si="16"/>
        <v>0</v>
      </c>
      <c r="AV49">
        <f t="shared" si="17"/>
        <v>0</v>
      </c>
      <c r="AW49">
        <f t="shared" si="18"/>
        <v>0</v>
      </c>
      <c r="AX49">
        <f t="shared" si="19"/>
        <v>0</v>
      </c>
      <c r="AY49">
        <f t="shared" si="20"/>
        <v>0</v>
      </c>
      <c r="AZ49">
        <f t="shared" si="21"/>
        <v>0</v>
      </c>
      <c r="BA49">
        <f t="shared" si="22"/>
        <v>0</v>
      </c>
      <c r="BB49">
        <f t="shared" si="23"/>
        <v>0</v>
      </c>
      <c r="BC49">
        <f t="shared" si="24"/>
        <v>0</v>
      </c>
      <c r="BD49">
        <f t="shared" si="25"/>
        <v>0</v>
      </c>
      <c r="BE49">
        <f t="shared" si="26"/>
        <v>0</v>
      </c>
      <c r="BF49">
        <f t="shared" si="27"/>
        <v>0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</row>
    <row r="50" spans="1:256" s="201" customFormat="1" ht="14.25" x14ac:dyDescent="0.2">
      <c r="A50" s="10">
        <v>2123</v>
      </c>
      <c r="B50" s="11" t="s">
        <v>515</v>
      </c>
      <c r="C50" s="105" t="s">
        <v>516</v>
      </c>
      <c r="D50" s="11" t="s">
        <v>157</v>
      </c>
      <c r="E50" s="12">
        <v>10440</v>
      </c>
      <c r="F50" s="202">
        <v>44</v>
      </c>
      <c r="G50" s="11">
        <v>55000</v>
      </c>
      <c r="H50" s="116">
        <v>0</v>
      </c>
      <c r="I50" s="192"/>
      <c r="J50" s="204"/>
      <c r="K50" s="193"/>
      <c r="L50" s="193"/>
      <c r="M50" s="193"/>
      <c r="N50" s="203">
        <f t="shared" si="0"/>
        <v>55000</v>
      </c>
      <c r="O50" s="203">
        <f t="shared" si="1"/>
        <v>55000</v>
      </c>
      <c r="P50" s="203">
        <f t="shared" si="2"/>
        <v>55000</v>
      </c>
      <c r="Q50" s="214"/>
      <c r="R50" s="215"/>
      <c r="S50" s="218">
        <v>45647</v>
      </c>
      <c r="T50" s="205"/>
      <c r="U50" s="205"/>
      <c r="V50" s="216"/>
      <c r="W50" s="212"/>
      <c r="X50" s="10">
        <v>7</v>
      </c>
      <c r="Y50" s="10">
        <v>7</v>
      </c>
      <c r="Z50" s="213">
        <f t="shared" si="3"/>
        <v>55000</v>
      </c>
      <c r="AA50" s="62"/>
      <c r="AB50" s="62"/>
      <c r="AC50" s="62"/>
      <c r="AD50" s="62"/>
      <c r="AE50" s="62"/>
      <c r="AF50" s="63"/>
      <c r="AG50" s="64"/>
      <c r="AH50" s="6">
        <v>1</v>
      </c>
      <c r="AI50">
        <f t="shared" si="4"/>
        <v>25</v>
      </c>
      <c r="AJ50">
        <f t="shared" si="5"/>
        <v>25</v>
      </c>
      <c r="AK50">
        <f t="shared" si="6"/>
        <v>0</v>
      </c>
      <c r="AL50">
        <f t="shared" si="7"/>
        <v>0</v>
      </c>
      <c r="AM50">
        <f t="shared" si="8"/>
        <v>0</v>
      </c>
      <c r="AN50">
        <f t="shared" si="9"/>
        <v>0</v>
      </c>
      <c r="AO50">
        <f t="shared" si="10"/>
        <v>0</v>
      </c>
      <c r="AP50">
        <f t="shared" si="11"/>
        <v>0</v>
      </c>
      <c r="AQ50">
        <f t="shared" si="12"/>
        <v>0</v>
      </c>
      <c r="AR50">
        <f t="shared" si="13"/>
        <v>0</v>
      </c>
      <c r="AS50">
        <f t="shared" si="14"/>
        <v>0</v>
      </c>
      <c r="AT50">
        <f t="shared" si="15"/>
        <v>0</v>
      </c>
      <c r="AU50">
        <f t="shared" si="16"/>
        <v>1</v>
      </c>
      <c r="AV50">
        <f t="shared" si="17"/>
        <v>1</v>
      </c>
      <c r="AW50">
        <f t="shared" si="18"/>
        <v>1</v>
      </c>
      <c r="AX50">
        <f t="shared" si="19"/>
        <v>1</v>
      </c>
      <c r="AY50">
        <f t="shared" si="20"/>
        <v>55000</v>
      </c>
      <c r="AZ50">
        <f t="shared" si="21"/>
        <v>55000</v>
      </c>
      <c r="BA50">
        <f t="shared" si="22"/>
        <v>0</v>
      </c>
      <c r="BB50">
        <f t="shared" si="23"/>
        <v>0</v>
      </c>
      <c r="BC50">
        <f t="shared" si="24"/>
        <v>0</v>
      </c>
      <c r="BD50">
        <f t="shared" si="25"/>
        <v>0</v>
      </c>
      <c r="BE50">
        <f t="shared" si="26"/>
        <v>0</v>
      </c>
      <c r="BF50">
        <f t="shared" si="27"/>
        <v>0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s="201" customFormat="1" ht="14.25" x14ac:dyDescent="0.2">
      <c r="A51" s="10">
        <v>2158</v>
      </c>
      <c r="B51" s="11" t="s">
        <v>517</v>
      </c>
      <c r="C51" s="105" t="s">
        <v>518</v>
      </c>
      <c r="D51" s="11" t="s">
        <v>147</v>
      </c>
      <c r="E51" s="12">
        <v>10458</v>
      </c>
      <c r="F51" s="202">
        <v>43</v>
      </c>
      <c r="G51" s="11">
        <v>60000</v>
      </c>
      <c r="H51" s="116">
        <v>-117500</v>
      </c>
      <c r="I51" s="192"/>
      <c r="J51" s="204"/>
      <c r="K51" s="193"/>
      <c r="L51" s="193"/>
      <c r="M51" s="193"/>
      <c r="N51" s="203">
        <f t="shared" si="0"/>
        <v>60000</v>
      </c>
      <c r="O51" s="203">
        <f t="shared" si="1"/>
        <v>-57500</v>
      </c>
      <c r="P51" s="203">
        <f t="shared" si="2"/>
        <v>0</v>
      </c>
      <c r="Q51" s="214"/>
      <c r="R51" s="215"/>
      <c r="S51" s="218">
        <v>45632</v>
      </c>
      <c r="T51" s="205"/>
      <c r="U51" s="205"/>
      <c r="V51" s="216"/>
      <c r="W51" s="212"/>
      <c r="X51" s="10">
        <v>7</v>
      </c>
      <c r="Y51" s="10">
        <v>7</v>
      </c>
      <c r="Z51" s="213">
        <f t="shared" si="3"/>
        <v>60000</v>
      </c>
      <c r="AA51" s="62"/>
      <c r="AB51" s="62"/>
      <c r="AC51" s="62"/>
      <c r="AD51" s="62"/>
      <c r="AE51" s="62"/>
      <c r="AF51" s="63"/>
      <c r="AG51" s="64"/>
      <c r="AH51" s="6">
        <v>1</v>
      </c>
      <c r="AI51">
        <f t="shared" si="4"/>
        <v>25</v>
      </c>
      <c r="AJ51">
        <f t="shared" si="5"/>
        <v>25</v>
      </c>
      <c r="AK51">
        <f t="shared" si="6"/>
        <v>0</v>
      </c>
      <c r="AL51">
        <f t="shared" si="7"/>
        <v>0</v>
      </c>
      <c r="AM51">
        <f t="shared" si="8"/>
        <v>0</v>
      </c>
      <c r="AN51">
        <f t="shared" si="9"/>
        <v>0</v>
      </c>
      <c r="AO51">
        <f t="shared" si="10"/>
        <v>0</v>
      </c>
      <c r="AP51">
        <f t="shared" si="11"/>
        <v>0</v>
      </c>
      <c r="AQ51">
        <f t="shared" si="12"/>
        <v>0</v>
      </c>
      <c r="AR51">
        <f t="shared" si="13"/>
        <v>0</v>
      </c>
      <c r="AS51">
        <f t="shared" si="14"/>
        <v>0</v>
      </c>
      <c r="AT51">
        <f t="shared" si="15"/>
        <v>0</v>
      </c>
      <c r="AU51">
        <f t="shared" si="16"/>
        <v>0</v>
      </c>
      <c r="AV51">
        <f t="shared" si="17"/>
        <v>0</v>
      </c>
      <c r="AW51">
        <f t="shared" si="18"/>
        <v>0</v>
      </c>
      <c r="AX51">
        <f t="shared" si="19"/>
        <v>0</v>
      </c>
      <c r="AY51">
        <f t="shared" si="20"/>
        <v>0</v>
      </c>
      <c r="AZ51">
        <f t="shared" si="21"/>
        <v>0</v>
      </c>
      <c r="BA51">
        <f t="shared" si="22"/>
        <v>0</v>
      </c>
      <c r="BB51">
        <f t="shared" si="23"/>
        <v>0</v>
      </c>
      <c r="BC51">
        <f t="shared" si="24"/>
        <v>0</v>
      </c>
      <c r="BD51">
        <f t="shared" si="25"/>
        <v>0</v>
      </c>
      <c r="BE51">
        <f t="shared" si="26"/>
        <v>0</v>
      </c>
      <c r="BF51">
        <f t="shared" si="27"/>
        <v>0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 s="201" customFormat="1" ht="14.25" x14ac:dyDescent="0.2">
      <c r="A52" s="10">
        <v>2207</v>
      </c>
      <c r="B52" s="11" t="s">
        <v>519</v>
      </c>
      <c r="C52" s="105" t="s">
        <v>520</v>
      </c>
      <c r="D52" s="11" t="s">
        <v>105</v>
      </c>
      <c r="E52" s="12">
        <v>10449</v>
      </c>
      <c r="F52" s="202">
        <v>42</v>
      </c>
      <c r="G52" s="11">
        <v>60000</v>
      </c>
      <c r="H52" s="116">
        <v>0</v>
      </c>
      <c r="I52" s="192"/>
      <c r="J52" s="204"/>
      <c r="K52" s="193"/>
      <c r="L52" s="193"/>
      <c r="M52" s="193"/>
      <c r="N52" s="203">
        <f t="shared" si="0"/>
        <v>60000</v>
      </c>
      <c r="O52" s="203">
        <f t="shared" si="1"/>
        <v>60000</v>
      </c>
      <c r="P52" s="203">
        <f t="shared" si="2"/>
        <v>60000</v>
      </c>
      <c r="Q52" s="214">
        <v>45659</v>
      </c>
      <c r="R52" s="215"/>
      <c r="S52" s="218">
        <v>45630</v>
      </c>
      <c r="T52" s="205"/>
      <c r="U52" s="205"/>
      <c r="V52" s="216" t="s">
        <v>1131</v>
      </c>
      <c r="W52" s="212"/>
      <c r="X52" s="10">
        <v>7</v>
      </c>
      <c r="Y52" s="10">
        <v>7</v>
      </c>
      <c r="Z52" s="213">
        <f t="shared" si="3"/>
        <v>60000</v>
      </c>
      <c r="AA52" s="62"/>
      <c r="AB52" s="62"/>
      <c r="AC52" s="62"/>
      <c r="AD52" s="62"/>
      <c r="AE52" s="62"/>
      <c r="AF52" s="63"/>
      <c r="AG52" s="64"/>
      <c r="AH52" s="6">
        <v>1</v>
      </c>
      <c r="AI52">
        <f t="shared" si="4"/>
        <v>25</v>
      </c>
      <c r="AJ52">
        <f t="shared" si="5"/>
        <v>25</v>
      </c>
      <c r="AK52">
        <f t="shared" si="6"/>
        <v>0</v>
      </c>
      <c r="AL52">
        <f t="shared" si="7"/>
        <v>0</v>
      </c>
      <c r="AM52">
        <f t="shared" si="8"/>
        <v>0</v>
      </c>
      <c r="AN52">
        <f t="shared" si="9"/>
        <v>0</v>
      </c>
      <c r="AO52">
        <f t="shared" si="10"/>
        <v>0</v>
      </c>
      <c r="AP52">
        <f t="shared" si="11"/>
        <v>0</v>
      </c>
      <c r="AQ52">
        <f t="shared" si="12"/>
        <v>0</v>
      </c>
      <c r="AR52">
        <f t="shared" si="13"/>
        <v>0</v>
      </c>
      <c r="AS52">
        <f t="shared" si="14"/>
        <v>0</v>
      </c>
      <c r="AT52">
        <f t="shared" si="15"/>
        <v>0</v>
      </c>
      <c r="AU52">
        <f t="shared" si="16"/>
        <v>1</v>
      </c>
      <c r="AV52">
        <f t="shared" si="17"/>
        <v>1</v>
      </c>
      <c r="AW52">
        <f t="shared" si="18"/>
        <v>1</v>
      </c>
      <c r="AX52">
        <f t="shared" si="19"/>
        <v>1</v>
      </c>
      <c r="AY52">
        <f t="shared" si="20"/>
        <v>60000</v>
      </c>
      <c r="AZ52">
        <f t="shared" si="21"/>
        <v>60000</v>
      </c>
      <c r="BA52">
        <f t="shared" si="22"/>
        <v>0</v>
      </c>
      <c r="BB52">
        <f t="shared" si="23"/>
        <v>0</v>
      </c>
      <c r="BC52">
        <f t="shared" si="24"/>
        <v>0</v>
      </c>
      <c r="BD52">
        <f t="shared" si="25"/>
        <v>0</v>
      </c>
      <c r="BE52">
        <f t="shared" si="26"/>
        <v>0</v>
      </c>
      <c r="BF52">
        <f t="shared" si="27"/>
        <v>0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s="201" customFormat="1" ht="14.25" x14ac:dyDescent="0.2">
      <c r="A53" s="10">
        <v>2232</v>
      </c>
      <c r="B53" s="11" t="s">
        <v>521</v>
      </c>
      <c r="C53" s="105" t="s">
        <v>522</v>
      </c>
      <c r="D53" s="11" t="s">
        <v>160</v>
      </c>
      <c r="E53" s="12">
        <v>11064</v>
      </c>
      <c r="F53" s="202">
        <v>42</v>
      </c>
      <c r="G53" s="11">
        <v>60000</v>
      </c>
      <c r="H53" s="116">
        <v>0</v>
      </c>
      <c r="I53" s="192"/>
      <c r="J53" s="204"/>
      <c r="K53" s="193"/>
      <c r="L53" s="193"/>
      <c r="M53" s="193"/>
      <c r="N53" s="203">
        <f t="shared" si="0"/>
        <v>60000</v>
      </c>
      <c r="O53" s="203">
        <f t="shared" si="1"/>
        <v>60000</v>
      </c>
      <c r="P53" s="203">
        <f t="shared" si="2"/>
        <v>60000</v>
      </c>
      <c r="Q53" s="214"/>
      <c r="R53" s="215"/>
      <c r="S53" s="218">
        <v>45642</v>
      </c>
      <c r="T53" s="205"/>
      <c r="U53" s="205"/>
      <c r="V53" s="216"/>
      <c r="W53" s="212"/>
      <c r="X53" s="10">
        <v>7</v>
      </c>
      <c r="Y53" s="10">
        <v>7</v>
      </c>
      <c r="Z53" s="213">
        <f t="shared" si="3"/>
        <v>60000</v>
      </c>
      <c r="AA53" s="62"/>
      <c r="AB53" s="62"/>
      <c r="AC53" s="62"/>
      <c r="AD53" s="62"/>
      <c r="AE53" s="62"/>
      <c r="AF53" s="63"/>
      <c r="AG53" s="64"/>
      <c r="AH53" s="6">
        <v>1</v>
      </c>
      <c r="AI53">
        <f t="shared" si="4"/>
        <v>25</v>
      </c>
      <c r="AJ53">
        <f t="shared" si="5"/>
        <v>25</v>
      </c>
      <c r="AK53">
        <f t="shared" si="6"/>
        <v>0</v>
      </c>
      <c r="AL53">
        <f t="shared" si="7"/>
        <v>0</v>
      </c>
      <c r="AM53">
        <f t="shared" si="8"/>
        <v>0</v>
      </c>
      <c r="AN53">
        <f t="shared" si="9"/>
        <v>0</v>
      </c>
      <c r="AO53">
        <f t="shared" si="10"/>
        <v>0</v>
      </c>
      <c r="AP53">
        <f t="shared" si="11"/>
        <v>0</v>
      </c>
      <c r="AQ53">
        <f t="shared" si="12"/>
        <v>0</v>
      </c>
      <c r="AR53">
        <f t="shared" si="13"/>
        <v>0</v>
      </c>
      <c r="AS53">
        <f t="shared" si="14"/>
        <v>0</v>
      </c>
      <c r="AT53">
        <f t="shared" si="15"/>
        <v>0</v>
      </c>
      <c r="AU53">
        <f t="shared" si="16"/>
        <v>1</v>
      </c>
      <c r="AV53">
        <f t="shared" si="17"/>
        <v>1</v>
      </c>
      <c r="AW53">
        <f t="shared" si="18"/>
        <v>1</v>
      </c>
      <c r="AX53">
        <f t="shared" si="19"/>
        <v>1</v>
      </c>
      <c r="AY53">
        <f t="shared" si="20"/>
        <v>60000</v>
      </c>
      <c r="AZ53">
        <f t="shared" si="21"/>
        <v>60000</v>
      </c>
      <c r="BA53">
        <f t="shared" si="22"/>
        <v>0</v>
      </c>
      <c r="BB53">
        <f t="shared" si="23"/>
        <v>0</v>
      </c>
      <c r="BC53">
        <f t="shared" si="24"/>
        <v>0</v>
      </c>
      <c r="BD53">
        <f t="shared" si="25"/>
        <v>0</v>
      </c>
      <c r="BE53">
        <f t="shared" si="26"/>
        <v>0</v>
      </c>
      <c r="BF53">
        <f t="shared" si="27"/>
        <v>0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s="201" customFormat="1" ht="14.25" x14ac:dyDescent="0.2">
      <c r="A54" s="10">
        <v>2294</v>
      </c>
      <c r="B54" s="11" t="s">
        <v>523</v>
      </c>
      <c r="C54" s="105" t="s">
        <v>524</v>
      </c>
      <c r="D54" s="11" t="s">
        <v>105</v>
      </c>
      <c r="E54" s="12">
        <v>11090</v>
      </c>
      <c r="F54" s="202">
        <v>41</v>
      </c>
      <c r="G54" s="11">
        <v>60000</v>
      </c>
      <c r="H54" s="116">
        <v>0</v>
      </c>
      <c r="I54" s="192"/>
      <c r="J54" s="204"/>
      <c r="K54" s="193"/>
      <c r="L54" s="193"/>
      <c r="M54" s="193"/>
      <c r="N54" s="203">
        <f t="shared" si="0"/>
        <v>60000</v>
      </c>
      <c r="O54" s="203">
        <f t="shared" si="1"/>
        <v>60000</v>
      </c>
      <c r="P54" s="203">
        <f t="shared" si="2"/>
        <v>60000</v>
      </c>
      <c r="Q54" s="214"/>
      <c r="R54" s="215"/>
      <c r="S54" s="218">
        <v>45630</v>
      </c>
      <c r="T54" s="205"/>
      <c r="U54" s="205"/>
      <c r="V54" s="216"/>
      <c r="W54" s="212"/>
      <c r="X54" s="10">
        <v>7</v>
      </c>
      <c r="Y54" s="10">
        <v>7</v>
      </c>
      <c r="Z54" s="213">
        <f t="shared" si="3"/>
        <v>60000</v>
      </c>
      <c r="AA54" s="62"/>
      <c r="AB54" s="62"/>
      <c r="AC54" s="62"/>
      <c r="AD54" s="62"/>
      <c r="AE54" s="62"/>
      <c r="AF54" s="63"/>
      <c r="AG54" s="64"/>
      <c r="AH54" s="6">
        <v>1</v>
      </c>
      <c r="AI54">
        <f t="shared" si="4"/>
        <v>25</v>
      </c>
      <c r="AJ54">
        <f t="shared" si="5"/>
        <v>25</v>
      </c>
      <c r="AK54">
        <f t="shared" si="6"/>
        <v>0</v>
      </c>
      <c r="AL54">
        <f t="shared" si="7"/>
        <v>0</v>
      </c>
      <c r="AM54">
        <f t="shared" si="8"/>
        <v>0</v>
      </c>
      <c r="AN54">
        <f t="shared" si="9"/>
        <v>0</v>
      </c>
      <c r="AO54">
        <f t="shared" si="10"/>
        <v>0</v>
      </c>
      <c r="AP54">
        <f t="shared" si="11"/>
        <v>0</v>
      </c>
      <c r="AQ54">
        <f t="shared" si="12"/>
        <v>0</v>
      </c>
      <c r="AR54">
        <f t="shared" si="13"/>
        <v>0</v>
      </c>
      <c r="AS54">
        <f t="shared" si="14"/>
        <v>0</v>
      </c>
      <c r="AT54">
        <f t="shared" si="15"/>
        <v>0</v>
      </c>
      <c r="AU54">
        <f t="shared" si="16"/>
        <v>1</v>
      </c>
      <c r="AV54">
        <f t="shared" si="17"/>
        <v>1</v>
      </c>
      <c r="AW54">
        <f t="shared" si="18"/>
        <v>1</v>
      </c>
      <c r="AX54">
        <f t="shared" si="19"/>
        <v>1</v>
      </c>
      <c r="AY54">
        <f t="shared" si="20"/>
        <v>60000</v>
      </c>
      <c r="AZ54">
        <f t="shared" si="21"/>
        <v>60000</v>
      </c>
      <c r="BA54">
        <f t="shared" si="22"/>
        <v>0</v>
      </c>
      <c r="BB54">
        <f t="shared" si="23"/>
        <v>0</v>
      </c>
      <c r="BC54">
        <f t="shared" si="24"/>
        <v>0</v>
      </c>
      <c r="BD54">
        <f t="shared" si="25"/>
        <v>0</v>
      </c>
      <c r="BE54">
        <f t="shared" si="26"/>
        <v>0</v>
      </c>
      <c r="BF54">
        <f t="shared" si="27"/>
        <v>0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 s="201" customFormat="1" ht="14.25" x14ac:dyDescent="0.2">
      <c r="A55" s="10">
        <v>2326</v>
      </c>
      <c r="B55" s="11" t="s">
        <v>525</v>
      </c>
      <c r="C55" s="105" t="s">
        <v>526</v>
      </c>
      <c r="D55" s="11" t="s">
        <v>105</v>
      </c>
      <c r="E55" s="12">
        <v>11089</v>
      </c>
      <c r="F55" s="202">
        <v>40</v>
      </c>
      <c r="G55" s="11">
        <v>60000</v>
      </c>
      <c r="H55" s="116">
        <v>-15000</v>
      </c>
      <c r="I55" s="192"/>
      <c r="J55" s="204"/>
      <c r="K55" s="193"/>
      <c r="L55" s="193"/>
      <c r="M55" s="193"/>
      <c r="N55" s="203">
        <f t="shared" si="0"/>
        <v>60000</v>
      </c>
      <c r="O55" s="203">
        <f t="shared" si="1"/>
        <v>45000</v>
      </c>
      <c r="P55" s="203">
        <f t="shared" si="2"/>
        <v>45000</v>
      </c>
      <c r="Q55" s="214"/>
      <c r="R55" s="215"/>
      <c r="S55" s="218">
        <v>45637</v>
      </c>
      <c r="T55" s="205"/>
      <c r="U55" s="205"/>
      <c r="V55" s="216"/>
      <c r="W55" s="212"/>
      <c r="X55" s="10">
        <v>7</v>
      </c>
      <c r="Y55" s="10">
        <v>7</v>
      </c>
      <c r="Z55" s="213">
        <f t="shared" si="3"/>
        <v>60000</v>
      </c>
      <c r="AA55" s="62"/>
      <c r="AB55" s="62"/>
      <c r="AC55" s="62"/>
      <c r="AD55" s="62"/>
      <c r="AE55" s="62"/>
      <c r="AF55" s="63"/>
      <c r="AG55" s="64"/>
      <c r="AH55" s="6">
        <v>1</v>
      </c>
      <c r="AI55">
        <f t="shared" si="4"/>
        <v>25</v>
      </c>
      <c r="AJ55">
        <f t="shared" si="5"/>
        <v>25</v>
      </c>
      <c r="AK55">
        <f t="shared" si="6"/>
        <v>0</v>
      </c>
      <c r="AL55">
        <f t="shared" si="7"/>
        <v>0</v>
      </c>
      <c r="AM55">
        <f t="shared" si="8"/>
        <v>0</v>
      </c>
      <c r="AN55">
        <f t="shared" si="9"/>
        <v>0</v>
      </c>
      <c r="AO55">
        <f t="shared" si="10"/>
        <v>0</v>
      </c>
      <c r="AP55">
        <f t="shared" si="11"/>
        <v>0</v>
      </c>
      <c r="AQ55">
        <f t="shared" si="12"/>
        <v>0</v>
      </c>
      <c r="AR55">
        <f t="shared" si="13"/>
        <v>0</v>
      </c>
      <c r="AS55">
        <f t="shared" si="14"/>
        <v>0</v>
      </c>
      <c r="AT55">
        <f t="shared" si="15"/>
        <v>0</v>
      </c>
      <c r="AU55">
        <f t="shared" si="16"/>
        <v>1</v>
      </c>
      <c r="AV55">
        <f t="shared" si="17"/>
        <v>1</v>
      </c>
      <c r="AW55">
        <f t="shared" si="18"/>
        <v>1</v>
      </c>
      <c r="AX55">
        <f t="shared" si="19"/>
        <v>1</v>
      </c>
      <c r="AY55">
        <f t="shared" si="20"/>
        <v>45000</v>
      </c>
      <c r="AZ55">
        <f t="shared" si="21"/>
        <v>45000</v>
      </c>
      <c r="BA55">
        <f t="shared" si="22"/>
        <v>0</v>
      </c>
      <c r="BB55">
        <f t="shared" si="23"/>
        <v>0</v>
      </c>
      <c r="BC55">
        <f t="shared" si="24"/>
        <v>0</v>
      </c>
      <c r="BD55">
        <f t="shared" si="25"/>
        <v>0</v>
      </c>
      <c r="BE55">
        <f t="shared" si="26"/>
        <v>0</v>
      </c>
      <c r="BF55">
        <f t="shared" si="27"/>
        <v>0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201" customFormat="1" ht="14.25" x14ac:dyDescent="0.2">
      <c r="A56" s="10">
        <v>2336</v>
      </c>
      <c r="B56" s="11" t="s">
        <v>527</v>
      </c>
      <c r="C56" s="105" t="s">
        <v>528</v>
      </c>
      <c r="D56" s="11" t="s">
        <v>106</v>
      </c>
      <c r="E56" s="12">
        <v>11187</v>
      </c>
      <c r="F56" s="202">
        <v>40</v>
      </c>
      <c r="G56" s="11">
        <v>60000</v>
      </c>
      <c r="H56" s="116">
        <v>0</v>
      </c>
      <c r="I56" s="192"/>
      <c r="J56" s="204"/>
      <c r="K56" s="193"/>
      <c r="L56" s="193"/>
      <c r="M56" s="193"/>
      <c r="N56" s="203">
        <f t="shared" si="0"/>
        <v>60000</v>
      </c>
      <c r="O56" s="203">
        <f t="shared" si="1"/>
        <v>60000</v>
      </c>
      <c r="P56" s="203">
        <f t="shared" si="2"/>
        <v>60000</v>
      </c>
      <c r="Q56" s="214"/>
      <c r="R56" s="215"/>
      <c r="S56" s="218">
        <v>45635</v>
      </c>
      <c r="T56" s="205"/>
      <c r="U56" s="205"/>
      <c r="V56" s="216"/>
      <c r="W56" s="212"/>
      <c r="X56" s="10">
        <v>7</v>
      </c>
      <c r="Y56" s="10">
        <v>7</v>
      </c>
      <c r="Z56" s="213">
        <f t="shared" si="3"/>
        <v>60000</v>
      </c>
      <c r="AA56" s="62"/>
      <c r="AB56" s="62"/>
      <c r="AC56" s="62"/>
      <c r="AD56" s="62"/>
      <c r="AE56" s="62"/>
      <c r="AF56" s="63"/>
      <c r="AG56" s="64"/>
      <c r="AH56" s="6">
        <v>1</v>
      </c>
      <c r="AI56">
        <f t="shared" si="4"/>
        <v>25</v>
      </c>
      <c r="AJ56">
        <f t="shared" si="5"/>
        <v>25</v>
      </c>
      <c r="AK56">
        <f t="shared" si="6"/>
        <v>0</v>
      </c>
      <c r="AL56">
        <f t="shared" si="7"/>
        <v>0</v>
      </c>
      <c r="AM56">
        <f t="shared" si="8"/>
        <v>0</v>
      </c>
      <c r="AN56">
        <f t="shared" si="9"/>
        <v>0</v>
      </c>
      <c r="AO56">
        <f t="shared" si="10"/>
        <v>0</v>
      </c>
      <c r="AP56">
        <f t="shared" si="11"/>
        <v>0</v>
      </c>
      <c r="AQ56">
        <f t="shared" si="12"/>
        <v>0</v>
      </c>
      <c r="AR56">
        <f t="shared" si="13"/>
        <v>0</v>
      </c>
      <c r="AS56">
        <f t="shared" si="14"/>
        <v>0</v>
      </c>
      <c r="AT56">
        <f t="shared" si="15"/>
        <v>0</v>
      </c>
      <c r="AU56">
        <f t="shared" si="16"/>
        <v>1</v>
      </c>
      <c r="AV56">
        <f t="shared" si="17"/>
        <v>1</v>
      </c>
      <c r="AW56">
        <f t="shared" si="18"/>
        <v>1</v>
      </c>
      <c r="AX56">
        <f t="shared" si="19"/>
        <v>1</v>
      </c>
      <c r="AY56">
        <f t="shared" si="20"/>
        <v>60000</v>
      </c>
      <c r="AZ56">
        <f t="shared" si="21"/>
        <v>60000</v>
      </c>
      <c r="BA56">
        <f t="shared" si="22"/>
        <v>0</v>
      </c>
      <c r="BB56">
        <f t="shared" si="23"/>
        <v>0</v>
      </c>
      <c r="BC56">
        <f t="shared" si="24"/>
        <v>0</v>
      </c>
      <c r="BD56">
        <f t="shared" si="25"/>
        <v>0</v>
      </c>
      <c r="BE56">
        <f t="shared" si="26"/>
        <v>0</v>
      </c>
      <c r="BF56">
        <f t="shared" si="27"/>
        <v>0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</row>
    <row r="57" spans="1:256" s="201" customFormat="1" ht="14.25" x14ac:dyDescent="0.2">
      <c r="A57" s="10">
        <v>2339</v>
      </c>
      <c r="B57" s="11" t="s">
        <v>529</v>
      </c>
      <c r="C57" s="105" t="s">
        <v>530</v>
      </c>
      <c r="D57" s="11" t="s">
        <v>160</v>
      </c>
      <c r="E57" s="12">
        <v>11193</v>
      </c>
      <c r="F57" s="202">
        <v>40</v>
      </c>
      <c r="G57" s="11">
        <v>60000</v>
      </c>
      <c r="H57" s="116">
        <v>0</v>
      </c>
      <c r="I57" s="192"/>
      <c r="J57" s="204"/>
      <c r="K57" s="193"/>
      <c r="L57" s="193"/>
      <c r="M57" s="193"/>
      <c r="N57" s="203">
        <f t="shared" si="0"/>
        <v>60000</v>
      </c>
      <c r="O57" s="203">
        <f t="shared" si="1"/>
        <v>60000</v>
      </c>
      <c r="P57" s="203">
        <f t="shared" si="2"/>
        <v>60000</v>
      </c>
      <c r="Q57" s="214"/>
      <c r="R57" s="215"/>
      <c r="S57" s="218">
        <v>45656</v>
      </c>
      <c r="T57" s="205"/>
      <c r="U57" s="205"/>
      <c r="V57" s="216"/>
      <c r="W57" s="212"/>
      <c r="X57" s="10">
        <v>7</v>
      </c>
      <c r="Y57" s="10">
        <v>7</v>
      </c>
      <c r="Z57" s="213">
        <f t="shared" si="3"/>
        <v>60000</v>
      </c>
      <c r="AA57" s="62"/>
      <c r="AB57" s="62"/>
      <c r="AC57" s="62"/>
      <c r="AD57" s="62"/>
      <c r="AE57" s="62"/>
      <c r="AF57" s="63"/>
      <c r="AG57" s="64"/>
      <c r="AH57" s="6">
        <v>1</v>
      </c>
      <c r="AI57">
        <f t="shared" si="4"/>
        <v>25</v>
      </c>
      <c r="AJ57">
        <f t="shared" si="5"/>
        <v>25</v>
      </c>
      <c r="AK57">
        <f t="shared" si="6"/>
        <v>0</v>
      </c>
      <c r="AL57">
        <f t="shared" si="7"/>
        <v>0</v>
      </c>
      <c r="AM57">
        <f t="shared" si="8"/>
        <v>0</v>
      </c>
      <c r="AN57">
        <f t="shared" si="9"/>
        <v>0</v>
      </c>
      <c r="AO57">
        <f t="shared" si="10"/>
        <v>0</v>
      </c>
      <c r="AP57">
        <f t="shared" si="11"/>
        <v>0</v>
      </c>
      <c r="AQ57">
        <f t="shared" si="12"/>
        <v>0</v>
      </c>
      <c r="AR57">
        <f t="shared" si="13"/>
        <v>0</v>
      </c>
      <c r="AS57">
        <f t="shared" si="14"/>
        <v>0</v>
      </c>
      <c r="AT57">
        <f t="shared" si="15"/>
        <v>0</v>
      </c>
      <c r="AU57">
        <f t="shared" si="16"/>
        <v>1</v>
      </c>
      <c r="AV57">
        <f t="shared" si="17"/>
        <v>1</v>
      </c>
      <c r="AW57">
        <f t="shared" si="18"/>
        <v>1</v>
      </c>
      <c r="AX57">
        <f t="shared" si="19"/>
        <v>1</v>
      </c>
      <c r="AY57">
        <f t="shared" si="20"/>
        <v>60000</v>
      </c>
      <c r="AZ57">
        <f t="shared" si="21"/>
        <v>60000</v>
      </c>
      <c r="BA57">
        <f t="shared" si="22"/>
        <v>0</v>
      </c>
      <c r="BB57">
        <f t="shared" si="23"/>
        <v>0</v>
      </c>
      <c r="BC57">
        <f t="shared" si="24"/>
        <v>0</v>
      </c>
      <c r="BD57">
        <f t="shared" si="25"/>
        <v>0</v>
      </c>
      <c r="BE57">
        <f t="shared" si="26"/>
        <v>0</v>
      </c>
      <c r="BF57">
        <f t="shared" si="27"/>
        <v>0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s="201" customFormat="1" ht="14.25" x14ac:dyDescent="0.2">
      <c r="A58" s="10">
        <v>2342</v>
      </c>
      <c r="B58" s="11" t="s">
        <v>531</v>
      </c>
      <c r="C58" s="105" t="s">
        <v>532</v>
      </c>
      <c r="D58" s="11" t="s">
        <v>106</v>
      </c>
      <c r="E58" s="12">
        <v>11197</v>
      </c>
      <c r="F58" s="202">
        <v>40</v>
      </c>
      <c r="G58" s="11">
        <v>70000</v>
      </c>
      <c r="H58" s="116">
        <v>-30000</v>
      </c>
      <c r="I58" s="192"/>
      <c r="J58" s="204"/>
      <c r="K58" s="193"/>
      <c r="L58" s="193"/>
      <c r="M58" s="193"/>
      <c r="N58" s="203">
        <f t="shared" si="0"/>
        <v>70000</v>
      </c>
      <c r="O58" s="203">
        <f t="shared" si="1"/>
        <v>40000</v>
      </c>
      <c r="P58" s="203">
        <f t="shared" si="2"/>
        <v>40000</v>
      </c>
      <c r="Q58" s="214"/>
      <c r="R58" s="215"/>
      <c r="S58" s="218">
        <v>45633</v>
      </c>
      <c r="T58" s="205"/>
      <c r="U58" s="205"/>
      <c r="V58" s="216"/>
      <c r="W58" s="212"/>
      <c r="X58" s="10">
        <v>7</v>
      </c>
      <c r="Y58" s="10">
        <v>7</v>
      </c>
      <c r="Z58" s="213">
        <f t="shared" si="3"/>
        <v>70000</v>
      </c>
      <c r="AA58" s="62"/>
      <c r="AB58" s="62"/>
      <c r="AC58" s="62"/>
      <c r="AD58" s="62"/>
      <c r="AE58" s="62"/>
      <c r="AF58" s="63"/>
      <c r="AG58" s="64"/>
      <c r="AH58" s="6">
        <v>1</v>
      </c>
      <c r="AI58">
        <f t="shared" si="4"/>
        <v>25</v>
      </c>
      <c r="AJ58">
        <f t="shared" si="5"/>
        <v>25</v>
      </c>
      <c r="AK58">
        <f t="shared" si="6"/>
        <v>0</v>
      </c>
      <c r="AL58">
        <f t="shared" si="7"/>
        <v>0</v>
      </c>
      <c r="AM58">
        <f t="shared" si="8"/>
        <v>0</v>
      </c>
      <c r="AN58">
        <f t="shared" si="9"/>
        <v>0</v>
      </c>
      <c r="AO58">
        <f t="shared" si="10"/>
        <v>0</v>
      </c>
      <c r="AP58">
        <f t="shared" si="11"/>
        <v>0</v>
      </c>
      <c r="AQ58">
        <f t="shared" si="12"/>
        <v>0</v>
      </c>
      <c r="AR58">
        <f t="shared" si="13"/>
        <v>0</v>
      </c>
      <c r="AS58">
        <f t="shared" si="14"/>
        <v>0</v>
      </c>
      <c r="AT58">
        <f t="shared" si="15"/>
        <v>0</v>
      </c>
      <c r="AU58">
        <f t="shared" si="16"/>
        <v>1</v>
      </c>
      <c r="AV58">
        <f t="shared" si="17"/>
        <v>1</v>
      </c>
      <c r="AW58">
        <f t="shared" si="18"/>
        <v>1</v>
      </c>
      <c r="AX58">
        <f t="shared" si="19"/>
        <v>1</v>
      </c>
      <c r="AY58">
        <f t="shared" si="20"/>
        <v>40000</v>
      </c>
      <c r="AZ58">
        <f t="shared" si="21"/>
        <v>40000</v>
      </c>
      <c r="BA58">
        <f t="shared" si="22"/>
        <v>0</v>
      </c>
      <c r="BB58">
        <f t="shared" si="23"/>
        <v>0</v>
      </c>
      <c r="BC58">
        <f t="shared" si="24"/>
        <v>0</v>
      </c>
      <c r="BD58">
        <f t="shared" si="25"/>
        <v>0</v>
      </c>
      <c r="BE58">
        <f t="shared" si="26"/>
        <v>0</v>
      </c>
      <c r="BF58">
        <f t="shared" si="27"/>
        <v>0</v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s="201" customFormat="1" ht="14.25" x14ac:dyDescent="0.2">
      <c r="A59" s="10">
        <v>2354</v>
      </c>
      <c r="B59" s="11" t="s">
        <v>257</v>
      </c>
      <c r="C59" s="105" t="s">
        <v>258</v>
      </c>
      <c r="D59" s="11" t="s">
        <v>105</v>
      </c>
      <c r="E59" s="12">
        <v>11214</v>
      </c>
      <c r="F59" s="202">
        <v>40</v>
      </c>
      <c r="G59" s="11">
        <v>30000</v>
      </c>
      <c r="H59" s="116">
        <v>0</v>
      </c>
      <c r="I59" s="192"/>
      <c r="J59" s="204"/>
      <c r="K59" s="193"/>
      <c r="L59" s="193"/>
      <c r="M59" s="193"/>
      <c r="N59" s="203">
        <f t="shared" si="0"/>
        <v>30000</v>
      </c>
      <c r="O59" s="203">
        <f t="shared" si="1"/>
        <v>30000</v>
      </c>
      <c r="P59" s="203">
        <f t="shared" si="2"/>
        <v>30000</v>
      </c>
      <c r="Q59" s="214"/>
      <c r="R59" s="215"/>
      <c r="S59" s="218">
        <v>45656</v>
      </c>
      <c r="T59" s="205"/>
      <c r="U59" s="205"/>
      <c r="V59" s="216"/>
      <c r="W59" s="212"/>
      <c r="X59" s="10">
        <v>7</v>
      </c>
      <c r="Y59" s="10">
        <v>7</v>
      </c>
      <c r="Z59" s="213">
        <f t="shared" si="3"/>
        <v>30000</v>
      </c>
      <c r="AA59" s="62"/>
      <c r="AB59" s="62"/>
      <c r="AC59" s="62"/>
      <c r="AD59" s="62"/>
      <c r="AE59" s="62"/>
      <c r="AF59" s="63"/>
      <c r="AG59" s="64"/>
      <c r="AH59" s="6">
        <v>1</v>
      </c>
      <c r="AI59">
        <f t="shared" si="4"/>
        <v>25</v>
      </c>
      <c r="AJ59">
        <f t="shared" si="5"/>
        <v>25</v>
      </c>
      <c r="AK59">
        <f t="shared" si="6"/>
        <v>0</v>
      </c>
      <c r="AL59">
        <f t="shared" si="7"/>
        <v>0</v>
      </c>
      <c r="AM59">
        <f t="shared" si="8"/>
        <v>0</v>
      </c>
      <c r="AN59">
        <f t="shared" si="9"/>
        <v>0</v>
      </c>
      <c r="AO59">
        <f t="shared" si="10"/>
        <v>0</v>
      </c>
      <c r="AP59">
        <f t="shared" si="11"/>
        <v>0</v>
      </c>
      <c r="AQ59">
        <f t="shared" si="12"/>
        <v>0</v>
      </c>
      <c r="AR59">
        <f t="shared" si="13"/>
        <v>0</v>
      </c>
      <c r="AS59">
        <f t="shared" si="14"/>
        <v>0</v>
      </c>
      <c r="AT59">
        <f t="shared" si="15"/>
        <v>0</v>
      </c>
      <c r="AU59">
        <f t="shared" si="16"/>
        <v>1</v>
      </c>
      <c r="AV59">
        <f t="shared" si="17"/>
        <v>1</v>
      </c>
      <c r="AW59">
        <f t="shared" si="18"/>
        <v>1</v>
      </c>
      <c r="AX59">
        <f t="shared" si="19"/>
        <v>1</v>
      </c>
      <c r="AY59">
        <f t="shared" si="20"/>
        <v>30000</v>
      </c>
      <c r="AZ59">
        <f t="shared" si="21"/>
        <v>30000</v>
      </c>
      <c r="BA59">
        <f t="shared" si="22"/>
        <v>0</v>
      </c>
      <c r="BB59">
        <f t="shared" si="23"/>
        <v>0</v>
      </c>
      <c r="BC59">
        <f t="shared" si="24"/>
        <v>0</v>
      </c>
      <c r="BD59">
        <f t="shared" si="25"/>
        <v>0</v>
      </c>
      <c r="BE59">
        <f t="shared" si="26"/>
        <v>0</v>
      </c>
      <c r="BF59">
        <f t="shared" si="27"/>
        <v>0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 s="201" customFormat="1" ht="14.25" x14ac:dyDescent="0.2">
      <c r="A60" s="10">
        <v>2360</v>
      </c>
      <c r="B60" s="11" t="s">
        <v>277</v>
      </c>
      <c r="C60" s="105" t="s">
        <v>278</v>
      </c>
      <c r="D60" s="11" t="s">
        <v>147</v>
      </c>
      <c r="E60" s="12">
        <v>11245</v>
      </c>
      <c r="F60" s="202">
        <v>40</v>
      </c>
      <c r="G60" s="11">
        <v>60000</v>
      </c>
      <c r="H60" s="116">
        <v>0</v>
      </c>
      <c r="I60" s="192"/>
      <c r="J60" s="204"/>
      <c r="K60" s="193"/>
      <c r="L60" s="193"/>
      <c r="M60" s="193"/>
      <c r="N60" s="203">
        <f t="shared" si="0"/>
        <v>60000</v>
      </c>
      <c r="O60" s="203">
        <f t="shared" si="1"/>
        <v>60000</v>
      </c>
      <c r="P60" s="203">
        <f t="shared" si="2"/>
        <v>60000</v>
      </c>
      <c r="Q60" s="214">
        <v>45659</v>
      </c>
      <c r="R60" s="215"/>
      <c r="S60" s="218">
        <v>45631</v>
      </c>
      <c r="T60" s="205"/>
      <c r="U60" s="205"/>
      <c r="V60" s="216" t="s">
        <v>1131</v>
      </c>
      <c r="W60" s="212"/>
      <c r="X60" s="10">
        <v>7</v>
      </c>
      <c r="Y60" s="10">
        <v>7</v>
      </c>
      <c r="Z60" s="213">
        <f t="shared" si="3"/>
        <v>60000</v>
      </c>
      <c r="AA60" s="62"/>
      <c r="AB60" s="62"/>
      <c r="AC60" s="62"/>
      <c r="AD60" s="62"/>
      <c r="AE60" s="62"/>
      <c r="AF60" s="63"/>
      <c r="AG60" s="64"/>
      <c r="AH60" s="6">
        <v>1</v>
      </c>
      <c r="AI60">
        <f t="shared" si="4"/>
        <v>25</v>
      </c>
      <c r="AJ60">
        <f t="shared" si="5"/>
        <v>25</v>
      </c>
      <c r="AK60">
        <f t="shared" si="6"/>
        <v>0</v>
      </c>
      <c r="AL60">
        <f t="shared" si="7"/>
        <v>0</v>
      </c>
      <c r="AM60">
        <f t="shared" si="8"/>
        <v>0</v>
      </c>
      <c r="AN60">
        <f t="shared" si="9"/>
        <v>0</v>
      </c>
      <c r="AO60">
        <f t="shared" si="10"/>
        <v>0</v>
      </c>
      <c r="AP60">
        <f t="shared" si="11"/>
        <v>0</v>
      </c>
      <c r="AQ60">
        <f t="shared" si="12"/>
        <v>0</v>
      </c>
      <c r="AR60">
        <f t="shared" si="13"/>
        <v>0</v>
      </c>
      <c r="AS60">
        <f t="shared" si="14"/>
        <v>0</v>
      </c>
      <c r="AT60">
        <f t="shared" si="15"/>
        <v>0</v>
      </c>
      <c r="AU60">
        <f t="shared" si="16"/>
        <v>1</v>
      </c>
      <c r="AV60">
        <f t="shared" si="17"/>
        <v>1</v>
      </c>
      <c r="AW60">
        <f t="shared" si="18"/>
        <v>1</v>
      </c>
      <c r="AX60">
        <f t="shared" si="19"/>
        <v>1</v>
      </c>
      <c r="AY60">
        <f t="shared" si="20"/>
        <v>60000</v>
      </c>
      <c r="AZ60">
        <f t="shared" si="21"/>
        <v>60000</v>
      </c>
      <c r="BA60">
        <f t="shared" si="22"/>
        <v>0</v>
      </c>
      <c r="BB60">
        <f t="shared" si="23"/>
        <v>0</v>
      </c>
      <c r="BC60">
        <f t="shared" si="24"/>
        <v>0</v>
      </c>
      <c r="BD60">
        <f t="shared" si="25"/>
        <v>0</v>
      </c>
      <c r="BE60">
        <f t="shared" si="26"/>
        <v>0</v>
      </c>
      <c r="BF60">
        <f t="shared" si="27"/>
        <v>0</v>
      </c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s="201" customFormat="1" ht="14.25" x14ac:dyDescent="0.2">
      <c r="A61" s="10">
        <v>2362</v>
      </c>
      <c r="B61" s="11" t="s">
        <v>533</v>
      </c>
      <c r="C61" s="105" t="s">
        <v>534</v>
      </c>
      <c r="D61" s="11" t="s">
        <v>106</v>
      </c>
      <c r="E61" s="12">
        <v>11247</v>
      </c>
      <c r="F61" s="202">
        <v>40</v>
      </c>
      <c r="G61" s="11">
        <v>65000</v>
      </c>
      <c r="H61" s="116">
        <v>0</v>
      </c>
      <c r="I61" s="192"/>
      <c r="J61" s="204"/>
      <c r="K61" s="193"/>
      <c r="L61" s="193"/>
      <c r="M61" s="193"/>
      <c r="N61" s="203">
        <f t="shared" si="0"/>
        <v>65000</v>
      </c>
      <c r="O61" s="203">
        <f t="shared" si="1"/>
        <v>65000</v>
      </c>
      <c r="P61" s="203">
        <f t="shared" si="2"/>
        <v>65000</v>
      </c>
      <c r="Q61" s="214"/>
      <c r="R61" s="215"/>
      <c r="S61" s="218">
        <v>45636</v>
      </c>
      <c r="T61" s="205"/>
      <c r="U61" s="205"/>
      <c r="V61" s="216"/>
      <c r="W61" s="212"/>
      <c r="X61" s="10">
        <v>7</v>
      </c>
      <c r="Y61" s="10">
        <v>7</v>
      </c>
      <c r="Z61" s="213">
        <f t="shared" si="3"/>
        <v>65000</v>
      </c>
      <c r="AA61" s="62"/>
      <c r="AB61" s="62"/>
      <c r="AC61" s="62"/>
      <c r="AD61" s="62"/>
      <c r="AE61" s="62"/>
      <c r="AF61" s="63"/>
      <c r="AG61" s="64"/>
      <c r="AH61" s="6">
        <v>1</v>
      </c>
      <c r="AI61">
        <f t="shared" si="4"/>
        <v>25</v>
      </c>
      <c r="AJ61">
        <f t="shared" si="5"/>
        <v>25</v>
      </c>
      <c r="AK61">
        <f t="shared" si="6"/>
        <v>0</v>
      </c>
      <c r="AL61">
        <f t="shared" si="7"/>
        <v>0</v>
      </c>
      <c r="AM61">
        <f t="shared" si="8"/>
        <v>0</v>
      </c>
      <c r="AN61">
        <f t="shared" si="9"/>
        <v>0</v>
      </c>
      <c r="AO61">
        <f t="shared" si="10"/>
        <v>0</v>
      </c>
      <c r="AP61">
        <f t="shared" si="11"/>
        <v>0</v>
      </c>
      <c r="AQ61">
        <f t="shared" si="12"/>
        <v>0</v>
      </c>
      <c r="AR61">
        <f t="shared" si="13"/>
        <v>0</v>
      </c>
      <c r="AS61">
        <f t="shared" si="14"/>
        <v>0</v>
      </c>
      <c r="AT61">
        <f t="shared" si="15"/>
        <v>0</v>
      </c>
      <c r="AU61">
        <f t="shared" si="16"/>
        <v>1</v>
      </c>
      <c r="AV61">
        <f t="shared" si="17"/>
        <v>1</v>
      </c>
      <c r="AW61">
        <f t="shared" si="18"/>
        <v>1</v>
      </c>
      <c r="AX61">
        <f t="shared" si="19"/>
        <v>1</v>
      </c>
      <c r="AY61">
        <f t="shared" si="20"/>
        <v>65000</v>
      </c>
      <c r="AZ61">
        <f t="shared" si="21"/>
        <v>65000</v>
      </c>
      <c r="BA61">
        <f t="shared" si="22"/>
        <v>0</v>
      </c>
      <c r="BB61">
        <f t="shared" si="23"/>
        <v>0</v>
      </c>
      <c r="BC61">
        <f t="shared" si="24"/>
        <v>0</v>
      </c>
      <c r="BD61">
        <f t="shared" si="25"/>
        <v>0</v>
      </c>
      <c r="BE61">
        <f t="shared" si="26"/>
        <v>0</v>
      </c>
      <c r="BF61">
        <f t="shared" si="27"/>
        <v>0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s="201" customFormat="1" ht="14.25" x14ac:dyDescent="0.2">
      <c r="A62" s="10">
        <v>2363</v>
      </c>
      <c r="B62" s="11" t="s">
        <v>535</v>
      </c>
      <c r="C62" s="105" t="s">
        <v>536</v>
      </c>
      <c r="D62" s="11" t="s">
        <v>106</v>
      </c>
      <c r="E62" s="12">
        <v>11249</v>
      </c>
      <c r="F62" s="202">
        <v>40</v>
      </c>
      <c r="G62" s="11">
        <v>65000</v>
      </c>
      <c r="H62" s="116">
        <v>0</v>
      </c>
      <c r="I62" s="192"/>
      <c r="J62" s="204"/>
      <c r="K62" s="193"/>
      <c r="L62" s="193"/>
      <c r="M62" s="193"/>
      <c r="N62" s="203">
        <f t="shared" si="0"/>
        <v>65000</v>
      </c>
      <c r="O62" s="203">
        <f t="shared" si="1"/>
        <v>65000</v>
      </c>
      <c r="P62" s="203">
        <f t="shared" si="2"/>
        <v>65000</v>
      </c>
      <c r="Q62" s="214"/>
      <c r="R62" s="215"/>
      <c r="S62" s="218">
        <v>45636</v>
      </c>
      <c r="T62" s="205"/>
      <c r="U62" s="205"/>
      <c r="V62" s="216"/>
      <c r="W62" s="212"/>
      <c r="X62" s="10">
        <v>7</v>
      </c>
      <c r="Y62" s="10">
        <v>7</v>
      </c>
      <c r="Z62" s="213">
        <f t="shared" si="3"/>
        <v>65000</v>
      </c>
      <c r="AA62" s="62"/>
      <c r="AB62" s="62"/>
      <c r="AC62" s="62"/>
      <c r="AD62" s="62"/>
      <c r="AE62" s="62"/>
      <c r="AF62" s="63"/>
      <c r="AG62" s="64"/>
      <c r="AH62" s="6">
        <v>1</v>
      </c>
      <c r="AI62">
        <f t="shared" si="4"/>
        <v>25</v>
      </c>
      <c r="AJ62">
        <f t="shared" si="5"/>
        <v>25</v>
      </c>
      <c r="AK62">
        <f t="shared" si="6"/>
        <v>0</v>
      </c>
      <c r="AL62">
        <f t="shared" si="7"/>
        <v>0</v>
      </c>
      <c r="AM62">
        <f t="shared" si="8"/>
        <v>0</v>
      </c>
      <c r="AN62">
        <f t="shared" si="9"/>
        <v>0</v>
      </c>
      <c r="AO62">
        <f t="shared" si="10"/>
        <v>0</v>
      </c>
      <c r="AP62">
        <f t="shared" si="11"/>
        <v>0</v>
      </c>
      <c r="AQ62">
        <f t="shared" si="12"/>
        <v>0</v>
      </c>
      <c r="AR62">
        <f t="shared" si="13"/>
        <v>0</v>
      </c>
      <c r="AS62">
        <f t="shared" si="14"/>
        <v>0</v>
      </c>
      <c r="AT62">
        <f t="shared" si="15"/>
        <v>0</v>
      </c>
      <c r="AU62">
        <f t="shared" si="16"/>
        <v>1</v>
      </c>
      <c r="AV62">
        <f t="shared" si="17"/>
        <v>1</v>
      </c>
      <c r="AW62">
        <f t="shared" si="18"/>
        <v>1</v>
      </c>
      <c r="AX62">
        <f t="shared" si="19"/>
        <v>1</v>
      </c>
      <c r="AY62">
        <f t="shared" si="20"/>
        <v>65000</v>
      </c>
      <c r="AZ62">
        <f t="shared" si="21"/>
        <v>65000</v>
      </c>
      <c r="BA62">
        <f t="shared" si="22"/>
        <v>0</v>
      </c>
      <c r="BB62">
        <f t="shared" si="23"/>
        <v>0</v>
      </c>
      <c r="BC62">
        <f t="shared" si="24"/>
        <v>0</v>
      </c>
      <c r="BD62">
        <f t="shared" si="25"/>
        <v>0</v>
      </c>
      <c r="BE62">
        <f t="shared" si="26"/>
        <v>0</v>
      </c>
      <c r="BF62">
        <f t="shared" si="27"/>
        <v>0</v>
      </c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 s="201" customFormat="1" ht="14.25" x14ac:dyDescent="0.2">
      <c r="A63" s="10">
        <v>2374</v>
      </c>
      <c r="B63" s="11" t="s">
        <v>537</v>
      </c>
      <c r="C63" s="105" t="s">
        <v>538</v>
      </c>
      <c r="D63" s="11" t="s">
        <v>106</v>
      </c>
      <c r="E63" s="12">
        <v>11219</v>
      </c>
      <c r="F63" s="202">
        <v>39</v>
      </c>
      <c r="G63" s="11">
        <v>60000</v>
      </c>
      <c r="H63" s="116">
        <v>-64500</v>
      </c>
      <c r="I63" s="192"/>
      <c r="J63" s="204"/>
      <c r="K63" s="193"/>
      <c r="L63" s="193"/>
      <c r="M63" s="193"/>
      <c r="N63" s="203">
        <f t="shared" si="0"/>
        <v>60000</v>
      </c>
      <c r="O63" s="203">
        <f t="shared" si="1"/>
        <v>-4500</v>
      </c>
      <c r="P63" s="203">
        <f t="shared" si="2"/>
        <v>0</v>
      </c>
      <c r="Q63" s="214">
        <v>45664</v>
      </c>
      <c r="R63" s="215"/>
      <c r="S63" s="218">
        <v>45633</v>
      </c>
      <c r="T63" s="205"/>
      <c r="U63" s="205"/>
      <c r="V63" s="216" t="s">
        <v>1131</v>
      </c>
      <c r="W63" s="212"/>
      <c r="X63" s="10">
        <v>7</v>
      </c>
      <c r="Y63" s="10">
        <v>7</v>
      </c>
      <c r="Z63" s="213">
        <f t="shared" si="3"/>
        <v>60000</v>
      </c>
      <c r="AA63" s="62"/>
      <c r="AB63" s="62"/>
      <c r="AC63" s="62"/>
      <c r="AD63" s="62"/>
      <c r="AE63" s="62"/>
      <c r="AF63" s="63"/>
      <c r="AG63" s="64"/>
      <c r="AH63" s="6">
        <v>1</v>
      </c>
      <c r="AI63">
        <f t="shared" si="4"/>
        <v>25</v>
      </c>
      <c r="AJ63">
        <f t="shared" si="5"/>
        <v>25</v>
      </c>
      <c r="AK63">
        <f t="shared" si="6"/>
        <v>0</v>
      </c>
      <c r="AL63">
        <f t="shared" si="7"/>
        <v>0</v>
      </c>
      <c r="AM63">
        <f t="shared" si="8"/>
        <v>0</v>
      </c>
      <c r="AN63">
        <f t="shared" si="9"/>
        <v>0</v>
      </c>
      <c r="AO63">
        <f t="shared" si="10"/>
        <v>0</v>
      </c>
      <c r="AP63">
        <f t="shared" si="11"/>
        <v>0</v>
      </c>
      <c r="AQ63">
        <f t="shared" si="12"/>
        <v>0</v>
      </c>
      <c r="AR63">
        <f t="shared" si="13"/>
        <v>0</v>
      </c>
      <c r="AS63">
        <f t="shared" si="14"/>
        <v>0</v>
      </c>
      <c r="AT63">
        <f t="shared" si="15"/>
        <v>0</v>
      </c>
      <c r="AU63">
        <f t="shared" si="16"/>
        <v>0</v>
      </c>
      <c r="AV63">
        <f t="shared" si="17"/>
        <v>0</v>
      </c>
      <c r="AW63">
        <f t="shared" si="18"/>
        <v>0</v>
      </c>
      <c r="AX63">
        <f t="shared" si="19"/>
        <v>0</v>
      </c>
      <c r="AY63">
        <f t="shared" si="20"/>
        <v>0</v>
      </c>
      <c r="AZ63">
        <f t="shared" si="21"/>
        <v>0</v>
      </c>
      <c r="BA63">
        <f t="shared" si="22"/>
        <v>0</v>
      </c>
      <c r="BB63">
        <f t="shared" si="23"/>
        <v>0</v>
      </c>
      <c r="BC63">
        <f t="shared" si="24"/>
        <v>0</v>
      </c>
      <c r="BD63">
        <f t="shared" si="25"/>
        <v>0</v>
      </c>
      <c r="BE63">
        <f t="shared" si="26"/>
        <v>0</v>
      </c>
      <c r="BF63">
        <f t="shared" si="27"/>
        <v>0</v>
      </c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 s="201" customFormat="1" ht="14.25" x14ac:dyDescent="0.2">
      <c r="A64" s="10">
        <v>2402</v>
      </c>
      <c r="B64" s="11" t="s">
        <v>340</v>
      </c>
      <c r="C64" s="105" t="s">
        <v>341</v>
      </c>
      <c r="D64" s="11" t="s">
        <v>106</v>
      </c>
      <c r="E64" s="12">
        <v>11213</v>
      </c>
      <c r="F64" s="202">
        <v>39</v>
      </c>
      <c r="G64" s="11">
        <v>35000</v>
      </c>
      <c r="H64" s="116">
        <v>0</v>
      </c>
      <c r="I64" s="192"/>
      <c r="J64" s="204"/>
      <c r="K64" s="193"/>
      <c r="L64" s="193"/>
      <c r="M64" s="193"/>
      <c r="N64" s="203">
        <f t="shared" si="0"/>
        <v>35000</v>
      </c>
      <c r="O64" s="203">
        <f t="shared" si="1"/>
        <v>35000</v>
      </c>
      <c r="P64" s="203">
        <f t="shared" si="2"/>
        <v>35000</v>
      </c>
      <c r="Q64" s="214"/>
      <c r="R64" s="215"/>
      <c r="S64" s="218">
        <v>45656</v>
      </c>
      <c r="T64" s="205"/>
      <c r="U64" s="205"/>
      <c r="V64" s="216"/>
      <c r="W64" s="212"/>
      <c r="X64" s="10">
        <v>7</v>
      </c>
      <c r="Y64" s="10">
        <v>7</v>
      </c>
      <c r="Z64" s="213">
        <f t="shared" si="3"/>
        <v>35000</v>
      </c>
      <c r="AA64" s="62"/>
      <c r="AB64" s="62"/>
      <c r="AC64" s="62"/>
      <c r="AD64" s="62"/>
      <c r="AE64" s="62"/>
      <c r="AF64" s="63"/>
      <c r="AG64" s="64"/>
      <c r="AH64" s="6">
        <v>1</v>
      </c>
      <c r="AI64">
        <f t="shared" si="4"/>
        <v>25</v>
      </c>
      <c r="AJ64">
        <f t="shared" si="5"/>
        <v>25</v>
      </c>
      <c r="AK64">
        <f t="shared" si="6"/>
        <v>0</v>
      </c>
      <c r="AL64">
        <f t="shared" si="7"/>
        <v>0</v>
      </c>
      <c r="AM64">
        <f t="shared" si="8"/>
        <v>0</v>
      </c>
      <c r="AN64">
        <f t="shared" si="9"/>
        <v>0</v>
      </c>
      <c r="AO64">
        <f t="shared" si="10"/>
        <v>0</v>
      </c>
      <c r="AP64">
        <f t="shared" si="11"/>
        <v>0</v>
      </c>
      <c r="AQ64">
        <f t="shared" si="12"/>
        <v>0</v>
      </c>
      <c r="AR64">
        <f t="shared" si="13"/>
        <v>0</v>
      </c>
      <c r="AS64">
        <f t="shared" si="14"/>
        <v>0</v>
      </c>
      <c r="AT64">
        <f t="shared" si="15"/>
        <v>0</v>
      </c>
      <c r="AU64">
        <f t="shared" si="16"/>
        <v>1</v>
      </c>
      <c r="AV64">
        <f t="shared" si="17"/>
        <v>1</v>
      </c>
      <c r="AW64">
        <f t="shared" si="18"/>
        <v>1</v>
      </c>
      <c r="AX64">
        <f t="shared" si="19"/>
        <v>1</v>
      </c>
      <c r="AY64">
        <f t="shared" si="20"/>
        <v>35000</v>
      </c>
      <c r="AZ64">
        <f t="shared" si="21"/>
        <v>35000</v>
      </c>
      <c r="BA64">
        <f t="shared" si="22"/>
        <v>0</v>
      </c>
      <c r="BB64">
        <f t="shared" si="23"/>
        <v>0</v>
      </c>
      <c r="BC64">
        <f t="shared" si="24"/>
        <v>0</v>
      </c>
      <c r="BD64">
        <f t="shared" si="25"/>
        <v>0</v>
      </c>
      <c r="BE64">
        <f t="shared" si="26"/>
        <v>0</v>
      </c>
      <c r="BF64">
        <f t="shared" si="27"/>
        <v>0</v>
      </c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201" customFormat="1" ht="14.25" x14ac:dyDescent="0.2">
      <c r="A65" s="10">
        <v>2424</v>
      </c>
      <c r="B65" s="11" t="s">
        <v>539</v>
      </c>
      <c r="C65" s="105" t="s">
        <v>540</v>
      </c>
      <c r="D65" s="11" t="s">
        <v>541</v>
      </c>
      <c r="E65" s="12">
        <v>11232</v>
      </c>
      <c r="F65" s="202">
        <v>38</v>
      </c>
      <c r="G65" s="11">
        <v>100000</v>
      </c>
      <c r="H65" s="116">
        <v>-350000</v>
      </c>
      <c r="I65" s="192"/>
      <c r="J65" s="204"/>
      <c r="K65" s="193"/>
      <c r="L65" s="193"/>
      <c r="M65" s="193"/>
      <c r="N65" s="203">
        <f t="shared" si="0"/>
        <v>100000</v>
      </c>
      <c r="O65" s="203">
        <f t="shared" si="1"/>
        <v>-250000</v>
      </c>
      <c r="P65" s="203">
        <f t="shared" si="2"/>
        <v>0</v>
      </c>
      <c r="Q65" s="214"/>
      <c r="R65" s="215"/>
      <c r="S65" s="218">
        <v>45654</v>
      </c>
      <c r="T65" s="205"/>
      <c r="U65" s="205"/>
      <c r="V65" s="216"/>
      <c r="W65" s="212"/>
      <c r="X65" s="10">
        <v>7</v>
      </c>
      <c r="Y65" s="10">
        <v>7</v>
      </c>
      <c r="Z65" s="213">
        <f t="shared" si="3"/>
        <v>100000</v>
      </c>
      <c r="AA65" s="62"/>
      <c r="AB65" s="62"/>
      <c r="AC65" s="62"/>
      <c r="AD65" s="62"/>
      <c r="AE65" s="62"/>
      <c r="AF65" s="63"/>
      <c r="AG65" s="64"/>
      <c r="AH65" s="6">
        <v>1</v>
      </c>
      <c r="AI65">
        <f t="shared" si="4"/>
        <v>25</v>
      </c>
      <c r="AJ65">
        <f t="shared" si="5"/>
        <v>25</v>
      </c>
      <c r="AK65">
        <f t="shared" si="6"/>
        <v>0</v>
      </c>
      <c r="AL65">
        <f t="shared" si="7"/>
        <v>0</v>
      </c>
      <c r="AM65">
        <f t="shared" si="8"/>
        <v>0</v>
      </c>
      <c r="AN65">
        <f t="shared" si="9"/>
        <v>0</v>
      </c>
      <c r="AO65">
        <f t="shared" si="10"/>
        <v>0</v>
      </c>
      <c r="AP65">
        <f t="shared" si="11"/>
        <v>0</v>
      </c>
      <c r="AQ65">
        <f t="shared" si="12"/>
        <v>0</v>
      </c>
      <c r="AR65">
        <f t="shared" si="13"/>
        <v>0</v>
      </c>
      <c r="AS65">
        <f t="shared" si="14"/>
        <v>0</v>
      </c>
      <c r="AT65">
        <f t="shared" si="15"/>
        <v>0</v>
      </c>
      <c r="AU65">
        <f t="shared" si="16"/>
        <v>0</v>
      </c>
      <c r="AV65">
        <f t="shared" si="17"/>
        <v>0</v>
      </c>
      <c r="AW65">
        <f t="shared" si="18"/>
        <v>0</v>
      </c>
      <c r="AX65">
        <f t="shared" si="19"/>
        <v>0</v>
      </c>
      <c r="AY65">
        <f t="shared" si="20"/>
        <v>0</v>
      </c>
      <c r="AZ65">
        <f t="shared" si="21"/>
        <v>0</v>
      </c>
      <c r="BA65">
        <f t="shared" si="22"/>
        <v>0</v>
      </c>
      <c r="BB65">
        <f t="shared" si="23"/>
        <v>0</v>
      </c>
      <c r="BC65">
        <f t="shared" si="24"/>
        <v>0</v>
      </c>
      <c r="BD65">
        <f t="shared" si="25"/>
        <v>0</v>
      </c>
      <c r="BE65">
        <f t="shared" si="26"/>
        <v>0</v>
      </c>
      <c r="BF65">
        <f t="shared" si="27"/>
        <v>0</v>
      </c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</row>
    <row r="66" spans="1:256" s="201" customFormat="1" ht="14.25" x14ac:dyDescent="0.2">
      <c r="A66" s="10">
        <v>2430</v>
      </c>
      <c r="B66" s="11" t="s">
        <v>342</v>
      </c>
      <c r="C66" s="105" t="s">
        <v>343</v>
      </c>
      <c r="D66" s="11" t="s">
        <v>157</v>
      </c>
      <c r="E66" s="12">
        <v>11253</v>
      </c>
      <c r="F66" s="202">
        <v>38</v>
      </c>
      <c r="G66" s="11">
        <v>40000</v>
      </c>
      <c r="H66" s="116">
        <v>0</v>
      </c>
      <c r="I66" s="192"/>
      <c r="J66" s="204"/>
      <c r="K66" s="193"/>
      <c r="L66" s="193"/>
      <c r="M66" s="193"/>
      <c r="N66" s="203">
        <f t="shared" si="0"/>
        <v>40000</v>
      </c>
      <c r="O66" s="203">
        <f t="shared" si="1"/>
        <v>40000</v>
      </c>
      <c r="P66" s="203">
        <f t="shared" si="2"/>
        <v>40000</v>
      </c>
      <c r="Q66" s="214"/>
      <c r="R66" s="215"/>
      <c r="S66" s="218">
        <v>45650</v>
      </c>
      <c r="T66" s="205"/>
      <c r="U66" s="205"/>
      <c r="V66" s="216"/>
      <c r="W66" s="212"/>
      <c r="X66" s="10">
        <v>7</v>
      </c>
      <c r="Y66" s="10">
        <v>7</v>
      </c>
      <c r="Z66" s="213">
        <f t="shared" si="3"/>
        <v>40000</v>
      </c>
      <c r="AA66" s="62"/>
      <c r="AB66" s="62"/>
      <c r="AC66" s="62"/>
      <c r="AD66" s="62"/>
      <c r="AE66" s="62"/>
      <c r="AF66" s="63"/>
      <c r="AG66" s="64"/>
      <c r="AH66" s="6">
        <v>1</v>
      </c>
      <c r="AI66">
        <f t="shared" si="4"/>
        <v>25</v>
      </c>
      <c r="AJ66">
        <f t="shared" si="5"/>
        <v>25</v>
      </c>
      <c r="AK66">
        <f t="shared" si="6"/>
        <v>0</v>
      </c>
      <c r="AL66">
        <f t="shared" si="7"/>
        <v>0</v>
      </c>
      <c r="AM66">
        <f t="shared" si="8"/>
        <v>0</v>
      </c>
      <c r="AN66">
        <f t="shared" si="9"/>
        <v>0</v>
      </c>
      <c r="AO66">
        <f t="shared" si="10"/>
        <v>0</v>
      </c>
      <c r="AP66">
        <f t="shared" si="11"/>
        <v>0</v>
      </c>
      <c r="AQ66">
        <f t="shared" si="12"/>
        <v>0</v>
      </c>
      <c r="AR66">
        <f t="shared" si="13"/>
        <v>0</v>
      </c>
      <c r="AS66">
        <f t="shared" si="14"/>
        <v>0</v>
      </c>
      <c r="AT66">
        <f t="shared" si="15"/>
        <v>0</v>
      </c>
      <c r="AU66">
        <f t="shared" si="16"/>
        <v>1</v>
      </c>
      <c r="AV66">
        <f t="shared" si="17"/>
        <v>1</v>
      </c>
      <c r="AW66">
        <f t="shared" si="18"/>
        <v>1</v>
      </c>
      <c r="AX66">
        <f t="shared" si="19"/>
        <v>1</v>
      </c>
      <c r="AY66">
        <f t="shared" si="20"/>
        <v>40000</v>
      </c>
      <c r="AZ66">
        <f t="shared" si="21"/>
        <v>40000</v>
      </c>
      <c r="BA66">
        <f t="shared" si="22"/>
        <v>0</v>
      </c>
      <c r="BB66">
        <f t="shared" si="23"/>
        <v>0</v>
      </c>
      <c r="BC66">
        <f t="shared" si="24"/>
        <v>0</v>
      </c>
      <c r="BD66">
        <f t="shared" si="25"/>
        <v>0</v>
      </c>
      <c r="BE66">
        <f t="shared" si="26"/>
        <v>0</v>
      </c>
      <c r="BF66">
        <f t="shared" si="27"/>
        <v>0</v>
      </c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</row>
    <row r="67" spans="1:256" s="201" customFormat="1" ht="14.25" x14ac:dyDescent="0.2">
      <c r="A67" s="10">
        <v>2455</v>
      </c>
      <c r="B67" s="11" t="s">
        <v>542</v>
      </c>
      <c r="C67" s="105" t="s">
        <v>543</v>
      </c>
      <c r="D67" s="11" t="s">
        <v>147</v>
      </c>
      <c r="E67" s="12">
        <v>11255</v>
      </c>
      <c r="F67" s="202">
        <v>38</v>
      </c>
      <c r="G67" s="11">
        <v>60000</v>
      </c>
      <c r="H67" s="116">
        <v>-79000</v>
      </c>
      <c r="I67" s="192"/>
      <c r="J67" s="204"/>
      <c r="K67" s="193"/>
      <c r="L67" s="193"/>
      <c r="M67" s="193"/>
      <c r="N67" s="203">
        <f t="shared" si="0"/>
        <v>60000</v>
      </c>
      <c r="O67" s="203">
        <f t="shared" si="1"/>
        <v>-19000</v>
      </c>
      <c r="P67" s="203">
        <f t="shared" si="2"/>
        <v>0</v>
      </c>
      <c r="Q67" s="214"/>
      <c r="R67" s="215"/>
      <c r="S67" s="218">
        <v>45653</v>
      </c>
      <c r="T67" s="205"/>
      <c r="U67" s="205"/>
      <c r="V67" s="216"/>
      <c r="W67" s="212"/>
      <c r="X67" s="10">
        <v>7</v>
      </c>
      <c r="Y67" s="10">
        <v>7</v>
      </c>
      <c r="Z67" s="213">
        <f t="shared" si="3"/>
        <v>60000</v>
      </c>
      <c r="AA67" s="62"/>
      <c r="AB67" s="62"/>
      <c r="AC67" s="62"/>
      <c r="AD67" s="62"/>
      <c r="AE67" s="62"/>
      <c r="AF67" s="63"/>
      <c r="AG67" s="64"/>
      <c r="AH67" s="6">
        <v>1</v>
      </c>
      <c r="AI67">
        <f t="shared" si="4"/>
        <v>25</v>
      </c>
      <c r="AJ67">
        <f t="shared" si="5"/>
        <v>25</v>
      </c>
      <c r="AK67">
        <f t="shared" si="6"/>
        <v>0</v>
      </c>
      <c r="AL67">
        <f t="shared" si="7"/>
        <v>0</v>
      </c>
      <c r="AM67">
        <f t="shared" si="8"/>
        <v>0</v>
      </c>
      <c r="AN67">
        <f t="shared" si="9"/>
        <v>0</v>
      </c>
      <c r="AO67">
        <f t="shared" si="10"/>
        <v>0</v>
      </c>
      <c r="AP67">
        <f t="shared" si="11"/>
        <v>0</v>
      </c>
      <c r="AQ67">
        <f t="shared" si="12"/>
        <v>0</v>
      </c>
      <c r="AR67">
        <f t="shared" si="13"/>
        <v>0</v>
      </c>
      <c r="AS67">
        <f t="shared" si="14"/>
        <v>0</v>
      </c>
      <c r="AT67">
        <f t="shared" si="15"/>
        <v>0</v>
      </c>
      <c r="AU67">
        <f t="shared" si="16"/>
        <v>0</v>
      </c>
      <c r="AV67">
        <f t="shared" si="17"/>
        <v>0</v>
      </c>
      <c r="AW67">
        <f t="shared" si="18"/>
        <v>0</v>
      </c>
      <c r="AX67">
        <f t="shared" si="19"/>
        <v>0</v>
      </c>
      <c r="AY67">
        <f t="shared" si="20"/>
        <v>0</v>
      </c>
      <c r="AZ67">
        <f t="shared" si="21"/>
        <v>0</v>
      </c>
      <c r="BA67">
        <f t="shared" si="22"/>
        <v>0</v>
      </c>
      <c r="BB67">
        <f t="shared" si="23"/>
        <v>0</v>
      </c>
      <c r="BC67">
        <f t="shared" si="24"/>
        <v>0</v>
      </c>
      <c r="BD67">
        <f t="shared" si="25"/>
        <v>0</v>
      </c>
      <c r="BE67">
        <f t="shared" si="26"/>
        <v>0</v>
      </c>
      <c r="BF67">
        <f t="shared" si="27"/>
        <v>0</v>
      </c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 s="201" customFormat="1" ht="14.25" x14ac:dyDescent="0.2">
      <c r="A68" s="10">
        <v>2460</v>
      </c>
      <c r="B68" s="11" t="s">
        <v>544</v>
      </c>
      <c r="C68" s="105" t="s">
        <v>545</v>
      </c>
      <c r="D68" s="11" t="s">
        <v>105</v>
      </c>
      <c r="E68" s="12">
        <v>11296</v>
      </c>
      <c r="F68" s="202">
        <v>38</v>
      </c>
      <c r="G68" s="11">
        <v>60000</v>
      </c>
      <c r="H68" s="116">
        <v>-40000</v>
      </c>
      <c r="I68" s="192"/>
      <c r="J68" s="204"/>
      <c r="K68" s="193"/>
      <c r="L68" s="193"/>
      <c r="M68" s="193"/>
      <c r="N68" s="203">
        <f t="shared" ref="N68:N131" si="28">IF(H68&gt;0,G68+H68-I68-J68-K68-L68-M68,G68-I68-J68-K68-L68-M68)</f>
        <v>60000</v>
      </c>
      <c r="O68" s="203">
        <f t="shared" ref="O68:O131" si="29">G68+H68-J68-I68-K68-L68-M68</f>
        <v>20000</v>
      </c>
      <c r="P68" s="203">
        <f t="shared" ref="P68:P131" si="30">IF(G68+H68&lt;0,0,G68+H68)</f>
        <v>20000</v>
      </c>
      <c r="Q68" s="214"/>
      <c r="R68" s="215"/>
      <c r="S68" s="218">
        <v>45628</v>
      </c>
      <c r="T68" s="205"/>
      <c r="U68" s="205"/>
      <c r="V68" s="216"/>
      <c r="W68" s="212"/>
      <c r="X68" s="10">
        <v>7</v>
      </c>
      <c r="Y68" s="10">
        <v>7</v>
      </c>
      <c r="Z68" s="213">
        <f t="shared" ref="Z68:Z131" si="31">IF(N68&lt;0,0,N68)</f>
        <v>60000</v>
      </c>
      <c r="AA68" s="62"/>
      <c r="AB68" s="62"/>
      <c r="AC68" s="62"/>
      <c r="AD68" s="62"/>
      <c r="AE68" s="62"/>
      <c r="AF68" s="63"/>
      <c r="AG68" s="64"/>
      <c r="AH68" s="6">
        <v>1</v>
      </c>
      <c r="AI68">
        <f t="shared" ref="AI68:AI131" si="32">IF(F68&lt;=6,15,25)</f>
        <v>25</v>
      </c>
      <c r="AJ68">
        <f t="shared" ref="AJ68:AJ131" si="33">IF(O68&lt;&gt;0,25,15)</f>
        <v>25</v>
      </c>
      <c r="AK68">
        <f t="shared" ref="AK68:AK131" si="34">IF(AI68-T68=24,1,0)</f>
        <v>0</v>
      </c>
      <c r="AL68">
        <f t="shared" ref="AL68:AL131" si="35">IF(AH68-AK68=AH68,0,AH68)</f>
        <v>0</v>
      </c>
      <c r="AM68">
        <f t="shared" ref="AM68:AM131" si="36">IF(AK68&lt;&gt;0,U68,0)</f>
        <v>0</v>
      </c>
      <c r="AN68">
        <f t="shared" ref="AN68:AN131" si="37">IF(AK68=1,O68,0)</f>
        <v>0</v>
      </c>
      <c r="AO68">
        <f t="shared" ref="AO68:AO131" si="38">IF(AI68-T68=14,1,0)</f>
        <v>0</v>
      </c>
      <c r="AP68">
        <f t="shared" ref="AP68:AP131" si="39">IF(AH68-AO68=AH68,0,AH68)</f>
        <v>0</v>
      </c>
      <c r="AQ68">
        <f t="shared" ref="AQ68:AQ131" si="40">IF(AO68&lt;&gt;0,U68,0)</f>
        <v>0</v>
      </c>
      <c r="AR68">
        <f t="shared" ref="AR68:AR131" si="41">IF(AO68=1,O68,0)</f>
        <v>0</v>
      </c>
      <c r="AS68">
        <f t="shared" ref="AS68:AS131" si="42">IF(SUM(I68:M68)&lt;&gt;0,1,0)</f>
        <v>0</v>
      </c>
      <c r="AT68">
        <f t="shared" ref="AT68:AT131" si="43">AS68</f>
        <v>0</v>
      </c>
      <c r="AU68">
        <f t="shared" ref="AU68:AU131" si="44">IF(O68&gt;0,1,0)</f>
        <v>1</v>
      </c>
      <c r="AV68">
        <f t="shared" ref="AV68:AV131" si="45">IF(AK68+AO68+AU68=1,AU68,0)</f>
        <v>1</v>
      </c>
      <c r="AW68">
        <f t="shared" ref="AW68:AW131" si="46">IF(AI68-AV68=24,1,0)</f>
        <v>1</v>
      </c>
      <c r="AX68">
        <f t="shared" ref="AX68:AX131" si="47">IF(AH68-AW68=AH68,0,AH68)</f>
        <v>1</v>
      </c>
      <c r="AY68">
        <f t="shared" ref="AY68:AY131" si="48">IF(AW68=1,O68,0)</f>
        <v>20000</v>
      </c>
      <c r="AZ68">
        <f t="shared" ref="AZ68:AZ131" si="49">IF(AY68-BA68&lt;&gt;0,AY68,0)</f>
        <v>20000</v>
      </c>
      <c r="BA68">
        <f t="shared" ref="BA68:BA131" si="50">IF(AY68&lt;0,AY68,0)</f>
        <v>0</v>
      </c>
      <c r="BB68">
        <f t="shared" ref="BB68:BB131" si="51">IF(AI68-AV68=14,1,0)</f>
        <v>0</v>
      </c>
      <c r="BC68">
        <f t="shared" ref="BC68:BC131" si="52">IF(AH68-BB68=AH68,0,AH68)</f>
        <v>0</v>
      </c>
      <c r="BD68">
        <f t="shared" ref="BD68:BD131" si="53">IF(BB68=1,O68,0)</f>
        <v>0</v>
      </c>
      <c r="BE68">
        <f t="shared" ref="BE68:BE131" si="54">IF(BD68&lt;0,BD68,0)</f>
        <v>0</v>
      </c>
      <c r="BF68">
        <f t="shared" ref="BF68:BF131" si="55">IF(BD68-BE68&lt;&gt;0,BD68,0)</f>
        <v>0</v>
      </c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s="201" customFormat="1" ht="14.25" x14ac:dyDescent="0.2">
      <c r="A69" s="10">
        <v>2461</v>
      </c>
      <c r="B69" s="11" t="s">
        <v>546</v>
      </c>
      <c r="C69" s="105" t="s">
        <v>547</v>
      </c>
      <c r="D69" s="11" t="s">
        <v>147</v>
      </c>
      <c r="E69" s="12">
        <v>11305</v>
      </c>
      <c r="F69" s="202">
        <v>38</v>
      </c>
      <c r="G69" s="11">
        <v>55000</v>
      </c>
      <c r="H69" s="116">
        <v>0</v>
      </c>
      <c r="I69" s="192"/>
      <c r="J69" s="204"/>
      <c r="K69" s="193"/>
      <c r="L69" s="193"/>
      <c r="M69" s="193"/>
      <c r="N69" s="203">
        <f t="shared" si="28"/>
        <v>55000</v>
      </c>
      <c r="O69" s="203">
        <f t="shared" si="29"/>
        <v>55000</v>
      </c>
      <c r="P69" s="203">
        <f t="shared" si="30"/>
        <v>55000</v>
      </c>
      <c r="Q69" s="214"/>
      <c r="R69" s="215"/>
      <c r="S69" s="218">
        <v>45638</v>
      </c>
      <c r="T69" s="205"/>
      <c r="U69" s="205"/>
      <c r="V69" s="216"/>
      <c r="W69" s="212"/>
      <c r="X69" s="10">
        <v>7</v>
      </c>
      <c r="Y69" s="10">
        <v>7</v>
      </c>
      <c r="Z69" s="213">
        <f t="shared" si="31"/>
        <v>55000</v>
      </c>
      <c r="AA69" s="62"/>
      <c r="AB69" s="62"/>
      <c r="AC69" s="62"/>
      <c r="AD69" s="62"/>
      <c r="AE69" s="62"/>
      <c r="AF69" s="63"/>
      <c r="AG69" s="64"/>
      <c r="AH69" s="6">
        <v>1</v>
      </c>
      <c r="AI69">
        <f t="shared" si="32"/>
        <v>25</v>
      </c>
      <c r="AJ69">
        <f t="shared" si="33"/>
        <v>25</v>
      </c>
      <c r="AK69">
        <f t="shared" si="34"/>
        <v>0</v>
      </c>
      <c r="AL69">
        <f t="shared" si="35"/>
        <v>0</v>
      </c>
      <c r="AM69">
        <f t="shared" si="36"/>
        <v>0</v>
      </c>
      <c r="AN69">
        <f t="shared" si="37"/>
        <v>0</v>
      </c>
      <c r="AO69">
        <f t="shared" si="38"/>
        <v>0</v>
      </c>
      <c r="AP69">
        <f t="shared" si="39"/>
        <v>0</v>
      </c>
      <c r="AQ69">
        <f t="shared" si="40"/>
        <v>0</v>
      </c>
      <c r="AR69">
        <f t="shared" si="41"/>
        <v>0</v>
      </c>
      <c r="AS69">
        <f t="shared" si="42"/>
        <v>0</v>
      </c>
      <c r="AT69">
        <f t="shared" si="43"/>
        <v>0</v>
      </c>
      <c r="AU69">
        <f t="shared" si="44"/>
        <v>1</v>
      </c>
      <c r="AV69">
        <f t="shared" si="45"/>
        <v>1</v>
      </c>
      <c r="AW69">
        <f t="shared" si="46"/>
        <v>1</v>
      </c>
      <c r="AX69">
        <f t="shared" si="47"/>
        <v>1</v>
      </c>
      <c r="AY69">
        <f t="shared" si="48"/>
        <v>55000</v>
      </c>
      <c r="AZ69">
        <f t="shared" si="49"/>
        <v>55000</v>
      </c>
      <c r="BA69">
        <f t="shared" si="50"/>
        <v>0</v>
      </c>
      <c r="BB69">
        <f t="shared" si="51"/>
        <v>0</v>
      </c>
      <c r="BC69">
        <f t="shared" si="52"/>
        <v>0</v>
      </c>
      <c r="BD69">
        <f t="shared" si="53"/>
        <v>0</v>
      </c>
      <c r="BE69">
        <f t="shared" si="54"/>
        <v>0</v>
      </c>
      <c r="BF69">
        <f t="shared" si="55"/>
        <v>0</v>
      </c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s="201" customFormat="1" ht="14.25" x14ac:dyDescent="0.2">
      <c r="A70" s="10">
        <v>2466</v>
      </c>
      <c r="B70" s="11" t="s">
        <v>548</v>
      </c>
      <c r="C70" s="105" t="s">
        <v>549</v>
      </c>
      <c r="D70" s="11" t="s">
        <v>173</v>
      </c>
      <c r="E70" s="12">
        <v>11177</v>
      </c>
      <c r="F70" s="202">
        <v>37</v>
      </c>
      <c r="G70" s="11">
        <v>60000</v>
      </c>
      <c r="H70" s="116">
        <v>-176000</v>
      </c>
      <c r="I70" s="192"/>
      <c r="J70" s="204"/>
      <c r="K70" s="193"/>
      <c r="L70" s="193"/>
      <c r="M70" s="193"/>
      <c r="N70" s="203">
        <f t="shared" si="28"/>
        <v>60000</v>
      </c>
      <c r="O70" s="203">
        <f t="shared" si="29"/>
        <v>-116000</v>
      </c>
      <c r="P70" s="203">
        <f t="shared" si="30"/>
        <v>0</v>
      </c>
      <c r="Q70" s="214"/>
      <c r="R70" s="215"/>
      <c r="S70" s="218">
        <v>45636</v>
      </c>
      <c r="T70" s="205"/>
      <c r="U70" s="205"/>
      <c r="V70" s="216"/>
      <c r="W70" s="212"/>
      <c r="X70" s="10">
        <v>7</v>
      </c>
      <c r="Y70" s="10">
        <v>7</v>
      </c>
      <c r="Z70" s="213">
        <f t="shared" si="31"/>
        <v>60000</v>
      </c>
      <c r="AA70" s="62"/>
      <c r="AB70" s="62"/>
      <c r="AC70" s="62"/>
      <c r="AD70" s="62"/>
      <c r="AE70" s="62"/>
      <c r="AF70" s="63"/>
      <c r="AG70" s="64"/>
      <c r="AH70" s="6">
        <v>1</v>
      </c>
      <c r="AI70">
        <f t="shared" si="32"/>
        <v>25</v>
      </c>
      <c r="AJ70">
        <f t="shared" si="33"/>
        <v>25</v>
      </c>
      <c r="AK70">
        <f t="shared" si="34"/>
        <v>0</v>
      </c>
      <c r="AL70">
        <f t="shared" si="35"/>
        <v>0</v>
      </c>
      <c r="AM70">
        <f t="shared" si="36"/>
        <v>0</v>
      </c>
      <c r="AN70">
        <f t="shared" si="37"/>
        <v>0</v>
      </c>
      <c r="AO70">
        <f t="shared" si="38"/>
        <v>0</v>
      </c>
      <c r="AP70">
        <f t="shared" si="39"/>
        <v>0</v>
      </c>
      <c r="AQ70">
        <f t="shared" si="40"/>
        <v>0</v>
      </c>
      <c r="AR70">
        <f t="shared" si="41"/>
        <v>0</v>
      </c>
      <c r="AS70">
        <f t="shared" si="42"/>
        <v>0</v>
      </c>
      <c r="AT70">
        <f t="shared" si="43"/>
        <v>0</v>
      </c>
      <c r="AU70">
        <f t="shared" si="44"/>
        <v>0</v>
      </c>
      <c r="AV70">
        <f t="shared" si="45"/>
        <v>0</v>
      </c>
      <c r="AW70">
        <f t="shared" si="46"/>
        <v>0</v>
      </c>
      <c r="AX70">
        <f t="shared" si="47"/>
        <v>0</v>
      </c>
      <c r="AY70">
        <f t="shared" si="48"/>
        <v>0</v>
      </c>
      <c r="AZ70">
        <f t="shared" si="49"/>
        <v>0</v>
      </c>
      <c r="BA70">
        <f t="shared" si="50"/>
        <v>0</v>
      </c>
      <c r="BB70">
        <f t="shared" si="51"/>
        <v>0</v>
      </c>
      <c r="BC70">
        <f t="shared" si="52"/>
        <v>0</v>
      </c>
      <c r="BD70">
        <f t="shared" si="53"/>
        <v>0</v>
      </c>
      <c r="BE70">
        <f t="shared" si="54"/>
        <v>0</v>
      </c>
      <c r="BF70">
        <f t="shared" si="55"/>
        <v>0</v>
      </c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s="201" customFormat="1" ht="14.25" x14ac:dyDescent="0.2">
      <c r="A71" s="10">
        <v>2468</v>
      </c>
      <c r="B71" s="11" t="s">
        <v>550</v>
      </c>
      <c r="C71" s="105" t="s">
        <v>551</v>
      </c>
      <c r="D71" s="11" t="s">
        <v>411</v>
      </c>
      <c r="E71" s="12">
        <v>11261</v>
      </c>
      <c r="F71" s="202">
        <v>37</v>
      </c>
      <c r="G71" s="11">
        <v>60000</v>
      </c>
      <c r="H71" s="116">
        <v>0</v>
      </c>
      <c r="I71" s="192"/>
      <c r="J71" s="204"/>
      <c r="K71" s="193"/>
      <c r="L71" s="193"/>
      <c r="M71" s="193"/>
      <c r="N71" s="203">
        <f t="shared" si="28"/>
        <v>60000</v>
      </c>
      <c r="O71" s="203">
        <f t="shared" si="29"/>
        <v>60000</v>
      </c>
      <c r="P71" s="203">
        <f t="shared" si="30"/>
        <v>60000</v>
      </c>
      <c r="Q71" s="214"/>
      <c r="R71" s="215"/>
      <c r="S71" s="218">
        <v>45647</v>
      </c>
      <c r="T71" s="205"/>
      <c r="U71" s="205"/>
      <c r="V71" s="216"/>
      <c r="W71" s="212"/>
      <c r="X71" s="10">
        <v>7</v>
      </c>
      <c r="Y71" s="10">
        <v>7</v>
      </c>
      <c r="Z71" s="213">
        <f t="shared" si="31"/>
        <v>60000</v>
      </c>
      <c r="AA71" s="62"/>
      <c r="AB71" s="62"/>
      <c r="AC71" s="62"/>
      <c r="AD71" s="62"/>
      <c r="AE71" s="62"/>
      <c r="AF71" s="63"/>
      <c r="AG71" s="64"/>
      <c r="AH71" s="6">
        <v>1</v>
      </c>
      <c r="AI71">
        <f t="shared" si="32"/>
        <v>25</v>
      </c>
      <c r="AJ71">
        <f t="shared" si="33"/>
        <v>25</v>
      </c>
      <c r="AK71">
        <f t="shared" si="34"/>
        <v>0</v>
      </c>
      <c r="AL71">
        <f t="shared" si="35"/>
        <v>0</v>
      </c>
      <c r="AM71">
        <f t="shared" si="36"/>
        <v>0</v>
      </c>
      <c r="AN71">
        <f t="shared" si="37"/>
        <v>0</v>
      </c>
      <c r="AO71">
        <f t="shared" si="38"/>
        <v>0</v>
      </c>
      <c r="AP71">
        <f t="shared" si="39"/>
        <v>0</v>
      </c>
      <c r="AQ71">
        <f t="shared" si="40"/>
        <v>0</v>
      </c>
      <c r="AR71">
        <f t="shared" si="41"/>
        <v>0</v>
      </c>
      <c r="AS71">
        <f t="shared" si="42"/>
        <v>0</v>
      </c>
      <c r="AT71">
        <f t="shared" si="43"/>
        <v>0</v>
      </c>
      <c r="AU71">
        <f t="shared" si="44"/>
        <v>1</v>
      </c>
      <c r="AV71">
        <f t="shared" si="45"/>
        <v>1</v>
      </c>
      <c r="AW71">
        <f t="shared" si="46"/>
        <v>1</v>
      </c>
      <c r="AX71">
        <f t="shared" si="47"/>
        <v>1</v>
      </c>
      <c r="AY71">
        <f t="shared" si="48"/>
        <v>60000</v>
      </c>
      <c r="AZ71">
        <f t="shared" si="49"/>
        <v>60000</v>
      </c>
      <c r="BA71">
        <f t="shared" si="50"/>
        <v>0</v>
      </c>
      <c r="BB71">
        <f t="shared" si="51"/>
        <v>0</v>
      </c>
      <c r="BC71">
        <f t="shared" si="52"/>
        <v>0</v>
      </c>
      <c r="BD71">
        <f t="shared" si="53"/>
        <v>0</v>
      </c>
      <c r="BE71">
        <f t="shared" si="54"/>
        <v>0</v>
      </c>
      <c r="BF71">
        <f t="shared" si="55"/>
        <v>0</v>
      </c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 s="201" customFormat="1" ht="14.25" x14ac:dyDescent="0.2">
      <c r="A72" s="10">
        <v>2470</v>
      </c>
      <c r="B72" s="11" t="s">
        <v>552</v>
      </c>
      <c r="C72" s="105" t="s">
        <v>553</v>
      </c>
      <c r="D72" s="11" t="s">
        <v>105</v>
      </c>
      <c r="E72" s="12">
        <v>11300</v>
      </c>
      <c r="F72" s="202">
        <v>37</v>
      </c>
      <c r="G72" s="11">
        <v>60000</v>
      </c>
      <c r="H72" s="116">
        <v>0</v>
      </c>
      <c r="I72" s="192"/>
      <c r="J72" s="204"/>
      <c r="K72" s="193"/>
      <c r="L72" s="193"/>
      <c r="M72" s="193"/>
      <c r="N72" s="203">
        <f t="shared" si="28"/>
        <v>60000</v>
      </c>
      <c r="O72" s="203">
        <f t="shared" si="29"/>
        <v>60000</v>
      </c>
      <c r="P72" s="203">
        <f t="shared" si="30"/>
        <v>60000</v>
      </c>
      <c r="Q72" s="214"/>
      <c r="R72" s="215"/>
      <c r="S72" s="218">
        <v>45646</v>
      </c>
      <c r="T72" s="205"/>
      <c r="U72" s="205"/>
      <c r="V72" s="216"/>
      <c r="W72" s="212"/>
      <c r="X72" s="10">
        <v>7</v>
      </c>
      <c r="Y72" s="10">
        <v>7</v>
      </c>
      <c r="Z72" s="213">
        <f t="shared" si="31"/>
        <v>60000</v>
      </c>
      <c r="AA72" s="62"/>
      <c r="AB72" s="62"/>
      <c r="AC72" s="62"/>
      <c r="AD72" s="62"/>
      <c r="AE72" s="62"/>
      <c r="AF72" s="63"/>
      <c r="AG72" s="64"/>
      <c r="AH72" s="6">
        <v>1</v>
      </c>
      <c r="AI72">
        <f t="shared" si="32"/>
        <v>25</v>
      </c>
      <c r="AJ72">
        <f t="shared" si="33"/>
        <v>25</v>
      </c>
      <c r="AK72">
        <f t="shared" si="34"/>
        <v>0</v>
      </c>
      <c r="AL72">
        <f t="shared" si="35"/>
        <v>0</v>
      </c>
      <c r="AM72">
        <f t="shared" si="36"/>
        <v>0</v>
      </c>
      <c r="AN72">
        <f t="shared" si="37"/>
        <v>0</v>
      </c>
      <c r="AO72">
        <f t="shared" si="38"/>
        <v>0</v>
      </c>
      <c r="AP72">
        <f t="shared" si="39"/>
        <v>0</v>
      </c>
      <c r="AQ72">
        <f t="shared" si="40"/>
        <v>0</v>
      </c>
      <c r="AR72">
        <f t="shared" si="41"/>
        <v>0</v>
      </c>
      <c r="AS72">
        <f t="shared" si="42"/>
        <v>0</v>
      </c>
      <c r="AT72">
        <f t="shared" si="43"/>
        <v>0</v>
      </c>
      <c r="AU72">
        <f t="shared" si="44"/>
        <v>1</v>
      </c>
      <c r="AV72">
        <f t="shared" si="45"/>
        <v>1</v>
      </c>
      <c r="AW72">
        <f t="shared" si="46"/>
        <v>1</v>
      </c>
      <c r="AX72">
        <f t="shared" si="47"/>
        <v>1</v>
      </c>
      <c r="AY72">
        <f t="shared" si="48"/>
        <v>60000</v>
      </c>
      <c r="AZ72">
        <f t="shared" si="49"/>
        <v>60000</v>
      </c>
      <c r="BA72">
        <f t="shared" si="50"/>
        <v>0</v>
      </c>
      <c r="BB72">
        <f t="shared" si="51"/>
        <v>0</v>
      </c>
      <c r="BC72">
        <f t="shared" si="52"/>
        <v>0</v>
      </c>
      <c r="BD72">
        <f t="shared" si="53"/>
        <v>0</v>
      </c>
      <c r="BE72">
        <f t="shared" si="54"/>
        <v>0</v>
      </c>
      <c r="BF72">
        <f t="shared" si="55"/>
        <v>0</v>
      </c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 s="201" customFormat="1" ht="14.25" x14ac:dyDescent="0.2">
      <c r="A73" s="10">
        <v>2472</v>
      </c>
      <c r="B73" s="11" t="s">
        <v>554</v>
      </c>
      <c r="C73" s="105" t="s">
        <v>555</v>
      </c>
      <c r="D73" s="11" t="s">
        <v>147</v>
      </c>
      <c r="E73" s="12">
        <v>11303</v>
      </c>
      <c r="F73" s="202">
        <v>37</v>
      </c>
      <c r="G73" s="11">
        <v>60000</v>
      </c>
      <c r="H73" s="116">
        <v>0</v>
      </c>
      <c r="I73" s="192"/>
      <c r="J73" s="204"/>
      <c r="K73" s="193"/>
      <c r="L73" s="193"/>
      <c r="M73" s="193"/>
      <c r="N73" s="203">
        <f t="shared" si="28"/>
        <v>60000</v>
      </c>
      <c r="O73" s="203">
        <f t="shared" si="29"/>
        <v>60000</v>
      </c>
      <c r="P73" s="203">
        <f t="shared" si="30"/>
        <v>60000</v>
      </c>
      <c r="Q73" s="214"/>
      <c r="R73" s="215"/>
      <c r="S73" s="218">
        <v>45647</v>
      </c>
      <c r="T73" s="205"/>
      <c r="U73" s="205"/>
      <c r="V73" s="216"/>
      <c r="W73" s="212"/>
      <c r="X73" s="10">
        <v>7</v>
      </c>
      <c r="Y73" s="10">
        <v>7</v>
      </c>
      <c r="Z73" s="213">
        <f t="shared" si="31"/>
        <v>60000</v>
      </c>
      <c r="AA73" s="62"/>
      <c r="AB73" s="62"/>
      <c r="AC73" s="62"/>
      <c r="AD73" s="62"/>
      <c r="AE73" s="62"/>
      <c r="AF73" s="63"/>
      <c r="AG73" s="64"/>
      <c r="AH73" s="6">
        <v>1</v>
      </c>
      <c r="AI73">
        <f t="shared" si="32"/>
        <v>25</v>
      </c>
      <c r="AJ73">
        <f t="shared" si="33"/>
        <v>25</v>
      </c>
      <c r="AK73">
        <f t="shared" si="34"/>
        <v>0</v>
      </c>
      <c r="AL73">
        <f t="shared" si="35"/>
        <v>0</v>
      </c>
      <c r="AM73">
        <f t="shared" si="36"/>
        <v>0</v>
      </c>
      <c r="AN73">
        <f t="shared" si="37"/>
        <v>0</v>
      </c>
      <c r="AO73">
        <f t="shared" si="38"/>
        <v>0</v>
      </c>
      <c r="AP73">
        <f t="shared" si="39"/>
        <v>0</v>
      </c>
      <c r="AQ73">
        <f t="shared" si="40"/>
        <v>0</v>
      </c>
      <c r="AR73">
        <f t="shared" si="41"/>
        <v>0</v>
      </c>
      <c r="AS73">
        <f t="shared" si="42"/>
        <v>0</v>
      </c>
      <c r="AT73">
        <f t="shared" si="43"/>
        <v>0</v>
      </c>
      <c r="AU73">
        <f t="shared" si="44"/>
        <v>1</v>
      </c>
      <c r="AV73">
        <f t="shared" si="45"/>
        <v>1</v>
      </c>
      <c r="AW73">
        <f t="shared" si="46"/>
        <v>1</v>
      </c>
      <c r="AX73">
        <f t="shared" si="47"/>
        <v>1</v>
      </c>
      <c r="AY73">
        <f t="shared" si="48"/>
        <v>60000</v>
      </c>
      <c r="AZ73">
        <f t="shared" si="49"/>
        <v>60000</v>
      </c>
      <c r="BA73">
        <f t="shared" si="50"/>
        <v>0</v>
      </c>
      <c r="BB73">
        <f t="shared" si="51"/>
        <v>0</v>
      </c>
      <c r="BC73">
        <f t="shared" si="52"/>
        <v>0</v>
      </c>
      <c r="BD73">
        <f t="shared" si="53"/>
        <v>0</v>
      </c>
      <c r="BE73">
        <f t="shared" si="54"/>
        <v>0</v>
      </c>
      <c r="BF73">
        <f t="shared" si="55"/>
        <v>0</v>
      </c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 s="201" customFormat="1" ht="14.25" x14ac:dyDescent="0.2">
      <c r="A74" s="10">
        <v>2486</v>
      </c>
      <c r="B74" s="11" t="s">
        <v>344</v>
      </c>
      <c r="C74" s="105" t="s">
        <v>345</v>
      </c>
      <c r="D74" s="11" t="s">
        <v>346</v>
      </c>
      <c r="E74" s="12">
        <v>11347</v>
      </c>
      <c r="F74" s="202">
        <v>37</v>
      </c>
      <c r="G74" s="11">
        <v>40000</v>
      </c>
      <c r="H74" s="116">
        <v>-45000</v>
      </c>
      <c r="I74" s="192"/>
      <c r="J74" s="204"/>
      <c r="K74" s="193"/>
      <c r="L74" s="193"/>
      <c r="M74" s="193"/>
      <c r="N74" s="203">
        <f t="shared" si="28"/>
        <v>40000</v>
      </c>
      <c r="O74" s="203">
        <f t="shared" si="29"/>
        <v>-5000</v>
      </c>
      <c r="P74" s="203">
        <f t="shared" si="30"/>
        <v>0</v>
      </c>
      <c r="Q74" s="214">
        <v>45660</v>
      </c>
      <c r="R74" s="215"/>
      <c r="S74" s="218">
        <v>45629</v>
      </c>
      <c r="T74" s="205"/>
      <c r="U74" s="205"/>
      <c r="V74" s="216" t="s">
        <v>1131</v>
      </c>
      <c r="W74" s="212"/>
      <c r="X74" s="10">
        <v>7</v>
      </c>
      <c r="Y74" s="10">
        <v>7</v>
      </c>
      <c r="Z74" s="213">
        <f t="shared" si="31"/>
        <v>40000</v>
      </c>
      <c r="AA74" s="62"/>
      <c r="AB74" s="62"/>
      <c r="AC74" s="62"/>
      <c r="AD74" s="62"/>
      <c r="AE74" s="62"/>
      <c r="AF74" s="63"/>
      <c r="AG74" s="64"/>
      <c r="AH74" s="6">
        <v>1</v>
      </c>
      <c r="AI74">
        <f t="shared" si="32"/>
        <v>25</v>
      </c>
      <c r="AJ74">
        <f t="shared" si="33"/>
        <v>25</v>
      </c>
      <c r="AK74">
        <f t="shared" si="34"/>
        <v>0</v>
      </c>
      <c r="AL74">
        <f t="shared" si="35"/>
        <v>0</v>
      </c>
      <c r="AM74">
        <f t="shared" si="36"/>
        <v>0</v>
      </c>
      <c r="AN74">
        <f t="shared" si="37"/>
        <v>0</v>
      </c>
      <c r="AO74">
        <f t="shared" si="38"/>
        <v>0</v>
      </c>
      <c r="AP74">
        <f t="shared" si="39"/>
        <v>0</v>
      </c>
      <c r="AQ74">
        <f t="shared" si="40"/>
        <v>0</v>
      </c>
      <c r="AR74">
        <f t="shared" si="41"/>
        <v>0</v>
      </c>
      <c r="AS74">
        <f t="shared" si="42"/>
        <v>0</v>
      </c>
      <c r="AT74">
        <f t="shared" si="43"/>
        <v>0</v>
      </c>
      <c r="AU74">
        <f t="shared" si="44"/>
        <v>0</v>
      </c>
      <c r="AV74">
        <f t="shared" si="45"/>
        <v>0</v>
      </c>
      <c r="AW74">
        <f t="shared" si="46"/>
        <v>0</v>
      </c>
      <c r="AX74">
        <f t="shared" si="47"/>
        <v>0</v>
      </c>
      <c r="AY74">
        <f t="shared" si="48"/>
        <v>0</v>
      </c>
      <c r="AZ74">
        <f t="shared" si="49"/>
        <v>0</v>
      </c>
      <c r="BA74">
        <f t="shared" si="50"/>
        <v>0</v>
      </c>
      <c r="BB74">
        <f t="shared" si="51"/>
        <v>0</v>
      </c>
      <c r="BC74">
        <f t="shared" si="52"/>
        <v>0</v>
      </c>
      <c r="BD74">
        <f t="shared" si="53"/>
        <v>0</v>
      </c>
      <c r="BE74">
        <f t="shared" si="54"/>
        <v>0</v>
      </c>
      <c r="BF74">
        <f t="shared" si="55"/>
        <v>0</v>
      </c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 s="201" customFormat="1" ht="14.25" x14ac:dyDescent="0.2">
      <c r="A75" s="10">
        <v>2489</v>
      </c>
      <c r="B75" s="11" t="s">
        <v>556</v>
      </c>
      <c r="C75" s="105" t="s">
        <v>557</v>
      </c>
      <c r="D75" s="11" t="s">
        <v>106</v>
      </c>
      <c r="E75" s="12">
        <v>11359</v>
      </c>
      <c r="F75" s="202">
        <v>37</v>
      </c>
      <c r="G75" s="11">
        <v>60000</v>
      </c>
      <c r="H75" s="116">
        <v>-30000</v>
      </c>
      <c r="I75" s="192"/>
      <c r="J75" s="204"/>
      <c r="K75" s="193"/>
      <c r="L75" s="193"/>
      <c r="M75" s="193"/>
      <c r="N75" s="203">
        <f t="shared" si="28"/>
        <v>60000</v>
      </c>
      <c r="O75" s="203">
        <f t="shared" si="29"/>
        <v>30000</v>
      </c>
      <c r="P75" s="203">
        <f t="shared" si="30"/>
        <v>30000</v>
      </c>
      <c r="Q75" s="214">
        <v>45659</v>
      </c>
      <c r="R75" s="215"/>
      <c r="S75" s="218">
        <v>45630</v>
      </c>
      <c r="T75" s="205"/>
      <c r="U75" s="205"/>
      <c r="V75" s="216" t="s">
        <v>1131</v>
      </c>
      <c r="W75" s="212"/>
      <c r="X75" s="10">
        <v>7</v>
      </c>
      <c r="Y75" s="10">
        <v>7</v>
      </c>
      <c r="Z75" s="213">
        <f t="shared" si="31"/>
        <v>60000</v>
      </c>
      <c r="AA75" s="62"/>
      <c r="AB75" s="62"/>
      <c r="AC75" s="62"/>
      <c r="AD75" s="62"/>
      <c r="AE75" s="62"/>
      <c r="AF75" s="63"/>
      <c r="AG75" s="64"/>
      <c r="AH75" s="6">
        <v>1</v>
      </c>
      <c r="AI75">
        <f t="shared" si="32"/>
        <v>25</v>
      </c>
      <c r="AJ75">
        <f t="shared" si="33"/>
        <v>25</v>
      </c>
      <c r="AK75">
        <f t="shared" si="34"/>
        <v>0</v>
      </c>
      <c r="AL75">
        <f t="shared" si="35"/>
        <v>0</v>
      </c>
      <c r="AM75">
        <f t="shared" si="36"/>
        <v>0</v>
      </c>
      <c r="AN75">
        <f t="shared" si="37"/>
        <v>0</v>
      </c>
      <c r="AO75">
        <f t="shared" si="38"/>
        <v>0</v>
      </c>
      <c r="AP75">
        <f t="shared" si="39"/>
        <v>0</v>
      </c>
      <c r="AQ75">
        <f t="shared" si="40"/>
        <v>0</v>
      </c>
      <c r="AR75">
        <f t="shared" si="41"/>
        <v>0</v>
      </c>
      <c r="AS75">
        <f t="shared" si="42"/>
        <v>0</v>
      </c>
      <c r="AT75">
        <f t="shared" si="43"/>
        <v>0</v>
      </c>
      <c r="AU75">
        <f t="shared" si="44"/>
        <v>1</v>
      </c>
      <c r="AV75">
        <f t="shared" si="45"/>
        <v>1</v>
      </c>
      <c r="AW75">
        <f t="shared" si="46"/>
        <v>1</v>
      </c>
      <c r="AX75">
        <f t="shared" si="47"/>
        <v>1</v>
      </c>
      <c r="AY75">
        <f t="shared" si="48"/>
        <v>30000</v>
      </c>
      <c r="AZ75">
        <f t="shared" si="49"/>
        <v>30000</v>
      </c>
      <c r="BA75">
        <f t="shared" si="50"/>
        <v>0</v>
      </c>
      <c r="BB75">
        <f t="shared" si="51"/>
        <v>0</v>
      </c>
      <c r="BC75">
        <f t="shared" si="52"/>
        <v>0</v>
      </c>
      <c r="BD75">
        <f t="shared" si="53"/>
        <v>0</v>
      </c>
      <c r="BE75">
        <f t="shared" si="54"/>
        <v>0</v>
      </c>
      <c r="BF75">
        <f t="shared" si="55"/>
        <v>0</v>
      </c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201" customFormat="1" ht="14.25" x14ac:dyDescent="0.2">
      <c r="A76" s="10">
        <v>2515</v>
      </c>
      <c r="B76" s="11" t="s">
        <v>558</v>
      </c>
      <c r="C76" s="105" t="s">
        <v>559</v>
      </c>
      <c r="D76" s="11" t="s">
        <v>106</v>
      </c>
      <c r="E76" s="12">
        <v>11384</v>
      </c>
      <c r="F76" s="202">
        <v>36</v>
      </c>
      <c r="G76" s="11">
        <v>70000</v>
      </c>
      <c r="H76" s="116">
        <v>-70000</v>
      </c>
      <c r="I76" s="192"/>
      <c r="J76" s="204"/>
      <c r="K76" s="193"/>
      <c r="L76" s="193"/>
      <c r="M76" s="193"/>
      <c r="N76" s="203">
        <f t="shared" si="28"/>
        <v>70000</v>
      </c>
      <c r="O76" s="203">
        <f t="shared" si="29"/>
        <v>0</v>
      </c>
      <c r="P76" s="203">
        <f t="shared" si="30"/>
        <v>0</v>
      </c>
      <c r="Q76" s="214"/>
      <c r="R76" s="215"/>
      <c r="S76" s="218">
        <v>45646</v>
      </c>
      <c r="T76" s="205"/>
      <c r="U76" s="205"/>
      <c r="V76" s="216"/>
      <c r="W76" s="212"/>
      <c r="X76" s="10">
        <v>7</v>
      </c>
      <c r="Y76" s="10">
        <v>7</v>
      </c>
      <c r="Z76" s="213">
        <f t="shared" si="31"/>
        <v>70000</v>
      </c>
      <c r="AA76" s="62"/>
      <c r="AB76" s="62"/>
      <c r="AC76" s="62"/>
      <c r="AD76" s="62"/>
      <c r="AE76" s="62"/>
      <c r="AF76" s="63"/>
      <c r="AG76" s="64"/>
      <c r="AH76" s="6">
        <v>1</v>
      </c>
      <c r="AI76">
        <f t="shared" si="32"/>
        <v>25</v>
      </c>
      <c r="AJ76">
        <f t="shared" si="33"/>
        <v>15</v>
      </c>
      <c r="AK76">
        <f t="shared" si="34"/>
        <v>0</v>
      </c>
      <c r="AL76">
        <f t="shared" si="35"/>
        <v>0</v>
      </c>
      <c r="AM76">
        <f t="shared" si="36"/>
        <v>0</v>
      </c>
      <c r="AN76">
        <f t="shared" si="37"/>
        <v>0</v>
      </c>
      <c r="AO76">
        <f t="shared" si="38"/>
        <v>0</v>
      </c>
      <c r="AP76">
        <f t="shared" si="39"/>
        <v>0</v>
      </c>
      <c r="AQ76">
        <f t="shared" si="40"/>
        <v>0</v>
      </c>
      <c r="AR76">
        <f t="shared" si="41"/>
        <v>0</v>
      </c>
      <c r="AS76">
        <f t="shared" si="42"/>
        <v>0</v>
      </c>
      <c r="AT76">
        <f t="shared" si="43"/>
        <v>0</v>
      </c>
      <c r="AU76">
        <f t="shared" si="44"/>
        <v>0</v>
      </c>
      <c r="AV76">
        <f t="shared" si="45"/>
        <v>0</v>
      </c>
      <c r="AW76">
        <f t="shared" si="46"/>
        <v>0</v>
      </c>
      <c r="AX76">
        <f t="shared" si="47"/>
        <v>0</v>
      </c>
      <c r="AY76">
        <f t="shared" si="48"/>
        <v>0</v>
      </c>
      <c r="AZ76">
        <f t="shared" si="49"/>
        <v>0</v>
      </c>
      <c r="BA76">
        <f t="shared" si="50"/>
        <v>0</v>
      </c>
      <c r="BB76">
        <f t="shared" si="51"/>
        <v>0</v>
      </c>
      <c r="BC76">
        <f t="shared" si="52"/>
        <v>0</v>
      </c>
      <c r="BD76">
        <f t="shared" si="53"/>
        <v>0</v>
      </c>
      <c r="BE76">
        <f t="shared" si="54"/>
        <v>0</v>
      </c>
      <c r="BF76">
        <f t="shared" si="55"/>
        <v>0</v>
      </c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</row>
    <row r="77" spans="1:256" s="201" customFormat="1" ht="14.25" x14ac:dyDescent="0.2">
      <c r="A77" s="10">
        <v>2524</v>
      </c>
      <c r="B77" s="11" t="s">
        <v>560</v>
      </c>
      <c r="C77" s="105" t="s">
        <v>561</v>
      </c>
      <c r="D77" s="11" t="s">
        <v>106</v>
      </c>
      <c r="E77" s="12">
        <v>11397</v>
      </c>
      <c r="F77" s="202">
        <v>36</v>
      </c>
      <c r="G77" s="11">
        <v>60000</v>
      </c>
      <c r="H77" s="116">
        <v>0</v>
      </c>
      <c r="I77" s="192"/>
      <c r="J77" s="204"/>
      <c r="K77" s="193"/>
      <c r="L77" s="193"/>
      <c r="M77" s="193"/>
      <c r="N77" s="203">
        <f t="shared" si="28"/>
        <v>60000</v>
      </c>
      <c r="O77" s="203">
        <f t="shared" si="29"/>
        <v>60000</v>
      </c>
      <c r="P77" s="203">
        <f t="shared" si="30"/>
        <v>60000</v>
      </c>
      <c r="Q77" s="214"/>
      <c r="R77" s="215"/>
      <c r="S77" s="218">
        <v>45644</v>
      </c>
      <c r="T77" s="205"/>
      <c r="U77" s="205"/>
      <c r="V77" s="216"/>
      <c r="W77" s="212"/>
      <c r="X77" s="10">
        <v>7</v>
      </c>
      <c r="Y77" s="10">
        <v>7</v>
      </c>
      <c r="Z77" s="213">
        <f t="shared" si="31"/>
        <v>60000</v>
      </c>
      <c r="AA77" s="62"/>
      <c r="AB77" s="62"/>
      <c r="AC77" s="62"/>
      <c r="AD77" s="62"/>
      <c r="AE77" s="62"/>
      <c r="AF77" s="63"/>
      <c r="AG77" s="64"/>
      <c r="AH77" s="6">
        <v>1</v>
      </c>
      <c r="AI77">
        <f t="shared" si="32"/>
        <v>25</v>
      </c>
      <c r="AJ77">
        <f t="shared" si="33"/>
        <v>25</v>
      </c>
      <c r="AK77">
        <f t="shared" si="34"/>
        <v>0</v>
      </c>
      <c r="AL77">
        <f t="shared" si="35"/>
        <v>0</v>
      </c>
      <c r="AM77">
        <f t="shared" si="36"/>
        <v>0</v>
      </c>
      <c r="AN77">
        <f t="shared" si="37"/>
        <v>0</v>
      </c>
      <c r="AO77">
        <f t="shared" si="38"/>
        <v>0</v>
      </c>
      <c r="AP77">
        <f t="shared" si="39"/>
        <v>0</v>
      </c>
      <c r="AQ77">
        <f t="shared" si="40"/>
        <v>0</v>
      </c>
      <c r="AR77">
        <f t="shared" si="41"/>
        <v>0</v>
      </c>
      <c r="AS77">
        <f t="shared" si="42"/>
        <v>0</v>
      </c>
      <c r="AT77">
        <f t="shared" si="43"/>
        <v>0</v>
      </c>
      <c r="AU77">
        <f t="shared" si="44"/>
        <v>1</v>
      </c>
      <c r="AV77">
        <f t="shared" si="45"/>
        <v>1</v>
      </c>
      <c r="AW77">
        <f t="shared" si="46"/>
        <v>1</v>
      </c>
      <c r="AX77">
        <f t="shared" si="47"/>
        <v>1</v>
      </c>
      <c r="AY77">
        <f t="shared" si="48"/>
        <v>60000</v>
      </c>
      <c r="AZ77">
        <f t="shared" si="49"/>
        <v>60000</v>
      </c>
      <c r="BA77">
        <f t="shared" si="50"/>
        <v>0</v>
      </c>
      <c r="BB77">
        <f t="shared" si="51"/>
        <v>0</v>
      </c>
      <c r="BC77">
        <f t="shared" si="52"/>
        <v>0</v>
      </c>
      <c r="BD77">
        <f t="shared" si="53"/>
        <v>0</v>
      </c>
      <c r="BE77">
        <f t="shared" si="54"/>
        <v>0</v>
      </c>
      <c r="BF77">
        <f t="shared" si="55"/>
        <v>0</v>
      </c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</row>
    <row r="78" spans="1:256" s="201" customFormat="1" ht="14.25" x14ac:dyDescent="0.2">
      <c r="A78" s="10">
        <v>2525</v>
      </c>
      <c r="B78" s="11" t="s">
        <v>279</v>
      </c>
      <c r="C78" s="105" t="s">
        <v>280</v>
      </c>
      <c r="D78" s="11" t="s">
        <v>106</v>
      </c>
      <c r="E78" s="12">
        <v>11398</v>
      </c>
      <c r="F78" s="202">
        <v>36</v>
      </c>
      <c r="G78" s="11">
        <v>55000</v>
      </c>
      <c r="H78" s="116">
        <v>0</v>
      </c>
      <c r="I78" s="192"/>
      <c r="J78" s="204"/>
      <c r="K78" s="193"/>
      <c r="L78" s="193"/>
      <c r="M78" s="193"/>
      <c r="N78" s="203">
        <f t="shared" si="28"/>
        <v>55000</v>
      </c>
      <c r="O78" s="203">
        <f t="shared" si="29"/>
        <v>55000</v>
      </c>
      <c r="P78" s="203">
        <f t="shared" si="30"/>
        <v>55000</v>
      </c>
      <c r="Q78" s="214"/>
      <c r="R78" s="215"/>
      <c r="S78" s="218">
        <v>45645</v>
      </c>
      <c r="T78" s="205"/>
      <c r="U78" s="205"/>
      <c r="V78" s="216"/>
      <c r="W78" s="212"/>
      <c r="X78" s="10">
        <v>7</v>
      </c>
      <c r="Y78" s="10">
        <v>7</v>
      </c>
      <c r="Z78" s="213">
        <f t="shared" si="31"/>
        <v>55000</v>
      </c>
      <c r="AA78" s="62"/>
      <c r="AB78" s="62"/>
      <c r="AC78" s="62"/>
      <c r="AD78" s="62"/>
      <c r="AE78" s="62"/>
      <c r="AF78" s="63"/>
      <c r="AG78" s="64"/>
      <c r="AH78" s="6">
        <v>1</v>
      </c>
      <c r="AI78">
        <f t="shared" si="32"/>
        <v>25</v>
      </c>
      <c r="AJ78">
        <f t="shared" si="33"/>
        <v>25</v>
      </c>
      <c r="AK78">
        <f t="shared" si="34"/>
        <v>0</v>
      </c>
      <c r="AL78">
        <f t="shared" si="35"/>
        <v>0</v>
      </c>
      <c r="AM78">
        <f t="shared" si="36"/>
        <v>0</v>
      </c>
      <c r="AN78">
        <f t="shared" si="37"/>
        <v>0</v>
      </c>
      <c r="AO78">
        <f t="shared" si="38"/>
        <v>0</v>
      </c>
      <c r="AP78">
        <f t="shared" si="39"/>
        <v>0</v>
      </c>
      <c r="AQ78">
        <f t="shared" si="40"/>
        <v>0</v>
      </c>
      <c r="AR78">
        <f t="shared" si="41"/>
        <v>0</v>
      </c>
      <c r="AS78">
        <f t="shared" si="42"/>
        <v>0</v>
      </c>
      <c r="AT78">
        <f t="shared" si="43"/>
        <v>0</v>
      </c>
      <c r="AU78">
        <f t="shared" si="44"/>
        <v>1</v>
      </c>
      <c r="AV78">
        <f t="shared" si="45"/>
        <v>1</v>
      </c>
      <c r="AW78">
        <f t="shared" si="46"/>
        <v>1</v>
      </c>
      <c r="AX78">
        <f t="shared" si="47"/>
        <v>1</v>
      </c>
      <c r="AY78">
        <f t="shared" si="48"/>
        <v>55000</v>
      </c>
      <c r="AZ78">
        <f t="shared" si="49"/>
        <v>55000</v>
      </c>
      <c r="BA78">
        <f t="shared" si="50"/>
        <v>0</v>
      </c>
      <c r="BB78">
        <f t="shared" si="51"/>
        <v>0</v>
      </c>
      <c r="BC78">
        <f t="shared" si="52"/>
        <v>0</v>
      </c>
      <c r="BD78">
        <f t="shared" si="53"/>
        <v>0</v>
      </c>
      <c r="BE78">
        <f t="shared" si="54"/>
        <v>0</v>
      </c>
      <c r="BF78">
        <f t="shared" si="55"/>
        <v>0</v>
      </c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</row>
    <row r="79" spans="1:256" s="201" customFormat="1" ht="14.25" x14ac:dyDescent="0.2">
      <c r="A79" s="10">
        <v>2526</v>
      </c>
      <c r="B79" s="11" t="s">
        <v>347</v>
      </c>
      <c r="C79" s="105" t="s">
        <v>348</v>
      </c>
      <c r="D79" s="11" t="s">
        <v>349</v>
      </c>
      <c r="E79" s="12">
        <v>11399</v>
      </c>
      <c r="F79" s="202">
        <v>36</v>
      </c>
      <c r="G79" s="11">
        <v>50000</v>
      </c>
      <c r="H79" s="116">
        <v>0</v>
      </c>
      <c r="I79" s="192"/>
      <c r="J79" s="204"/>
      <c r="K79" s="193"/>
      <c r="L79" s="193"/>
      <c r="M79" s="193"/>
      <c r="N79" s="203">
        <f t="shared" si="28"/>
        <v>50000</v>
      </c>
      <c r="O79" s="203">
        <f t="shared" si="29"/>
        <v>50000</v>
      </c>
      <c r="P79" s="203">
        <f t="shared" si="30"/>
        <v>50000</v>
      </c>
      <c r="Q79" s="214"/>
      <c r="R79" s="215"/>
      <c r="S79" s="218">
        <v>45635</v>
      </c>
      <c r="T79" s="205"/>
      <c r="U79" s="205"/>
      <c r="V79" s="216"/>
      <c r="W79" s="212"/>
      <c r="X79" s="10">
        <v>7</v>
      </c>
      <c r="Y79" s="10">
        <v>7</v>
      </c>
      <c r="Z79" s="213">
        <f t="shared" si="31"/>
        <v>50000</v>
      </c>
      <c r="AA79" s="62"/>
      <c r="AB79" s="62"/>
      <c r="AC79" s="62"/>
      <c r="AD79" s="62"/>
      <c r="AE79" s="62"/>
      <c r="AF79" s="63"/>
      <c r="AG79" s="64"/>
      <c r="AH79" s="6">
        <v>1</v>
      </c>
      <c r="AI79">
        <f t="shared" si="32"/>
        <v>25</v>
      </c>
      <c r="AJ79">
        <f t="shared" si="33"/>
        <v>25</v>
      </c>
      <c r="AK79">
        <f t="shared" si="34"/>
        <v>0</v>
      </c>
      <c r="AL79">
        <f t="shared" si="35"/>
        <v>0</v>
      </c>
      <c r="AM79">
        <f t="shared" si="36"/>
        <v>0</v>
      </c>
      <c r="AN79">
        <f t="shared" si="37"/>
        <v>0</v>
      </c>
      <c r="AO79">
        <f t="shared" si="38"/>
        <v>0</v>
      </c>
      <c r="AP79">
        <f t="shared" si="39"/>
        <v>0</v>
      </c>
      <c r="AQ79">
        <f t="shared" si="40"/>
        <v>0</v>
      </c>
      <c r="AR79">
        <f t="shared" si="41"/>
        <v>0</v>
      </c>
      <c r="AS79">
        <f t="shared" si="42"/>
        <v>0</v>
      </c>
      <c r="AT79">
        <f t="shared" si="43"/>
        <v>0</v>
      </c>
      <c r="AU79">
        <f t="shared" si="44"/>
        <v>1</v>
      </c>
      <c r="AV79">
        <f t="shared" si="45"/>
        <v>1</v>
      </c>
      <c r="AW79">
        <f t="shared" si="46"/>
        <v>1</v>
      </c>
      <c r="AX79">
        <f t="shared" si="47"/>
        <v>1</v>
      </c>
      <c r="AY79">
        <f t="shared" si="48"/>
        <v>50000</v>
      </c>
      <c r="AZ79">
        <f t="shared" si="49"/>
        <v>50000</v>
      </c>
      <c r="BA79">
        <f t="shared" si="50"/>
        <v>0</v>
      </c>
      <c r="BB79">
        <f t="shared" si="51"/>
        <v>0</v>
      </c>
      <c r="BC79">
        <f t="shared" si="52"/>
        <v>0</v>
      </c>
      <c r="BD79">
        <f t="shared" si="53"/>
        <v>0</v>
      </c>
      <c r="BE79">
        <f t="shared" si="54"/>
        <v>0</v>
      </c>
      <c r="BF79">
        <f t="shared" si="55"/>
        <v>0</v>
      </c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 s="201" customFormat="1" ht="14.25" x14ac:dyDescent="0.2">
      <c r="A80" s="10">
        <v>2541</v>
      </c>
      <c r="B80" s="11" t="s">
        <v>562</v>
      </c>
      <c r="C80" s="105" t="s">
        <v>563</v>
      </c>
      <c r="D80" s="11" t="s">
        <v>106</v>
      </c>
      <c r="E80" s="12">
        <v>11364</v>
      </c>
      <c r="F80" s="202">
        <v>35</v>
      </c>
      <c r="G80" s="11">
        <v>70000</v>
      </c>
      <c r="H80" s="116">
        <v>-95000</v>
      </c>
      <c r="I80" s="192"/>
      <c r="J80" s="204"/>
      <c r="K80" s="193"/>
      <c r="L80" s="193"/>
      <c r="M80" s="193"/>
      <c r="N80" s="203">
        <f t="shared" si="28"/>
        <v>70000</v>
      </c>
      <c r="O80" s="203">
        <f t="shared" si="29"/>
        <v>-25000</v>
      </c>
      <c r="P80" s="203">
        <f t="shared" si="30"/>
        <v>0</v>
      </c>
      <c r="Q80" s="214"/>
      <c r="R80" s="215"/>
      <c r="S80" s="218">
        <v>45633</v>
      </c>
      <c r="T80" s="205"/>
      <c r="U80" s="205"/>
      <c r="V80" s="216"/>
      <c r="W80" s="212"/>
      <c r="X80" s="10">
        <v>7</v>
      </c>
      <c r="Y80" s="10">
        <v>7</v>
      </c>
      <c r="Z80" s="213">
        <f t="shared" si="31"/>
        <v>70000</v>
      </c>
      <c r="AA80" s="62"/>
      <c r="AB80" s="62"/>
      <c r="AC80" s="62"/>
      <c r="AD80" s="62"/>
      <c r="AE80" s="62"/>
      <c r="AF80" s="63"/>
      <c r="AG80" s="64"/>
      <c r="AH80" s="6">
        <v>1</v>
      </c>
      <c r="AI80">
        <f t="shared" si="32"/>
        <v>25</v>
      </c>
      <c r="AJ80">
        <f t="shared" si="33"/>
        <v>25</v>
      </c>
      <c r="AK80">
        <f t="shared" si="34"/>
        <v>0</v>
      </c>
      <c r="AL80">
        <f t="shared" si="35"/>
        <v>0</v>
      </c>
      <c r="AM80">
        <f t="shared" si="36"/>
        <v>0</v>
      </c>
      <c r="AN80">
        <f t="shared" si="37"/>
        <v>0</v>
      </c>
      <c r="AO80">
        <f t="shared" si="38"/>
        <v>0</v>
      </c>
      <c r="AP80">
        <f t="shared" si="39"/>
        <v>0</v>
      </c>
      <c r="AQ80">
        <f t="shared" si="40"/>
        <v>0</v>
      </c>
      <c r="AR80">
        <f t="shared" si="41"/>
        <v>0</v>
      </c>
      <c r="AS80">
        <f t="shared" si="42"/>
        <v>0</v>
      </c>
      <c r="AT80">
        <f t="shared" si="43"/>
        <v>0</v>
      </c>
      <c r="AU80">
        <f t="shared" si="44"/>
        <v>0</v>
      </c>
      <c r="AV80">
        <f t="shared" si="45"/>
        <v>0</v>
      </c>
      <c r="AW80">
        <f t="shared" si="46"/>
        <v>0</v>
      </c>
      <c r="AX80">
        <f t="shared" si="47"/>
        <v>0</v>
      </c>
      <c r="AY80">
        <f t="shared" si="48"/>
        <v>0</v>
      </c>
      <c r="AZ80">
        <f t="shared" si="49"/>
        <v>0</v>
      </c>
      <c r="BA80">
        <f t="shared" si="50"/>
        <v>0</v>
      </c>
      <c r="BB80">
        <f t="shared" si="51"/>
        <v>0</v>
      </c>
      <c r="BC80">
        <f t="shared" si="52"/>
        <v>0</v>
      </c>
      <c r="BD80">
        <f t="shared" si="53"/>
        <v>0</v>
      </c>
      <c r="BE80">
        <f t="shared" si="54"/>
        <v>0</v>
      </c>
      <c r="BF80">
        <f t="shared" si="55"/>
        <v>0</v>
      </c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 s="201" customFormat="1" ht="14.25" x14ac:dyDescent="0.2">
      <c r="A81" s="10">
        <v>2543</v>
      </c>
      <c r="B81" s="11" t="s">
        <v>564</v>
      </c>
      <c r="C81" s="105" t="s">
        <v>565</v>
      </c>
      <c r="D81" s="11" t="s">
        <v>106</v>
      </c>
      <c r="E81" s="12">
        <v>11367</v>
      </c>
      <c r="F81" s="202">
        <v>35</v>
      </c>
      <c r="G81" s="11">
        <v>60000</v>
      </c>
      <c r="H81" s="116">
        <v>0</v>
      </c>
      <c r="I81" s="192"/>
      <c r="J81" s="204"/>
      <c r="K81" s="193"/>
      <c r="L81" s="193"/>
      <c r="M81" s="193"/>
      <c r="N81" s="203">
        <f t="shared" si="28"/>
        <v>60000</v>
      </c>
      <c r="O81" s="203">
        <f t="shared" si="29"/>
        <v>60000</v>
      </c>
      <c r="P81" s="203">
        <f t="shared" si="30"/>
        <v>60000</v>
      </c>
      <c r="Q81" s="214"/>
      <c r="R81" s="215"/>
      <c r="S81" s="218">
        <v>45647</v>
      </c>
      <c r="T81" s="205"/>
      <c r="U81" s="205"/>
      <c r="V81" s="216"/>
      <c r="W81" s="212"/>
      <c r="X81" s="10">
        <v>7</v>
      </c>
      <c r="Y81" s="10">
        <v>7</v>
      </c>
      <c r="Z81" s="213">
        <f t="shared" si="31"/>
        <v>60000</v>
      </c>
      <c r="AA81" s="62"/>
      <c r="AB81" s="62"/>
      <c r="AC81" s="62"/>
      <c r="AD81" s="62"/>
      <c r="AE81" s="62"/>
      <c r="AF81" s="63"/>
      <c r="AG81" s="64"/>
      <c r="AH81" s="6">
        <v>1</v>
      </c>
      <c r="AI81">
        <f t="shared" si="32"/>
        <v>25</v>
      </c>
      <c r="AJ81">
        <f t="shared" si="33"/>
        <v>25</v>
      </c>
      <c r="AK81">
        <f t="shared" si="34"/>
        <v>0</v>
      </c>
      <c r="AL81">
        <f t="shared" si="35"/>
        <v>0</v>
      </c>
      <c r="AM81">
        <f t="shared" si="36"/>
        <v>0</v>
      </c>
      <c r="AN81">
        <f t="shared" si="37"/>
        <v>0</v>
      </c>
      <c r="AO81">
        <f t="shared" si="38"/>
        <v>0</v>
      </c>
      <c r="AP81">
        <f t="shared" si="39"/>
        <v>0</v>
      </c>
      <c r="AQ81">
        <f t="shared" si="40"/>
        <v>0</v>
      </c>
      <c r="AR81">
        <f t="shared" si="41"/>
        <v>0</v>
      </c>
      <c r="AS81">
        <f t="shared" si="42"/>
        <v>0</v>
      </c>
      <c r="AT81">
        <f t="shared" si="43"/>
        <v>0</v>
      </c>
      <c r="AU81">
        <f t="shared" si="44"/>
        <v>1</v>
      </c>
      <c r="AV81">
        <f t="shared" si="45"/>
        <v>1</v>
      </c>
      <c r="AW81">
        <f t="shared" si="46"/>
        <v>1</v>
      </c>
      <c r="AX81">
        <f t="shared" si="47"/>
        <v>1</v>
      </c>
      <c r="AY81">
        <f t="shared" si="48"/>
        <v>60000</v>
      </c>
      <c r="AZ81">
        <f t="shared" si="49"/>
        <v>60000</v>
      </c>
      <c r="BA81">
        <f t="shared" si="50"/>
        <v>0</v>
      </c>
      <c r="BB81">
        <f t="shared" si="51"/>
        <v>0</v>
      </c>
      <c r="BC81">
        <f t="shared" si="52"/>
        <v>0</v>
      </c>
      <c r="BD81">
        <f t="shared" si="53"/>
        <v>0</v>
      </c>
      <c r="BE81">
        <f t="shared" si="54"/>
        <v>0</v>
      </c>
      <c r="BF81">
        <f t="shared" si="55"/>
        <v>0</v>
      </c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201" customFormat="1" ht="14.25" x14ac:dyDescent="0.2">
      <c r="A82" s="10">
        <v>2545</v>
      </c>
      <c r="B82" s="11" t="s">
        <v>566</v>
      </c>
      <c r="C82" s="105" t="s">
        <v>567</v>
      </c>
      <c r="D82" s="11" t="s">
        <v>233</v>
      </c>
      <c r="E82" s="12">
        <v>11371</v>
      </c>
      <c r="F82" s="202">
        <v>35</v>
      </c>
      <c r="G82" s="11">
        <v>60000</v>
      </c>
      <c r="H82" s="116">
        <v>0</v>
      </c>
      <c r="I82" s="192"/>
      <c r="J82" s="204"/>
      <c r="K82" s="193"/>
      <c r="L82" s="193"/>
      <c r="M82" s="193"/>
      <c r="N82" s="203">
        <f t="shared" si="28"/>
        <v>60000</v>
      </c>
      <c r="O82" s="203">
        <f t="shared" si="29"/>
        <v>60000</v>
      </c>
      <c r="P82" s="203">
        <f t="shared" si="30"/>
        <v>60000</v>
      </c>
      <c r="Q82" s="214"/>
      <c r="R82" s="215"/>
      <c r="S82" s="218">
        <v>45638</v>
      </c>
      <c r="T82" s="205"/>
      <c r="U82" s="205"/>
      <c r="V82" s="216"/>
      <c r="W82" s="212"/>
      <c r="X82" s="10">
        <v>7</v>
      </c>
      <c r="Y82" s="10">
        <v>7</v>
      </c>
      <c r="Z82" s="213">
        <f t="shared" si="31"/>
        <v>60000</v>
      </c>
      <c r="AA82" s="62"/>
      <c r="AB82" s="62"/>
      <c r="AC82" s="62"/>
      <c r="AD82" s="62"/>
      <c r="AE82" s="62"/>
      <c r="AF82" s="63"/>
      <c r="AG82" s="64"/>
      <c r="AH82" s="6">
        <v>1</v>
      </c>
      <c r="AI82">
        <f t="shared" si="32"/>
        <v>25</v>
      </c>
      <c r="AJ82">
        <f t="shared" si="33"/>
        <v>25</v>
      </c>
      <c r="AK82">
        <f t="shared" si="34"/>
        <v>0</v>
      </c>
      <c r="AL82">
        <f t="shared" si="35"/>
        <v>0</v>
      </c>
      <c r="AM82">
        <f t="shared" si="36"/>
        <v>0</v>
      </c>
      <c r="AN82">
        <f t="shared" si="37"/>
        <v>0</v>
      </c>
      <c r="AO82">
        <f t="shared" si="38"/>
        <v>0</v>
      </c>
      <c r="AP82">
        <f t="shared" si="39"/>
        <v>0</v>
      </c>
      <c r="AQ82">
        <f t="shared" si="40"/>
        <v>0</v>
      </c>
      <c r="AR82">
        <f t="shared" si="41"/>
        <v>0</v>
      </c>
      <c r="AS82">
        <f t="shared" si="42"/>
        <v>0</v>
      </c>
      <c r="AT82">
        <f t="shared" si="43"/>
        <v>0</v>
      </c>
      <c r="AU82">
        <f t="shared" si="44"/>
        <v>1</v>
      </c>
      <c r="AV82">
        <f t="shared" si="45"/>
        <v>1</v>
      </c>
      <c r="AW82">
        <f t="shared" si="46"/>
        <v>1</v>
      </c>
      <c r="AX82">
        <f t="shared" si="47"/>
        <v>1</v>
      </c>
      <c r="AY82">
        <f t="shared" si="48"/>
        <v>60000</v>
      </c>
      <c r="AZ82">
        <f t="shared" si="49"/>
        <v>60000</v>
      </c>
      <c r="BA82">
        <f t="shared" si="50"/>
        <v>0</v>
      </c>
      <c r="BB82">
        <f t="shared" si="51"/>
        <v>0</v>
      </c>
      <c r="BC82">
        <f t="shared" si="52"/>
        <v>0</v>
      </c>
      <c r="BD82">
        <f t="shared" si="53"/>
        <v>0</v>
      </c>
      <c r="BE82">
        <f t="shared" si="54"/>
        <v>0</v>
      </c>
      <c r="BF82">
        <f t="shared" si="55"/>
        <v>0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</row>
    <row r="83" spans="1:256" s="201" customFormat="1" ht="14.25" x14ac:dyDescent="0.2">
      <c r="A83" s="10">
        <v>2548</v>
      </c>
      <c r="B83" s="11" t="s">
        <v>568</v>
      </c>
      <c r="C83" s="105" t="s">
        <v>569</v>
      </c>
      <c r="D83" s="11" t="s">
        <v>106</v>
      </c>
      <c r="E83" s="12">
        <v>11381</v>
      </c>
      <c r="F83" s="202">
        <v>35</v>
      </c>
      <c r="G83" s="11">
        <v>60000</v>
      </c>
      <c r="H83" s="116">
        <v>-10000</v>
      </c>
      <c r="I83" s="192"/>
      <c r="J83" s="204"/>
      <c r="K83" s="193"/>
      <c r="L83" s="193"/>
      <c r="M83" s="193"/>
      <c r="N83" s="203">
        <f t="shared" si="28"/>
        <v>60000</v>
      </c>
      <c r="O83" s="203">
        <f t="shared" si="29"/>
        <v>50000</v>
      </c>
      <c r="P83" s="203">
        <f t="shared" si="30"/>
        <v>50000</v>
      </c>
      <c r="Q83" s="214"/>
      <c r="R83" s="215"/>
      <c r="S83" s="218">
        <v>45646</v>
      </c>
      <c r="T83" s="205"/>
      <c r="U83" s="205"/>
      <c r="V83" s="216"/>
      <c r="W83" s="212"/>
      <c r="X83" s="10">
        <v>7</v>
      </c>
      <c r="Y83" s="10">
        <v>7</v>
      </c>
      <c r="Z83" s="213">
        <f t="shared" si="31"/>
        <v>60000</v>
      </c>
      <c r="AA83" s="62"/>
      <c r="AB83" s="62"/>
      <c r="AC83" s="62"/>
      <c r="AD83" s="62"/>
      <c r="AE83" s="62"/>
      <c r="AF83" s="63"/>
      <c r="AG83" s="64"/>
      <c r="AH83" s="6">
        <v>1</v>
      </c>
      <c r="AI83">
        <f t="shared" si="32"/>
        <v>25</v>
      </c>
      <c r="AJ83">
        <f t="shared" si="33"/>
        <v>25</v>
      </c>
      <c r="AK83">
        <f t="shared" si="34"/>
        <v>0</v>
      </c>
      <c r="AL83">
        <f t="shared" si="35"/>
        <v>0</v>
      </c>
      <c r="AM83">
        <f t="shared" si="36"/>
        <v>0</v>
      </c>
      <c r="AN83">
        <f t="shared" si="37"/>
        <v>0</v>
      </c>
      <c r="AO83">
        <f t="shared" si="38"/>
        <v>0</v>
      </c>
      <c r="AP83">
        <f t="shared" si="39"/>
        <v>0</v>
      </c>
      <c r="AQ83">
        <f t="shared" si="40"/>
        <v>0</v>
      </c>
      <c r="AR83">
        <f t="shared" si="41"/>
        <v>0</v>
      </c>
      <c r="AS83">
        <f t="shared" si="42"/>
        <v>0</v>
      </c>
      <c r="AT83">
        <f t="shared" si="43"/>
        <v>0</v>
      </c>
      <c r="AU83">
        <f t="shared" si="44"/>
        <v>1</v>
      </c>
      <c r="AV83">
        <f t="shared" si="45"/>
        <v>1</v>
      </c>
      <c r="AW83">
        <f t="shared" si="46"/>
        <v>1</v>
      </c>
      <c r="AX83">
        <f t="shared" si="47"/>
        <v>1</v>
      </c>
      <c r="AY83">
        <f t="shared" si="48"/>
        <v>50000</v>
      </c>
      <c r="AZ83">
        <f t="shared" si="49"/>
        <v>50000</v>
      </c>
      <c r="BA83">
        <f t="shared" si="50"/>
        <v>0</v>
      </c>
      <c r="BB83">
        <f t="shared" si="51"/>
        <v>0</v>
      </c>
      <c r="BC83">
        <f t="shared" si="52"/>
        <v>0</v>
      </c>
      <c r="BD83">
        <f t="shared" si="53"/>
        <v>0</v>
      </c>
      <c r="BE83">
        <f t="shared" si="54"/>
        <v>0</v>
      </c>
      <c r="BF83">
        <f t="shared" si="55"/>
        <v>0</v>
      </c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</row>
    <row r="84" spans="1:256" s="201" customFormat="1" ht="14.25" x14ac:dyDescent="0.2">
      <c r="A84" s="10">
        <v>2549</v>
      </c>
      <c r="B84" s="11" t="s">
        <v>570</v>
      </c>
      <c r="C84" s="105" t="s">
        <v>571</v>
      </c>
      <c r="D84" s="11" t="s">
        <v>105</v>
      </c>
      <c r="E84" s="12">
        <v>11382</v>
      </c>
      <c r="F84" s="202">
        <v>35</v>
      </c>
      <c r="G84" s="11">
        <v>60000</v>
      </c>
      <c r="H84" s="116">
        <v>-24000</v>
      </c>
      <c r="I84" s="192"/>
      <c r="J84" s="204"/>
      <c r="K84" s="193"/>
      <c r="L84" s="193"/>
      <c r="M84" s="193"/>
      <c r="N84" s="203">
        <f t="shared" si="28"/>
        <v>60000</v>
      </c>
      <c r="O84" s="203">
        <f t="shared" si="29"/>
        <v>36000</v>
      </c>
      <c r="P84" s="203">
        <f t="shared" si="30"/>
        <v>36000</v>
      </c>
      <c r="Q84" s="214">
        <v>45660</v>
      </c>
      <c r="R84" s="215"/>
      <c r="S84" s="218">
        <v>45635</v>
      </c>
      <c r="T84" s="205"/>
      <c r="U84" s="205"/>
      <c r="V84" s="216" t="s">
        <v>1131</v>
      </c>
      <c r="W84" s="212"/>
      <c r="X84" s="10">
        <v>7</v>
      </c>
      <c r="Y84" s="10">
        <v>7</v>
      </c>
      <c r="Z84" s="213">
        <f t="shared" si="31"/>
        <v>60000</v>
      </c>
      <c r="AA84" s="62"/>
      <c r="AB84" s="62"/>
      <c r="AC84" s="62"/>
      <c r="AD84" s="62"/>
      <c r="AE84" s="62"/>
      <c r="AF84" s="63"/>
      <c r="AG84" s="64"/>
      <c r="AH84" s="6">
        <v>1</v>
      </c>
      <c r="AI84">
        <f t="shared" si="32"/>
        <v>25</v>
      </c>
      <c r="AJ84">
        <f t="shared" si="33"/>
        <v>25</v>
      </c>
      <c r="AK84">
        <f t="shared" si="34"/>
        <v>0</v>
      </c>
      <c r="AL84">
        <f t="shared" si="35"/>
        <v>0</v>
      </c>
      <c r="AM84">
        <f t="shared" si="36"/>
        <v>0</v>
      </c>
      <c r="AN84">
        <f t="shared" si="37"/>
        <v>0</v>
      </c>
      <c r="AO84">
        <f t="shared" si="38"/>
        <v>0</v>
      </c>
      <c r="AP84">
        <f t="shared" si="39"/>
        <v>0</v>
      </c>
      <c r="AQ84">
        <f t="shared" si="40"/>
        <v>0</v>
      </c>
      <c r="AR84">
        <f t="shared" si="41"/>
        <v>0</v>
      </c>
      <c r="AS84">
        <f t="shared" si="42"/>
        <v>0</v>
      </c>
      <c r="AT84">
        <f t="shared" si="43"/>
        <v>0</v>
      </c>
      <c r="AU84">
        <f t="shared" si="44"/>
        <v>1</v>
      </c>
      <c r="AV84">
        <f t="shared" si="45"/>
        <v>1</v>
      </c>
      <c r="AW84">
        <f t="shared" si="46"/>
        <v>1</v>
      </c>
      <c r="AX84">
        <f t="shared" si="47"/>
        <v>1</v>
      </c>
      <c r="AY84">
        <f t="shared" si="48"/>
        <v>36000</v>
      </c>
      <c r="AZ84">
        <f t="shared" si="49"/>
        <v>36000</v>
      </c>
      <c r="BA84">
        <f t="shared" si="50"/>
        <v>0</v>
      </c>
      <c r="BB84">
        <f t="shared" si="51"/>
        <v>0</v>
      </c>
      <c r="BC84">
        <f t="shared" si="52"/>
        <v>0</v>
      </c>
      <c r="BD84">
        <f t="shared" si="53"/>
        <v>0</v>
      </c>
      <c r="BE84">
        <f t="shared" si="54"/>
        <v>0</v>
      </c>
      <c r="BF84">
        <f t="shared" si="55"/>
        <v>0</v>
      </c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</row>
    <row r="85" spans="1:256" s="201" customFormat="1" ht="14.25" x14ac:dyDescent="0.2">
      <c r="A85" s="10">
        <v>2552</v>
      </c>
      <c r="B85" s="11" t="s">
        <v>572</v>
      </c>
      <c r="C85" s="105" t="s">
        <v>573</v>
      </c>
      <c r="D85" s="11" t="s">
        <v>105</v>
      </c>
      <c r="E85" s="12">
        <v>11390</v>
      </c>
      <c r="F85" s="202">
        <v>35</v>
      </c>
      <c r="G85" s="11">
        <v>60000</v>
      </c>
      <c r="H85" s="116">
        <v>-52000</v>
      </c>
      <c r="I85" s="192"/>
      <c r="J85" s="204"/>
      <c r="K85" s="193"/>
      <c r="L85" s="193"/>
      <c r="M85" s="193"/>
      <c r="N85" s="203">
        <f t="shared" si="28"/>
        <v>60000</v>
      </c>
      <c r="O85" s="203">
        <f t="shared" si="29"/>
        <v>8000</v>
      </c>
      <c r="P85" s="203">
        <f t="shared" si="30"/>
        <v>8000</v>
      </c>
      <c r="Q85" s="214">
        <v>45659</v>
      </c>
      <c r="R85" s="215"/>
      <c r="S85" s="218">
        <v>45628</v>
      </c>
      <c r="T85" s="205"/>
      <c r="U85" s="205"/>
      <c r="V85" s="216" t="s">
        <v>1131</v>
      </c>
      <c r="W85" s="212"/>
      <c r="X85" s="10">
        <v>7</v>
      </c>
      <c r="Y85" s="10">
        <v>7</v>
      </c>
      <c r="Z85" s="213">
        <f t="shared" si="31"/>
        <v>60000</v>
      </c>
      <c r="AA85" s="62"/>
      <c r="AB85" s="62"/>
      <c r="AC85" s="62"/>
      <c r="AD85" s="62"/>
      <c r="AE85" s="62"/>
      <c r="AF85" s="63"/>
      <c r="AG85" s="64"/>
      <c r="AH85" s="6">
        <v>1</v>
      </c>
      <c r="AI85">
        <f t="shared" si="32"/>
        <v>25</v>
      </c>
      <c r="AJ85">
        <f t="shared" si="33"/>
        <v>25</v>
      </c>
      <c r="AK85">
        <f t="shared" si="34"/>
        <v>0</v>
      </c>
      <c r="AL85">
        <f t="shared" si="35"/>
        <v>0</v>
      </c>
      <c r="AM85">
        <f t="shared" si="36"/>
        <v>0</v>
      </c>
      <c r="AN85">
        <f t="shared" si="37"/>
        <v>0</v>
      </c>
      <c r="AO85">
        <f t="shared" si="38"/>
        <v>0</v>
      </c>
      <c r="AP85">
        <f t="shared" si="39"/>
        <v>0</v>
      </c>
      <c r="AQ85">
        <f t="shared" si="40"/>
        <v>0</v>
      </c>
      <c r="AR85">
        <f t="shared" si="41"/>
        <v>0</v>
      </c>
      <c r="AS85">
        <f t="shared" si="42"/>
        <v>0</v>
      </c>
      <c r="AT85">
        <f t="shared" si="43"/>
        <v>0</v>
      </c>
      <c r="AU85">
        <f t="shared" si="44"/>
        <v>1</v>
      </c>
      <c r="AV85">
        <f t="shared" si="45"/>
        <v>1</v>
      </c>
      <c r="AW85">
        <f t="shared" si="46"/>
        <v>1</v>
      </c>
      <c r="AX85">
        <f t="shared" si="47"/>
        <v>1</v>
      </c>
      <c r="AY85">
        <f t="shared" si="48"/>
        <v>8000</v>
      </c>
      <c r="AZ85">
        <f t="shared" si="49"/>
        <v>8000</v>
      </c>
      <c r="BA85">
        <f t="shared" si="50"/>
        <v>0</v>
      </c>
      <c r="BB85">
        <f t="shared" si="51"/>
        <v>0</v>
      </c>
      <c r="BC85">
        <f t="shared" si="52"/>
        <v>0</v>
      </c>
      <c r="BD85">
        <f t="shared" si="53"/>
        <v>0</v>
      </c>
      <c r="BE85">
        <f t="shared" si="54"/>
        <v>0</v>
      </c>
      <c r="BF85">
        <f t="shared" si="55"/>
        <v>0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</row>
    <row r="86" spans="1:256" s="201" customFormat="1" ht="14.25" x14ac:dyDescent="0.2">
      <c r="A86" s="10">
        <v>2555</v>
      </c>
      <c r="B86" s="11" t="s">
        <v>574</v>
      </c>
      <c r="C86" s="105" t="s">
        <v>575</v>
      </c>
      <c r="D86" s="11" t="s">
        <v>106</v>
      </c>
      <c r="E86" s="12">
        <v>11439</v>
      </c>
      <c r="F86" s="202">
        <v>35</v>
      </c>
      <c r="G86" s="11">
        <v>60000</v>
      </c>
      <c r="H86" s="116">
        <v>0</v>
      </c>
      <c r="I86" s="192"/>
      <c r="J86" s="204"/>
      <c r="K86" s="193"/>
      <c r="L86" s="193"/>
      <c r="M86" s="193"/>
      <c r="N86" s="203">
        <f t="shared" si="28"/>
        <v>60000</v>
      </c>
      <c r="O86" s="203">
        <f t="shared" si="29"/>
        <v>60000</v>
      </c>
      <c r="P86" s="203">
        <f t="shared" si="30"/>
        <v>60000</v>
      </c>
      <c r="Q86" s="214"/>
      <c r="R86" s="215"/>
      <c r="S86" s="218">
        <v>45629</v>
      </c>
      <c r="T86" s="205"/>
      <c r="U86" s="205"/>
      <c r="V86" s="216"/>
      <c r="W86" s="212"/>
      <c r="X86" s="10">
        <v>7</v>
      </c>
      <c r="Y86" s="10">
        <v>7</v>
      </c>
      <c r="Z86" s="213">
        <f t="shared" si="31"/>
        <v>60000</v>
      </c>
      <c r="AA86" s="62"/>
      <c r="AB86" s="62"/>
      <c r="AC86" s="62"/>
      <c r="AD86" s="62"/>
      <c r="AE86" s="62"/>
      <c r="AF86" s="63"/>
      <c r="AG86" s="64"/>
      <c r="AH86" s="6">
        <v>1</v>
      </c>
      <c r="AI86">
        <f t="shared" si="32"/>
        <v>25</v>
      </c>
      <c r="AJ86">
        <f t="shared" si="33"/>
        <v>25</v>
      </c>
      <c r="AK86">
        <f t="shared" si="34"/>
        <v>0</v>
      </c>
      <c r="AL86">
        <f t="shared" si="35"/>
        <v>0</v>
      </c>
      <c r="AM86">
        <f t="shared" si="36"/>
        <v>0</v>
      </c>
      <c r="AN86">
        <f t="shared" si="37"/>
        <v>0</v>
      </c>
      <c r="AO86">
        <f t="shared" si="38"/>
        <v>0</v>
      </c>
      <c r="AP86">
        <f t="shared" si="39"/>
        <v>0</v>
      </c>
      <c r="AQ86">
        <f t="shared" si="40"/>
        <v>0</v>
      </c>
      <c r="AR86">
        <f t="shared" si="41"/>
        <v>0</v>
      </c>
      <c r="AS86">
        <f t="shared" si="42"/>
        <v>0</v>
      </c>
      <c r="AT86">
        <f t="shared" si="43"/>
        <v>0</v>
      </c>
      <c r="AU86">
        <f t="shared" si="44"/>
        <v>1</v>
      </c>
      <c r="AV86">
        <f t="shared" si="45"/>
        <v>1</v>
      </c>
      <c r="AW86">
        <f t="shared" si="46"/>
        <v>1</v>
      </c>
      <c r="AX86">
        <f t="shared" si="47"/>
        <v>1</v>
      </c>
      <c r="AY86">
        <f t="shared" si="48"/>
        <v>60000</v>
      </c>
      <c r="AZ86">
        <f t="shared" si="49"/>
        <v>60000</v>
      </c>
      <c r="BA86">
        <f t="shared" si="50"/>
        <v>0</v>
      </c>
      <c r="BB86">
        <f t="shared" si="51"/>
        <v>0</v>
      </c>
      <c r="BC86">
        <f t="shared" si="52"/>
        <v>0</v>
      </c>
      <c r="BD86">
        <f t="shared" si="53"/>
        <v>0</v>
      </c>
      <c r="BE86">
        <f t="shared" si="54"/>
        <v>0</v>
      </c>
      <c r="BF86">
        <f t="shared" si="55"/>
        <v>0</v>
      </c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</row>
    <row r="87" spans="1:256" s="201" customFormat="1" ht="14.25" x14ac:dyDescent="0.2">
      <c r="A87" s="10">
        <v>2556</v>
      </c>
      <c r="B87" s="11" t="s">
        <v>576</v>
      </c>
      <c r="C87" s="105" t="s">
        <v>577</v>
      </c>
      <c r="D87" s="11" t="s">
        <v>147</v>
      </c>
      <c r="E87" s="12">
        <v>11440</v>
      </c>
      <c r="F87" s="202">
        <v>35</v>
      </c>
      <c r="G87" s="11">
        <v>60000</v>
      </c>
      <c r="H87" s="116">
        <v>0</v>
      </c>
      <c r="I87" s="192"/>
      <c r="J87" s="204"/>
      <c r="K87" s="193"/>
      <c r="L87" s="193"/>
      <c r="M87" s="193"/>
      <c r="N87" s="203">
        <f t="shared" si="28"/>
        <v>60000</v>
      </c>
      <c r="O87" s="203">
        <f t="shared" si="29"/>
        <v>60000</v>
      </c>
      <c r="P87" s="203">
        <f t="shared" si="30"/>
        <v>60000</v>
      </c>
      <c r="Q87" s="214"/>
      <c r="R87" s="215"/>
      <c r="S87" s="218">
        <v>45645</v>
      </c>
      <c r="T87" s="205"/>
      <c r="U87" s="205"/>
      <c r="V87" s="216"/>
      <c r="W87" s="212"/>
      <c r="X87" s="10">
        <v>7</v>
      </c>
      <c r="Y87" s="10">
        <v>7</v>
      </c>
      <c r="Z87" s="213">
        <f t="shared" si="31"/>
        <v>60000</v>
      </c>
      <c r="AA87" s="62"/>
      <c r="AB87" s="62"/>
      <c r="AC87" s="62"/>
      <c r="AD87" s="62"/>
      <c r="AE87" s="62"/>
      <c r="AF87" s="63"/>
      <c r="AG87" s="64"/>
      <c r="AH87" s="6">
        <v>1</v>
      </c>
      <c r="AI87">
        <f t="shared" si="32"/>
        <v>25</v>
      </c>
      <c r="AJ87">
        <f t="shared" si="33"/>
        <v>25</v>
      </c>
      <c r="AK87">
        <f t="shared" si="34"/>
        <v>0</v>
      </c>
      <c r="AL87">
        <f t="shared" si="35"/>
        <v>0</v>
      </c>
      <c r="AM87">
        <f t="shared" si="36"/>
        <v>0</v>
      </c>
      <c r="AN87">
        <f t="shared" si="37"/>
        <v>0</v>
      </c>
      <c r="AO87">
        <f t="shared" si="38"/>
        <v>0</v>
      </c>
      <c r="AP87">
        <f t="shared" si="39"/>
        <v>0</v>
      </c>
      <c r="AQ87">
        <f t="shared" si="40"/>
        <v>0</v>
      </c>
      <c r="AR87">
        <f t="shared" si="41"/>
        <v>0</v>
      </c>
      <c r="AS87">
        <f t="shared" si="42"/>
        <v>0</v>
      </c>
      <c r="AT87">
        <f t="shared" si="43"/>
        <v>0</v>
      </c>
      <c r="AU87">
        <f t="shared" si="44"/>
        <v>1</v>
      </c>
      <c r="AV87">
        <f t="shared" si="45"/>
        <v>1</v>
      </c>
      <c r="AW87">
        <f t="shared" si="46"/>
        <v>1</v>
      </c>
      <c r="AX87">
        <f t="shared" si="47"/>
        <v>1</v>
      </c>
      <c r="AY87">
        <f t="shared" si="48"/>
        <v>60000</v>
      </c>
      <c r="AZ87">
        <f t="shared" si="49"/>
        <v>60000</v>
      </c>
      <c r="BA87">
        <f t="shared" si="50"/>
        <v>0</v>
      </c>
      <c r="BB87">
        <f t="shared" si="51"/>
        <v>0</v>
      </c>
      <c r="BC87">
        <f t="shared" si="52"/>
        <v>0</v>
      </c>
      <c r="BD87">
        <f t="shared" si="53"/>
        <v>0</v>
      </c>
      <c r="BE87">
        <f t="shared" si="54"/>
        <v>0</v>
      </c>
      <c r="BF87">
        <f t="shared" si="55"/>
        <v>0</v>
      </c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</row>
    <row r="88" spans="1:256" s="201" customFormat="1" ht="14.25" x14ac:dyDescent="0.2">
      <c r="A88" s="10">
        <v>2560</v>
      </c>
      <c r="B88" s="11" t="s">
        <v>350</v>
      </c>
      <c r="C88" s="105" t="s">
        <v>351</v>
      </c>
      <c r="D88" s="11" t="s">
        <v>105</v>
      </c>
      <c r="E88" s="12">
        <v>11447</v>
      </c>
      <c r="F88" s="202">
        <v>35</v>
      </c>
      <c r="G88" s="11">
        <v>30000</v>
      </c>
      <c r="H88" s="116">
        <v>-120000</v>
      </c>
      <c r="I88" s="192"/>
      <c r="J88" s="204"/>
      <c r="K88" s="193"/>
      <c r="L88" s="193"/>
      <c r="M88" s="193"/>
      <c r="N88" s="203">
        <f t="shared" si="28"/>
        <v>30000</v>
      </c>
      <c r="O88" s="203">
        <f t="shared" si="29"/>
        <v>-90000</v>
      </c>
      <c r="P88" s="203">
        <f t="shared" si="30"/>
        <v>0</v>
      </c>
      <c r="Q88" s="214">
        <v>45664</v>
      </c>
      <c r="R88" s="215"/>
      <c r="S88" s="218">
        <v>45635</v>
      </c>
      <c r="T88" s="205"/>
      <c r="U88" s="205"/>
      <c r="V88" s="216" t="s">
        <v>1138</v>
      </c>
      <c r="W88" s="212"/>
      <c r="X88" s="10">
        <v>7</v>
      </c>
      <c r="Y88" s="10">
        <v>7</v>
      </c>
      <c r="Z88" s="213">
        <f t="shared" si="31"/>
        <v>30000</v>
      </c>
      <c r="AA88" s="62"/>
      <c r="AB88" s="62"/>
      <c r="AC88" s="62"/>
      <c r="AD88" s="62"/>
      <c r="AE88" s="62"/>
      <c r="AF88" s="63"/>
      <c r="AG88" s="64"/>
      <c r="AH88" s="6">
        <v>1</v>
      </c>
      <c r="AI88">
        <f t="shared" si="32"/>
        <v>25</v>
      </c>
      <c r="AJ88">
        <f t="shared" si="33"/>
        <v>25</v>
      </c>
      <c r="AK88">
        <f t="shared" si="34"/>
        <v>0</v>
      </c>
      <c r="AL88">
        <f t="shared" si="35"/>
        <v>0</v>
      </c>
      <c r="AM88">
        <f t="shared" si="36"/>
        <v>0</v>
      </c>
      <c r="AN88">
        <f t="shared" si="37"/>
        <v>0</v>
      </c>
      <c r="AO88">
        <f t="shared" si="38"/>
        <v>0</v>
      </c>
      <c r="AP88">
        <f t="shared" si="39"/>
        <v>0</v>
      </c>
      <c r="AQ88">
        <f t="shared" si="40"/>
        <v>0</v>
      </c>
      <c r="AR88">
        <f t="shared" si="41"/>
        <v>0</v>
      </c>
      <c r="AS88">
        <f t="shared" si="42"/>
        <v>0</v>
      </c>
      <c r="AT88">
        <f t="shared" si="43"/>
        <v>0</v>
      </c>
      <c r="AU88">
        <f t="shared" si="44"/>
        <v>0</v>
      </c>
      <c r="AV88">
        <f t="shared" si="45"/>
        <v>0</v>
      </c>
      <c r="AW88">
        <f t="shared" si="46"/>
        <v>0</v>
      </c>
      <c r="AX88">
        <f t="shared" si="47"/>
        <v>0</v>
      </c>
      <c r="AY88">
        <f t="shared" si="48"/>
        <v>0</v>
      </c>
      <c r="AZ88">
        <f t="shared" si="49"/>
        <v>0</v>
      </c>
      <c r="BA88">
        <f t="shared" si="50"/>
        <v>0</v>
      </c>
      <c r="BB88">
        <f t="shared" si="51"/>
        <v>0</v>
      </c>
      <c r="BC88">
        <f t="shared" si="52"/>
        <v>0</v>
      </c>
      <c r="BD88">
        <f t="shared" si="53"/>
        <v>0</v>
      </c>
      <c r="BE88">
        <f t="shared" si="54"/>
        <v>0</v>
      </c>
      <c r="BF88">
        <f t="shared" si="55"/>
        <v>0</v>
      </c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</row>
    <row r="89" spans="1:256" s="201" customFormat="1" ht="14.25" x14ac:dyDescent="0.2">
      <c r="A89" s="10">
        <v>2561</v>
      </c>
      <c r="B89" s="11" t="s">
        <v>578</v>
      </c>
      <c r="C89" s="105" t="s">
        <v>579</v>
      </c>
      <c r="D89" s="11" t="s">
        <v>259</v>
      </c>
      <c r="E89" s="12">
        <v>11448</v>
      </c>
      <c r="F89" s="202">
        <v>35</v>
      </c>
      <c r="G89" s="11">
        <v>60000</v>
      </c>
      <c r="H89" s="116">
        <v>0</v>
      </c>
      <c r="I89" s="192"/>
      <c r="J89" s="204"/>
      <c r="K89" s="193"/>
      <c r="L89" s="193"/>
      <c r="M89" s="193"/>
      <c r="N89" s="203">
        <f t="shared" si="28"/>
        <v>60000</v>
      </c>
      <c r="O89" s="203">
        <f t="shared" si="29"/>
        <v>60000</v>
      </c>
      <c r="P89" s="203">
        <f t="shared" si="30"/>
        <v>60000</v>
      </c>
      <c r="Q89" s="214"/>
      <c r="R89" s="215"/>
      <c r="S89" s="218">
        <v>45638</v>
      </c>
      <c r="T89" s="205"/>
      <c r="U89" s="205"/>
      <c r="V89" s="216"/>
      <c r="W89" s="212"/>
      <c r="X89" s="10">
        <v>7</v>
      </c>
      <c r="Y89" s="10">
        <v>7</v>
      </c>
      <c r="Z89" s="213">
        <f t="shared" si="31"/>
        <v>60000</v>
      </c>
      <c r="AA89" s="62"/>
      <c r="AB89" s="62"/>
      <c r="AC89" s="62"/>
      <c r="AD89" s="62"/>
      <c r="AE89" s="62"/>
      <c r="AF89" s="63"/>
      <c r="AG89" s="64"/>
      <c r="AH89" s="6">
        <v>1</v>
      </c>
      <c r="AI89">
        <f t="shared" si="32"/>
        <v>25</v>
      </c>
      <c r="AJ89">
        <f t="shared" si="33"/>
        <v>25</v>
      </c>
      <c r="AK89">
        <f t="shared" si="34"/>
        <v>0</v>
      </c>
      <c r="AL89">
        <f t="shared" si="35"/>
        <v>0</v>
      </c>
      <c r="AM89">
        <f t="shared" si="36"/>
        <v>0</v>
      </c>
      <c r="AN89">
        <f t="shared" si="37"/>
        <v>0</v>
      </c>
      <c r="AO89">
        <f t="shared" si="38"/>
        <v>0</v>
      </c>
      <c r="AP89">
        <f t="shared" si="39"/>
        <v>0</v>
      </c>
      <c r="AQ89">
        <f t="shared" si="40"/>
        <v>0</v>
      </c>
      <c r="AR89">
        <f t="shared" si="41"/>
        <v>0</v>
      </c>
      <c r="AS89">
        <f t="shared" si="42"/>
        <v>0</v>
      </c>
      <c r="AT89">
        <f t="shared" si="43"/>
        <v>0</v>
      </c>
      <c r="AU89">
        <f t="shared" si="44"/>
        <v>1</v>
      </c>
      <c r="AV89">
        <f t="shared" si="45"/>
        <v>1</v>
      </c>
      <c r="AW89">
        <f t="shared" si="46"/>
        <v>1</v>
      </c>
      <c r="AX89">
        <f t="shared" si="47"/>
        <v>1</v>
      </c>
      <c r="AY89">
        <f t="shared" si="48"/>
        <v>60000</v>
      </c>
      <c r="AZ89">
        <f t="shared" si="49"/>
        <v>60000</v>
      </c>
      <c r="BA89">
        <f t="shared" si="50"/>
        <v>0</v>
      </c>
      <c r="BB89">
        <f t="shared" si="51"/>
        <v>0</v>
      </c>
      <c r="BC89">
        <f t="shared" si="52"/>
        <v>0</v>
      </c>
      <c r="BD89">
        <f t="shared" si="53"/>
        <v>0</v>
      </c>
      <c r="BE89">
        <f t="shared" si="54"/>
        <v>0</v>
      </c>
      <c r="BF89">
        <f t="shared" si="55"/>
        <v>0</v>
      </c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</row>
    <row r="90" spans="1:256" s="201" customFormat="1" ht="14.25" x14ac:dyDescent="0.2">
      <c r="A90" s="10">
        <v>2578</v>
      </c>
      <c r="B90" s="11" t="s">
        <v>580</v>
      </c>
      <c r="C90" s="105" t="s">
        <v>581</v>
      </c>
      <c r="D90" s="11" t="s">
        <v>106</v>
      </c>
      <c r="E90" s="12">
        <v>11425</v>
      </c>
      <c r="F90" s="202">
        <v>34</v>
      </c>
      <c r="G90" s="11">
        <v>60000</v>
      </c>
      <c r="H90" s="116">
        <v>0</v>
      </c>
      <c r="I90" s="192"/>
      <c r="J90" s="204"/>
      <c r="K90" s="193"/>
      <c r="L90" s="193"/>
      <c r="M90" s="193"/>
      <c r="N90" s="203">
        <f t="shared" si="28"/>
        <v>60000</v>
      </c>
      <c r="O90" s="203">
        <f t="shared" si="29"/>
        <v>60000</v>
      </c>
      <c r="P90" s="203">
        <f t="shared" si="30"/>
        <v>60000</v>
      </c>
      <c r="Q90" s="214"/>
      <c r="R90" s="215"/>
      <c r="S90" s="218">
        <v>45647</v>
      </c>
      <c r="T90" s="205"/>
      <c r="U90" s="205"/>
      <c r="V90" s="216"/>
      <c r="W90" s="212"/>
      <c r="X90" s="10">
        <v>7</v>
      </c>
      <c r="Y90" s="10">
        <v>7</v>
      </c>
      <c r="Z90" s="213">
        <f t="shared" si="31"/>
        <v>60000</v>
      </c>
      <c r="AA90" s="62"/>
      <c r="AB90" s="62"/>
      <c r="AC90" s="62"/>
      <c r="AD90" s="62"/>
      <c r="AE90" s="62"/>
      <c r="AF90" s="63"/>
      <c r="AG90" s="64"/>
      <c r="AH90" s="6">
        <v>1</v>
      </c>
      <c r="AI90">
        <f t="shared" si="32"/>
        <v>25</v>
      </c>
      <c r="AJ90">
        <f t="shared" si="33"/>
        <v>25</v>
      </c>
      <c r="AK90">
        <f t="shared" si="34"/>
        <v>0</v>
      </c>
      <c r="AL90">
        <f t="shared" si="35"/>
        <v>0</v>
      </c>
      <c r="AM90">
        <f t="shared" si="36"/>
        <v>0</v>
      </c>
      <c r="AN90">
        <f t="shared" si="37"/>
        <v>0</v>
      </c>
      <c r="AO90">
        <f t="shared" si="38"/>
        <v>0</v>
      </c>
      <c r="AP90">
        <f t="shared" si="39"/>
        <v>0</v>
      </c>
      <c r="AQ90">
        <f t="shared" si="40"/>
        <v>0</v>
      </c>
      <c r="AR90">
        <f t="shared" si="41"/>
        <v>0</v>
      </c>
      <c r="AS90">
        <f t="shared" si="42"/>
        <v>0</v>
      </c>
      <c r="AT90">
        <f t="shared" si="43"/>
        <v>0</v>
      </c>
      <c r="AU90">
        <f t="shared" si="44"/>
        <v>1</v>
      </c>
      <c r="AV90">
        <f t="shared" si="45"/>
        <v>1</v>
      </c>
      <c r="AW90">
        <f t="shared" si="46"/>
        <v>1</v>
      </c>
      <c r="AX90">
        <f t="shared" si="47"/>
        <v>1</v>
      </c>
      <c r="AY90">
        <f t="shared" si="48"/>
        <v>60000</v>
      </c>
      <c r="AZ90">
        <f t="shared" si="49"/>
        <v>60000</v>
      </c>
      <c r="BA90">
        <f t="shared" si="50"/>
        <v>0</v>
      </c>
      <c r="BB90">
        <f t="shared" si="51"/>
        <v>0</v>
      </c>
      <c r="BC90">
        <f t="shared" si="52"/>
        <v>0</v>
      </c>
      <c r="BD90">
        <f t="shared" si="53"/>
        <v>0</v>
      </c>
      <c r="BE90">
        <f t="shared" si="54"/>
        <v>0</v>
      </c>
      <c r="BF90">
        <f t="shared" si="55"/>
        <v>0</v>
      </c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</row>
    <row r="91" spans="1:256" s="201" customFormat="1" ht="14.25" x14ac:dyDescent="0.2">
      <c r="A91" s="10">
        <v>2580</v>
      </c>
      <c r="B91" s="11" t="s">
        <v>582</v>
      </c>
      <c r="C91" s="105" t="s">
        <v>583</v>
      </c>
      <c r="D91" s="11" t="s">
        <v>295</v>
      </c>
      <c r="E91" s="12">
        <v>11428</v>
      </c>
      <c r="F91" s="202">
        <v>34</v>
      </c>
      <c r="G91" s="11">
        <v>60000</v>
      </c>
      <c r="H91" s="116">
        <v>0</v>
      </c>
      <c r="I91" s="192"/>
      <c r="J91" s="204"/>
      <c r="K91" s="193"/>
      <c r="L91" s="193"/>
      <c r="M91" s="193"/>
      <c r="N91" s="203">
        <f t="shared" si="28"/>
        <v>60000</v>
      </c>
      <c r="O91" s="203">
        <f t="shared" si="29"/>
        <v>60000</v>
      </c>
      <c r="P91" s="203">
        <f t="shared" si="30"/>
        <v>60000</v>
      </c>
      <c r="Q91" s="214"/>
      <c r="R91" s="215"/>
      <c r="S91" s="218">
        <v>45647</v>
      </c>
      <c r="T91" s="205"/>
      <c r="U91" s="205"/>
      <c r="V91" s="216"/>
      <c r="W91" s="212"/>
      <c r="X91" s="10">
        <v>7</v>
      </c>
      <c r="Y91" s="10">
        <v>7</v>
      </c>
      <c r="Z91" s="213">
        <f t="shared" si="31"/>
        <v>60000</v>
      </c>
      <c r="AA91" s="62"/>
      <c r="AB91" s="62"/>
      <c r="AC91" s="62"/>
      <c r="AD91" s="62"/>
      <c r="AE91" s="62"/>
      <c r="AF91" s="63"/>
      <c r="AG91" s="64"/>
      <c r="AH91" s="6">
        <v>1</v>
      </c>
      <c r="AI91">
        <f t="shared" si="32"/>
        <v>25</v>
      </c>
      <c r="AJ91">
        <f t="shared" si="33"/>
        <v>25</v>
      </c>
      <c r="AK91">
        <f t="shared" si="34"/>
        <v>0</v>
      </c>
      <c r="AL91">
        <f t="shared" si="35"/>
        <v>0</v>
      </c>
      <c r="AM91">
        <f t="shared" si="36"/>
        <v>0</v>
      </c>
      <c r="AN91">
        <f t="shared" si="37"/>
        <v>0</v>
      </c>
      <c r="AO91">
        <f t="shared" si="38"/>
        <v>0</v>
      </c>
      <c r="AP91">
        <f t="shared" si="39"/>
        <v>0</v>
      </c>
      <c r="AQ91">
        <f t="shared" si="40"/>
        <v>0</v>
      </c>
      <c r="AR91">
        <f t="shared" si="41"/>
        <v>0</v>
      </c>
      <c r="AS91">
        <f t="shared" si="42"/>
        <v>0</v>
      </c>
      <c r="AT91">
        <f t="shared" si="43"/>
        <v>0</v>
      </c>
      <c r="AU91">
        <f t="shared" si="44"/>
        <v>1</v>
      </c>
      <c r="AV91">
        <f t="shared" si="45"/>
        <v>1</v>
      </c>
      <c r="AW91">
        <f t="shared" si="46"/>
        <v>1</v>
      </c>
      <c r="AX91">
        <f t="shared" si="47"/>
        <v>1</v>
      </c>
      <c r="AY91">
        <f t="shared" si="48"/>
        <v>60000</v>
      </c>
      <c r="AZ91">
        <f t="shared" si="49"/>
        <v>60000</v>
      </c>
      <c r="BA91">
        <f t="shared" si="50"/>
        <v>0</v>
      </c>
      <c r="BB91">
        <f t="shared" si="51"/>
        <v>0</v>
      </c>
      <c r="BC91">
        <f t="shared" si="52"/>
        <v>0</v>
      </c>
      <c r="BD91">
        <f t="shared" si="53"/>
        <v>0</v>
      </c>
      <c r="BE91">
        <f t="shared" si="54"/>
        <v>0</v>
      </c>
      <c r="BF91">
        <f t="shared" si="55"/>
        <v>0</v>
      </c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</row>
    <row r="92" spans="1:256" s="201" customFormat="1" ht="14.25" x14ac:dyDescent="0.2">
      <c r="A92" s="10">
        <v>2583</v>
      </c>
      <c r="B92" s="11" t="s">
        <v>584</v>
      </c>
      <c r="C92" s="105" t="s">
        <v>585</v>
      </c>
      <c r="D92" s="11" t="s">
        <v>106</v>
      </c>
      <c r="E92" s="12">
        <v>11432</v>
      </c>
      <c r="F92" s="202">
        <v>34</v>
      </c>
      <c r="G92" s="11">
        <v>60000</v>
      </c>
      <c r="H92" s="116">
        <v>-120000</v>
      </c>
      <c r="I92" s="192"/>
      <c r="J92" s="204"/>
      <c r="K92" s="193"/>
      <c r="L92" s="193"/>
      <c r="M92" s="193"/>
      <c r="N92" s="203">
        <f t="shared" si="28"/>
        <v>60000</v>
      </c>
      <c r="O92" s="203">
        <f t="shared" si="29"/>
        <v>-60000</v>
      </c>
      <c r="P92" s="203">
        <f t="shared" si="30"/>
        <v>0</v>
      </c>
      <c r="Q92" s="214">
        <v>45660</v>
      </c>
      <c r="R92" s="215"/>
      <c r="S92" s="218">
        <v>45631</v>
      </c>
      <c r="T92" s="205"/>
      <c r="U92" s="205"/>
      <c r="V92" s="216" t="s">
        <v>1131</v>
      </c>
      <c r="W92" s="212"/>
      <c r="X92" s="10">
        <v>7</v>
      </c>
      <c r="Y92" s="10">
        <v>7</v>
      </c>
      <c r="Z92" s="213">
        <f t="shared" si="31"/>
        <v>60000</v>
      </c>
      <c r="AA92" s="62"/>
      <c r="AB92" s="62"/>
      <c r="AC92" s="62"/>
      <c r="AD92" s="62"/>
      <c r="AE92" s="62"/>
      <c r="AF92" s="63"/>
      <c r="AG92" s="64"/>
      <c r="AH92" s="6">
        <v>1</v>
      </c>
      <c r="AI92">
        <f t="shared" si="32"/>
        <v>25</v>
      </c>
      <c r="AJ92">
        <f t="shared" si="33"/>
        <v>25</v>
      </c>
      <c r="AK92">
        <f t="shared" si="34"/>
        <v>0</v>
      </c>
      <c r="AL92">
        <f t="shared" si="35"/>
        <v>0</v>
      </c>
      <c r="AM92">
        <f t="shared" si="36"/>
        <v>0</v>
      </c>
      <c r="AN92">
        <f t="shared" si="37"/>
        <v>0</v>
      </c>
      <c r="AO92">
        <f t="shared" si="38"/>
        <v>0</v>
      </c>
      <c r="AP92">
        <f t="shared" si="39"/>
        <v>0</v>
      </c>
      <c r="AQ92">
        <f t="shared" si="40"/>
        <v>0</v>
      </c>
      <c r="AR92">
        <f t="shared" si="41"/>
        <v>0</v>
      </c>
      <c r="AS92">
        <f t="shared" si="42"/>
        <v>0</v>
      </c>
      <c r="AT92">
        <f t="shared" si="43"/>
        <v>0</v>
      </c>
      <c r="AU92">
        <f t="shared" si="44"/>
        <v>0</v>
      </c>
      <c r="AV92">
        <f t="shared" si="45"/>
        <v>0</v>
      </c>
      <c r="AW92">
        <f t="shared" si="46"/>
        <v>0</v>
      </c>
      <c r="AX92">
        <f t="shared" si="47"/>
        <v>0</v>
      </c>
      <c r="AY92">
        <f t="shared" si="48"/>
        <v>0</v>
      </c>
      <c r="AZ92">
        <f t="shared" si="49"/>
        <v>0</v>
      </c>
      <c r="BA92">
        <f t="shared" si="50"/>
        <v>0</v>
      </c>
      <c r="BB92">
        <f t="shared" si="51"/>
        <v>0</v>
      </c>
      <c r="BC92">
        <f t="shared" si="52"/>
        <v>0</v>
      </c>
      <c r="BD92">
        <f t="shared" si="53"/>
        <v>0</v>
      </c>
      <c r="BE92">
        <f t="shared" si="54"/>
        <v>0</v>
      </c>
      <c r="BF92">
        <f t="shared" si="55"/>
        <v>0</v>
      </c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</row>
    <row r="93" spans="1:256" s="201" customFormat="1" ht="14.25" x14ac:dyDescent="0.2">
      <c r="A93" s="10">
        <v>2585</v>
      </c>
      <c r="B93" s="11" t="s">
        <v>586</v>
      </c>
      <c r="C93" s="105" t="s">
        <v>587</v>
      </c>
      <c r="D93" s="11" t="s">
        <v>157</v>
      </c>
      <c r="E93" s="12">
        <v>11434</v>
      </c>
      <c r="F93" s="202">
        <v>34</v>
      </c>
      <c r="G93" s="11">
        <v>60000</v>
      </c>
      <c r="H93" s="116">
        <v>-200000</v>
      </c>
      <c r="I93" s="192"/>
      <c r="J93" s="204"/>
      <c r="K93" s="193"/>
      <c r="L93" s="193"/>
      <c r="M93" s="193"/>
      <c r="N93" s="203">
        <f t="shared" si="28"/>
        <v>60000</v>
      </c>
      <c r="O93" s="203">
        <f t="shared" si="29"/>
        <v>-140000</v>
      </c>
      <c r="P93" s="203">
        <f t="shared" si="30"/>
        <v>0</v>
      </c>
      <c r="Q93" s="214"/>
      <c r="R93" s="215"/>
      <c r="S93" s="218">
        <v>45654</v>
      </c>
      <c r="T93" s="205"/>
      <c r="U93" s="205"/>
      <c r="V93" s="216"/>
      <c r="W93" s="212"/>
      <c r="X93" s="10">
        <v>7</v>
      </c>
      <c r="Y93" s="10">
        <v>7</v>
      </c>
      <c r="Z93" s="213">
        <f t="shared" si="31"/>
        <v>60000</v>
      </c>
      <c r="AA93" s="62"/>
      <c r="AB93" s="62"/>
      <c r="AC93" s="62"/>
      <c r="AD93" s="62"/>
      <c r="AE93" s="62"/>
      <c r="AF93" s="63"/>
      <c r="AG93" s="64"/>
      <c r="AH93" s="6">
        <v>1</v>
      </c>
      <c r="AI93">
        <f t="shared" si="32"/>
        <v>25</v>
      </c>
      <c r="AJ93">
        <f t="shared" si="33"/>
        <v>25</v>
      </c>
      <c r="AK93">
        <f t="shared" si="34"/>
        <v>0</v>
      </c>
      <c r="AL93">
        <f t="shared" si="35"/>
        <v>0</v>
      </c>
      <c r="AM93">
        <f t="shared" si="36"/>
        <v>0</v>
      </c>
      <c r="AN93">
        <f t="shared" si="37"/>
        <v>0</v>
      </c>
      <c r="AO93">
        <f t="shared" si="38"/>
        <v>0</v>
      </c>
      <c r="AP93">
        <f t="shared" si="39"/>
        <v>0</v>
      </c>
      <c r="AQ93">
        <f t="shared" si="40"/>
        <v>0</v>
      </c>
      <c r="AR93">
        <f t="shared" si="41"/>
        <v>0</v>
      </c>
      <c r="AS93">
        <f t="shared" si="42"/>
        <v>0</v>
      </c>
      <c r="AT93">
        <f t="shared" si="43"/>
        <v>0</v>
      </c>
      <c r="AU93">
        <f t="shared" si="44"/>
        <v>0</v>
      </c>
      <c r="AV93">
        <f t="shared" si="45"/>
        <v>0</v>
      </c>
      <c r="AW93">
        <f t="shared" si="46"/>
        <v>0</v>
      </c>
      <c r="AX93">
        <f t="shared" si="47"/>
        <v>0</v>
      </c>
      <c r="AY93">
        <f t="shared" si="48"/>
        <v>0</v>
      </c>
      <c r="AZ93">
        <f t="shared" si="49"/>
        <v>0</v>
      </c>
      <c r="BA93">
        <f t="shared" si="50"/>
        <v>0</v>
      </c>
      <c r="BB93">
        <f t="shared" si="51"/>
        <v>0</v>
      </c>
      <c r="BC93">
        <f t="shared" si="52"/>
        <v>0</v>
      </c>
      <c r="BD93">
        <f t="shared" si="53"/>
        <v>0</v>
      </c>
      <c r="BE93">
        <f t="shared" si="54"/>
        <v>0</v>
      </c>
      <c r="BF93">
        <f t="shared" si="55"/>
        <v>0</v>
      </c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</row>
    <row r="94" spans="1:256" s="201" customFormat="1" ht="14.25" x14ac:dyDescent="0.2">
      <c r="A94" s="10">
        <v>2603</v>
      </c>
      <c r="B94" s="11" t="s">
        <v>588</v>
      </c>
      <c r="C94" s="105" t="s">
        <v>589</v>
      </c>
      <c r="D94" s="11" t="s">
        <v>106</v>
      </c>
      <c r="E94" s="12">
        <v>11442</v>
      </c>
      <c r="F94" s="202">
        <v>33</v>
      </c>
      <c r="G94" s="11">
        <v>60000</v>
      </c>
      <c r="H94" s="116">
        <v>0</v>
      </c>
      <c r="I94" s="192"/>
      <c r="J94" s="204"/>
      <c r="K94" s="193"/>
      <c r="L94" s="193"/>
      <c r="M94" s="193"/>
      <c r="N94" s="203">
        <f t="shared" si="28"/>
        <v>60000</v>
      </c>
      <c r="O94" s="203">
        <f t="shared" si="29"/>
        <v>60000</v>
      </c>
      <c r="P94" s="203">
        <f t="shared" si="30"/>
        <v>60000</v>
      </c>
      <c r="Q94" s="214"/>
      <c r="R94" s="215"/>
      <c r="S94" s="218">
        <v>45638</v>
      </c>
      <c r="T94" s="205"/>
      <c r="U94" s="205"/>
      <c r="V94" s="216"/>
      <c r="W94" s="212"/>
      <c r="X94" s="10">
        <v>7</v>
      </c>
      <c r="Y94" s="10">
        <v>7</v>
      </c>
      <c r="Z94" s="213">
        <f t="shared" si="31"/>
        <v>60000</v>
      </c>
      <c r="AA94" s="62"/>
      <c r="AB94" s="62"/>
      <c r="AC94" s="62"/>
      <c r="AD94" s="62"/>
      <c r="AE94" s="62"/>
      <c r="AF94" s="63"/>
      <c r="AG94" s="64"/>
      <c r="AH94" s="6">
        <v>1</v>
      </c>
      <c r="AI94">
        <f t="shared" si="32"/>
        <v>25</v>
      </c>
      <c r="AJ94">
        <f t="shared" si="33"/>
        <v>25</v>
      </c>
      <c r="AK94">
        <f t="shared" si="34"/>
        <v>0</v>
      </c>
      <c r="AL94">
        <f t="shared" si="35"/>
        <v>0</v>
      </c>
      <c r="AM94">
        <f t="shared" si="36"/>
        <v>0</v>
      </c>
      <c r="AN94">
        <f t="shared" si="37"/>
        <v>0</v>
      </c>
      <c r="AO94">
        <f t="shared" si="38"/>
        <v>0</v>
      </c>
      <c r="AP94">
        <f t="shared" si="39"/>
        <v>0</v>
      </c>
      <c r="AQ94">
        <f t="shared" si="40"/>
        <v>0</v>
      </c>
      <c r="AR94">
        <f t="shared" si="41"/>
        <v>0</v>
      </c>
      <c r="AS94">
        <f t="shared" si="42"/>
        <v>0</v>
      </c>
      <c r="AT94">
        <f t="shared" si="43"/>
        <v>0</v>
      </c>
      <c r="AU94">
        <f t="shared" si="44"/>
        <v>1</v>
      </c>
      <c r="AV94">
        <f t="shared" si="45"/>
        <v>1</v>
      </c>
      <c r="AW94">
        <f t="shared" si="46"/>
        <v>1</v>
      </c>
      <c r="AX94">
        <f t="shared" si="47"/>
        <v>1</v>
      </c>
      <c r="AY94">
        <f t="shared" si="48"/>
        <v>60000</v>
      </c>
      <c r="AZ94">
        <f t="shared" si="49"/>
        <v>60000</v>
      </c>
      <c r="BA94">
        <f t="shared" si="50"/>
        <v>0</v>
      </c>
      <c r="BB94">
        <f t="shared" si="51"/>
        <v>0</v>
      </c>
      <c r="BC94">
        <f t="shared" si="52"/>
        <v>0</v>
      </c>
      <c r="BD94">
        <f t="shared" si="53"/>
        <v>0</v>
      </c>
      <c r="BE94">
        <f t="shared" si="54"/>
        <v>0</v>
      </c>
      <c r="BF94">
        <f t="shared" si="55"/>
        <v>0</v>
      </c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</row>
    <row r="95" spans="1:256" s="201" customFormat="1" ht="14.25" x14ac:dyDescent="0.2">
      <c r="A95" s="10">
        <v>2607</v>
      </c>
      <c r="B95" s="11" t="s">
        <v>590</v>
      </c>
      <c r="C95" s="105" t="s">
        <v>591</v>
      </c>
      <c r="D95" s="11" t="s">
        <v>106</v>
      </c>
      <c r="E95" s="12">
        <v>11473</v>
      </c>
      <c r="F95" s="202">
        <v>33</v>
      </c>
      <c r="G95" s="11">
        <v>80000</v>
      </c>
      <c r="H95" s="116">
        <v>0</v>
      </c>
      <c r="I95" s="192"/>
      <c r="J95" s="204"/>
      <c r="K95" s="193"/>
      <c r="L95" s="193"/>
      <c r="M95" s="193"/>
      <c r="N95" s="203">
        <f t="shared" si="28"/>
        <v>80000</v>
      </c>
      <c r="O95" s="203">
        <f t="shared" si="29"/>
        <v>80000</v>
      </c>
      <c r="P95" s="203">
        <f t="shared" si="30"/>
        <v>80000</v>
      </c>
      <c r="Q95" s="214"/>
      <c r="R95" s="215"/>
      <c r="S95" s="218">
        <v>45656</v>
      </c>
      <c r="T95" s="205"/>
      <c r="U95" s="205"/>
      <c r="V95" s="216"/>
      <c r="W95" s="212"/>
      <c r="X95" s="10">
        <v>7</v>
      </c>
      <c r="Y95" s="10">
        <v>7</v>
      </c>
      <c r="Z95" s="213">
        <f t="shared" si="31"/>
        <v>80000</v>
      </c>
      <c r="AA95" s="62"/>
      <c r="AB95" s="62"/>
      <c r="AC95" s="62"/>
      <c r="AD95" s="62"/>
      <c r="AE95" s="62"/>
      <c r="AF95" s="63"/>
      <c r="AG95" s="64"/>
      <c r="AH95" s="6">
        <v>1</v>
      </c>
      <c r="AI95">
        <f t="shared" si="32"/>
        <v>25</v>
      </c>
      <c r="AJ95">
        <f t="shared" si="33"/>
        <v>25</v>
      </c>
      <c r="AK95">
        <f t="shared" si="34"/>
        <v>0</v>
      </c>
      <c r="AL95">
        <f t="shared" si="35"/>
        <v>0</v>
      </c>
      <c r="AM95">
        <f t="shared" si="36"/>
        <v>0</v>
      </c>
      <c r="AN95">
        <f t="shared" si="37"/>
        <v>0</v>
      </c>
      <c r="AO95">
        <f t="shared" si="38"/>
        <v>0</v>
      </c>
      <c r="AP95">
        <f t="shared" si="39"/>
        <v>0</v>
      </c>
      <c r="AQ95">
        <f t="shared" si="40"/>
        <v>0</v>
      </c>
      <c r="AR95">
        <f t="shared" si="41"/>
        <v>0</v>
      </c>
      <c r="AS95">
        <f t="shared" si="42"/>
        <v>0</v>
      </c>
      <c r="AT95">
        <f t="shared" si="43"/>
        <v>0</v>
      </c>
      <c r="AU95">
        <f t="shared" si="44"/>
        <v>1</v>
      </c>
      <c r="AV95">
        <f t="shared" si="45"/>
        <v>1</v>
      </c>
      <c r="AW95">
        <f t="shared" si="46"/>
        <v>1</v>
      </c>
      <c r="AX95">
        <f t="shared" si="47"/>
        <v>1</v>
      </c>
      <c r="AY95">
        <f t="shared" si="48"/>
        <v>80000</v>
      </c>
      <c r="AZ95">
        <f t="shared" si="49"/>
        <v>80000</v>
      </c>
      <c r="BA95">
        <f t="shared" si="50"/>
        <v>0</v>
      </c>
      <c r="BB95">
        <f t="shared" si="51"/>
        <v>0</v>
      </c>
      <c r="BC95">
        <f t="shared" si="52"/>
        <v>0</v>
      </c>
      <c r="BD95">
        <f t="shared" si="53"/>
        <v>0</v>
      </c>
      <c r="BE95">
        <f t="shared" si="54"/>
        <v>0</v>
      </c>
      <c r="BF95">
        <f t="shared" si="55"/>
        <v>0</v>
      </c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</row>
    <row r="96" spans="1:256" s="201" customFormat="1" ht="14.25" x14ac:dyDescent="0.2">
      <c r="A96" s="10">
        <v>2612</v>
      </c>
      <c r="B96" s="11" t="s">
        <v>281</v>
      </c>
      <c r="C96" s="105" t="s">
        <v>282</v>
      </c>
      <c r="D96" s="11" t="s">
        <v>106</v>
      </c>
      <c r="E96" s="12">
        <v>11498</v>
      </c>
      <c r="F96" s="202">
        <v>33</v>
      </c>
      <c r="G96" s="11">
        <v>20000</v>
      </c>
      <c r="H96" s="116">
        <v>-60000</v>
      </c>
      <c r="I96" s="192"/>
      <c r="J96" s="204"/>
      <c r="K96" s="193"/>
      <c r="L96" s="193"/>
      <c r="M96" s="193"/>
      <c r="N96" s="203">
        <f t="shared" si="28"/>
        <v>20000</v>
      </c>
      <c r="O96" s="203">
        <f t="shared" si="29"/>
        <v>-40000</v>
      </c>
      <c r="P96" s="203">
        <f t="shared" si="30"/>
        <v>0</v>
      </c>
      <c r="Q96" s="214"/>
      <c r="R96" s="215"/>
      <c r="S96" s="218">
        <v>45628</v>
      </c>
      <c r="T96" s="205"/>
      <c r="U96" s="205"/>
      <c r="V96" s="216"/>
      <c r="W96" s="212"/>
      <c r="X96" s="10">
        <v>7</v>
      </c>
      <c r="Y96" s="10">
        <v>7</v>
      </c>
      <c r="Z96" s="213">
        <f t="shared" si="31"/>
        <v>20000</v>
      </c>
      <c r="AA96" s="62"/>
      <c r="AB96" s="62"/>
      <c r="AC96" s="62"/>
      <c r="AD96" s="62"/>
      <c r="AE96" s="62"/>
      <c r="AF96" s="63"/>
      <c r="AG96" s="64"/>
      <c r="AH96" s="6">
        <v>1</v>
      </c>
      <c r="AI96">
        <f t="shared" si="32"/>
        <v>25</v>
      </c>
      <c r="AJ96">
        <f t="shared" si="33"/>
        <v>25</v>
      </c>
      <c r="AK96">
        <f t="shared" si="34"/>
        <v>0</v>
      </c>
      <c r="AL96">
        <f t="shared" si="35"/>
        <v>0</v>
      </c>
      <c r="AM96">
        <f t="shared" si="36"/>
        <v>0</v>
      </c>
      <c r="AN96">
        <f t="shared" si="37"/>
        <v>0</v>
      </c>
      <c r="AO96">
        <f t="shared" si="38"/>
        <v>0</v>
      </c>
      <c r="AP96">
        <f t="shared" si="39"/>
        <v>0</v>
      </c>
      <c r="AQ96">
        <f t="shared" si="40"/>
        <v>0</v>
      </c>
      <c r="AR96">
        <f t="shared" si="41"/>
        <v>0</v>
      </c>
      <c r="AS96">
        <f t="shared" si="42"/>
        <v>0</v>
      </c>
      <c r="AT96">
        <f t="shared" si="43"/>
        <v>0</v>
      </c>
      <c r="AU96">
        <f t="shared" si="44"/>
        <v>0</v>
      </c>
      <c r="AV96">
        <f t="shared" si="45"/>
        <v>0</v>
      </c>
      <c r="AW96">
        <f t="shared" si="46"/>
        <v>0</v>
      </c>
      <c r="AX96">
        <f t="shared" si="47"/>
        <v>0</v>
      </c>
      <c r="AY96">
        <f t="shared" si="48"/>
        <v>0</v>
      </c>
      <c r="AZ96">
        <f t="shared" si="49"/>
        <v>0</v>
      </c>
      <c r="BA96">
        <f t="shared" si="50"/>
        <v>0</v>
      </c>
      <c r="BB96">
        <f t="shared" si="51"/>
        <v>0</v>
      </c>
      <c r="BC96">
        <f t="shared" si="52"/>
        <v>0</v>
      </c>
      <c r="BD96">
        <f t="shared" si="53"/>
        <v>0</v>
      </c>
      <c r="BE96">
        <f t="shared" si="54"/>
        <v>0</v>
      </c>
      <c r="BF96">
        <f t="shared" si="55"/>
        <v>0</v>
      </c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</row>
    <row r="97" spans="1:256" s="201" customFormat="1" ht="14.25" x14ac:dyDescent="0.2">
      <c r="A97" s="10">
        <v>2615</v>
      </c>
      <c r="B97" s="11" t="s">
        <v>592</v>
      </c>
      <c r="C97" s="105" t="s">
        <v>593</v>
      </c>
      <c r="D97" s="11" t="s">
        <v>594</v>
      </c>
      <c r="E97" s="12">
        <v>11506</v>
      </c>
      <c r="F97" s="202">
        <v>33</v>
      </c>
      <c r="G97" s="11">
        <v>60000</v>
      </c>
      <c r="H97" s="116">
        <v>0</v>
      </c>
      <c r="I97" s="192"/>
      <c r="J97" s="204"/>
      <c r="K97" s="193"/>
      <c r="L97" s="193"/>
      <c r="M97" s="193"/>
      <c r="N97" s="203">
        <f t="shared" si="28"/>
        <v>60000</v>
      </c>
      <c r="O97" s="203">
        <f t="shared" si="29"/>
        <v>60000</v>
      </c>
      <c r="P97" s="203">
        <f t="shared" si="30"/>
        <v>60000</v>
      </c>
      <c r="Q97" s="214"/>
      <c r="R97" s="215"/>
      <c r="S97" s="218">
        <v>45642</v>
      </c>
      <c r="T97" s="205"/>
      <c r="U97" s="205"/>
      <c r="V97" s="216"/>
      <c r="W97" s="212"/>
      <c r="X97" s="10">
        <v>7</v>
      </c>
      <c r="Y97" s="10">
        <v>7</v>
      </c>
      <c r="Z97" s="213">
        <f t="shared" si="31"/>
        <v>60000</v>
      </c>
      <c r="AA97" s="62"/>
      <c r="AB97" s="62"/>
      <c r="AC97" s="62"/>
      <c r="AD97" s="62"/>
      <c r="AE97" s="62"/>
      <c r="AF97" s="63"/>
      <c r="AG97" s="64"/>
      <c r="AH97" s="6">
        <v>1</v>
      </c>
      <c r="AI97">
        <f t="shared" si="32"/>
        <v>25</v>
      </c>
      <c r="AJ97">
        <f t="shared" si="33"/>
        <v>25</v>
      </c>
      <c r="AK97">
        <f t="shared" si="34"/>
        <v>0</v>
      </c>
      <c r="AL97">
        <f t="shared" si="35"/>
        <v>0</v>
      </c>
      <c r="AM97">
        <f t="shared" si="36"/>
        <v>0</v>
      </c>
      <c r="AN97">
        <f t="shared" si="37"/>
        <v>0</v>
      </c>
      <c r="AO97">
        <f t="shared" si="38"/>
        <v>0</v>
      </c>
      <c r="AP97">
        <f t="shared" si="39"/>
        <v>0</v>
      </c>
      <c r="AQ97">
        <f t="shared" si="40"/>
        <v>0</v>
      </c>
      <c r="AR97">
        <f t="shared" si="41"/>
        <v>0</v>
      </c>
      <c r="AS97">
        <f t="shared" si="42"/>
        <v>0</v>
      </c>
      <c r="AT97">
        <f t="shared" si="43"/>
        <v>0</v>
      </c>
      <c r="AU97">
        <f t="shared" si="44"/>
        <v>1</v>
      </c>
      <c r="AV97">
        <f t="shared" si="45"/>
        <v>1</v>
      </c>
      <c r="AW97">
        <f t="shared" si="46"/>
        <v>1</v>
      </c>
      <c r="AX97">
        <f t="shared" si="47"/>
        <v>1</v>
      </c>
      <c r="AY97">
        <f t="shared" si="48"/>
        <v>60000</v>
      </c>
      <c r="AZ97">
        <f t="shared" si="49"/>
        <v>60000</v>
      </c>
      <c r="BA97">
        <f t="shared" si="50"/>
        <v>0</v>
      </c>
      <c r="BB97">
        <f t="shared" si="51"/>
        <v>0</v>
      </c>
      <c r="BC97">
        <f t="shared" si="52"/>
        <v>0</v>
      </c>
      <c r="BD97">
        <f t="shared" si="53"/>
        <v>0</v>
      </c>
      <c r="BE97">
        <f t="shared" si="54"/>
        <v>0</v>
      </c>
      <c r="BF97">
        <f t="shared" si="55"/>
        <v>0</v>
      </c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</row>
    <row r="98" spans="1:256" s="201" customFormat="1" ht="14.25" x14ac:dyDescent="0.2">
      <c r="A98" s="10">
        <v>2616</v>
      </c>
      <c r="B98" s="11" t="s">
        <v>595</v>
      </c>
      <c r="C98" s="105" t="s">
        <v>596</v>
      </c>
      <c r="D98" s="11" t="s">
        <v>597</v>
      </c>
      <c r="E98" s="12">
        <v>11516</v>
      </c>
      <c r="F98" s="202">
        <v>32</v>
      </c>
      <c r="G98" s="11">
        <v>60000</v>
      </c>
      <c r="H98" s="116">
        <v>0</v>
      </c>
      <c r="I98" s="192"/>
      <c r="J98" s="204"/>
      <c r="K98" s="193"/>
      <c r="L98" s="193"/>
      <c r="M98" s="193"/>
      <c r="N98" s="203">
        <f t="shared" si="28"/>
        <v>60000</v>
      </c>
      <c r="O98" s="203">
        <f t="shared" si="29"/>
        <v>60000</v>
      </c>
      <c r="P98" s="203">
        <f t="shared" si="30"/>
        <v>60000</v>
      </c>
      <c r="Q98" s="214"/>
      <c r="R98" s="215"/>
      <c r="S98" s="218">
        <v>45631</v>
      </c>
      <c r="T98" s="205"/>
      <c r="U98" s="205"/>
      <c r="V98" s="216"/>
      <c r="W98" s="212"/>
      <c r="X98" s="10">
        <v>7</v>
      </c>
      <c r="Y98" s="10">
        <v>7</v>
      </c>
      <c r="Z98" s="213">
        <f t="shared" si="31"/>
        <v>60000</v>
      </c>
      <c r="AA98" s="62"/>
      <c r="AB98" s="62"/>
      <c r="AC98" s="62"/>
      <c r="AD98" s="62"/>
      <c r="AE98" s="62"/>
      <c r="AF98" s="63"/>
      <c r="AG98" s="64"/>
      <c r="AH98" s="6">
        <v>1</v>
      </c>
      <c r="AI98">
        <f t="shared" si="32"/>
        <v>25</v>
      </c>
      <c r="AJ98">
        <f t="shared" si="33"/>
        <v>25</v>
      </c>
      <c r="AK98">
        <f t="shared" si="34"/>
        <v>0</v>
      </c>
      <c r="AL98">
        <f t="shared" si="35"/>
        <v>0</v>
      </c>
      <c r="AM98">
        <f t="shared" si="36"/>
        <v>0</v>
      </c>
      <c r="AN98">
        <f t="shared" si="37"/>
        <v>0</v>
      </c>
      <c r="AO98">
        <f t="shared" si="38"/>
        <v>0</v>
      </c>
      <c r="AP98">
        <f t="shared" si="39"/>
        <v>0</v>
      </c>
      <c r="AQ98">
        <f t="shared" si="40"/>
        <v>0</v>
      </c>
      <c r="AR98">
        <f t="shared" si="41"/>
        <v>0</v>
      </c>
      <c r="AS98">
        <f t="shared" si="42"/>
        <v>0</v>
      </c>
      <c r="AT98">
        <f t="shared" si="43"/>
        <v>0</v>
      </c>
      <c r="AU98">
        <f t="shared" si="44"/>
        <v>1</v>
      </c>
      <c r="AV98">
        <f t="shared" si="45"/>
        <v>1</v>
      </c>
      <c r="AW98">
        <f t="shared" si="46"/>
        <v>1</v>
      </c>
      <c r="AX98">
        <f t="shared" si="47"/>
        <v>1</v>
      </c>
      <c r="AY98">
        <f t="shared" si="48"/>
        <v>60000</v>
      </c>
      <c r="AZ98">
        <f t="shared" si="49"/>
        <v>60000</v>
      </c>
      <c r="BA98">
        <f t="shared" si="50"/>
        <v>0</v>
      </c>
      <c r="BB98">
        <f t="shared" si="51"/>
        <v>0</v>
      </c>
      <c r="BC98">
        <f t="shared" si="52"/>
        <v>0</v>
      </c>
      <c r="BD98">
        <f t="shared" si="53"/>
        <v>0</v>
      </c>
      <c r="BE98">
        <f t="shared" si="54"/>
        <v>0</v>
      </c>
      <c r="BF98">
        <f t="shared" si="55"/>
        <v>0</v>
      </c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</row>
    <row r="99" spans="1:256" s="201" customFormat="1" ht="14.25" x14ac:dyDescent="0.2">
      <c r="A99" s="10">
        <v>2622</v>
      </c>
      <c r="B99" s="11" t="s">
        <v>598</v>
      </c>
      <c r="C99" s="105" t="s">
        <v>599</v>
      </c>
      <c r="D99" s="11" t="s">
        <v>105</v>
      </c>
      <c r="E99" s="12">
        <v>11518</v>
      </c>
      <c r="F99" s="202">
        <v>32</v>
      </c>
      <c r="G99" s="11">
        <v>60000</v>
      </c>
      <c r="H99" s="116">
        <v>0</v>
      </c>
      <c r="I99" s="192"/>
      <c r="J99" s="204"/>
      <c r="K99" s="193"/>
      <c r="L99" s="193"/>
      <c r="M99" s="193"/>
      <c r="N99" s="203">
        <f t="shared" si="28"/>
        <v>60000</v>
      </c>
      <c r="O99" s="203">
        <f t="shared" si="29"/>
        <v>60000</v>
      </c>
      <c r="P99" s="203">
        <f t="shared" si="30"/>
        <v>60000</v>
      </c>
      <c r="Q99" s="214"/>
      <c r="R99" s="215"/>
      <c r="S99" s="218">
        <v>45647</v>
      </c>
      <c r="T99" s="205"/>
      <c r="U99" s="205"/>
      <c r="V99" s="216"/>
      <c r="W99" s="212"/>
      <c r="X99" s="10">
        <v>7</v>
      </c>
      <c r="Y99" s="10">
        <v>7</v>
      </c>
      <c r="Z99" s="213">
        <f t="shared" si="31"/>
        <v>60000</v>
      </c>
      <c r="AA99" s="62"/>
      <c r="AB99" s="62"/>
      <c r="AC99" s="62"/>
      <c r="AD99" s="62"/>
      <c r="AE99" s="62"/>
      <c r="AF99" s="63"/>
      <c r="AG99" s="64"/>
      <c r="AH99" s="6">
        <v>1</v>
      </c>
      <c r="AI99">
        <f t="shared" si="32"/>
        <v>25</v>
      </c>
      <c r="AJ99">
        <f t="shared" si="33"/>
        <v>25</v>
      </c>
      <c r="AK99">
        <f t="shared" si="34"/>
        <v>0</v>
      </c>
      <c r="AL99">
        <f t="shared" si="35"/>
        <v>0</v>
      </c>
      <c r="AM99">
        <f t="shared" si="36"/>
        <v>0</v>
      </c>
      <c r="AN99">
        <f t="shared" si="37"/>
        <v>0</v>
      </c>
      <c r="AO99">
        <f t="shared" si="38"/>
        <v>0</v>
      </c>
      <c r="AP99">
        <f t="shared" si="39"/>
        <v>0</v>
      </c>
      <c r="AQ99">
        <f t="shared" si="40"/>
        <v>0</v>
      </c>
      <c r="AR99">
        <f t="shared" si="41"/>
        <v>0</v>
      </c>
      <c r="AS99">
        <f t="shared" si="42"/>
        <v>0</v>
      </c>
      <c r="AT99">
        <f t="shared" si="43"/>
        <v>0</v>
      </c>
      <c r="AU99">
        <f t="shared" si="44"/>
        <v>1</v>
      </c>
      <c r="AV99">
        <f t="shared" si="45"/>
        <v>1</v>
      </c>
      <c r="AW99">
        <f t="shared" si="46"/>
        <v>1</v>
      </c>
      <c r="AX99">
        <f t="shared" si="47"/>
        <v>1</v>
      </c>
      <c r="AY99">
        <f t="shared" si="48"/>
        <v>60000</v>
      </c>
      <c r="AZ99">
        <f t="shared" si="49"/>
        <v>60000</v>
      </c>
      <c r="BA99">
        <f t="shared" si="50"/>
        <v>0</v>
      </c>
      <c r="BB99">
        <f t="shared" si="51"/>
        <v>0</v>
      </c>
      <c r="BC99">
        <f t="shared" si="52"/>
        <v>0</v>
      </c>
      <c r="BD99">
        <f t="shared" si="53"/>
        <v>0</v>
      </c>
      <c r="BE99">
        <f t="shared" si="54"/>
        <v>0</v>
      </c>
      <c r="BF99">
        <f t="shared" si="55"/>
        <v>0</v>
      </c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</row>
    <row r="100" spans="1:256" s="201" customFormat="1" ht="14.25" x14ac:dyDescent="0.2">
      <c r="A100" s="10">
        <v>2628</v>
      </c>
      <c r="B100" s="11" t="s">
        <v>600</v>
      </c>
      <c r="C100" s="105" t="s">
        <v>601</v>
      </c>
      <c r="D100" s="11" t="s">
        <v>105</v>
      </c>
      <c r="E100" s="12">
        <v>11464</v>
      </c>
      <c r="F100" s="202">
        <v>32</v>
      </c>
      <c r="G100" s="11">
        <v>60000</v>
      </c>
      <c r="H100" s="116">
        <v>-30000</v>
      </c>
      <c r="I100" s="192"/>
      <c r="J100" s="204"/>
      <c r="K100" s="193"/>
      <c r="L100" s="193"/>
      <c r="M100" s="193"/>
      <c r="N100" s="203">
        <f t="shared" si="28"/>
        <v>60000</v>
      </c>
      <c r="O100" s="203">
        <f t="shared" si="29"/>
        <v>30000</v>
      </c>
      <c r="P100" s="203">
        <f t="shared" si="30"/>
        <v>30000</v>
      </c>
      <c r="Q100" s="214"/>
      <c r="R100" s="215"/>
      <c r="S100" s="218">
        <v>45647</v>
      </c>
      <c r="T100" s="205"/>
      <c r="U100" s="205"/>
      <c r="V100" s="216"/>
      <c r="W100" s="212"/>
      <c r="X100" s="10">
        <v>7</v>
      </c>
      <c r="Y100" s="10">
        <v>7</v>
      </c>
      <c r="Z100" s="213">
        <f t="shared" si="31"/>
        <v>60000</v>
      </c>
      <c r="AA100" s="62"/>
      <c r="AB100" s="62"/>
      <c r="AC100" s="62"/>
      <c r="AD100" s="62"/>
      <c r="AE100" s="62"/>
      <c r="AF100" s="63"/>
      <c r="AG100" s="64"/>
      <c r="AH100" s="6">
        <v>1</v>
      </c>
      <c r="AI100">
        <f t="shared" si="32"/>
        <v>25</v>
      </c>
      <c r="AJ100">
        <f t="shared" si="33"/>
        <v>25</v>
      </c>
      <c r="AK100">
        <f t="shared" si="34"/>
        <v>0</v>
      </c>
      <c r="AL100">
        <f t="shared" si="35"/>
        <v>0</v>
      </c>
      <c r="AM100">
        <f t="shared" si="36"/>
        <v>0</v>
      </c>
      <c r="AN100">
        <f t="shared" si="37"/>
        <v>0</v>
      </c>
      <c r="AO100">
        <f t="shared" si="38"/>
        <v>0</v>
      </c>
      <c r="AP100">
        <f t="shared" si="39"/>
        <v>0</v>
      </c>
      <c r="AQ100">
        <f t="shared" si="40"/>
        <v>0</v>
      </c>
      <c r="AR100">
        <f t="shared" si="41"/>
        <v>0</v>
      </c>
      <c r="AS100">
        <f t="shared" si="42"/>
        <v>0</v>
      </c>
      <c r="AT100">
        <f t="shared" si="43"/>
        <v>0</v>
      </c>
      <c r="AU100">
        <f t="shared" si="44"/>
        <v>1</v>
      </c>
      <c r="AV100">
        <f t="shared" si="45"/>
        <v>1</v>
      </c>
      <c r="AW100">
        <f t="shared" si="46"/>
        <v>1</v>
      </c>
      <c r="AX100">
        <f t="shared" si="47"/>
        <v>1</v>
      </c>
      <c r="AY100">
        <f t="shared" si="48"/>
        <v>30000</v>
      </c>
      <c r="AZ100">
        <f t="shared" si="49"/>
        <v>30000</v>
      </c>
      <c r="BA100">
        <f t="shared" si="50"/>
        <v>0</v>
      </c>
      <c r="BB100">
        <f t="shared" si="51"/>
        <v>0</v>
      </c>
      <c r="BC100">
        <f t="shared" si="52"/>
        <v>0</v>
      </c>
      <c r="BD100">
        <f t="shared" si="53"/>
        <v>0</v>
      </c>
      <c r="BE100">
        <f t="shared" si="54"/>
        <v>0</v>
      </c>
      <c r="BF100">
        <f t="shared" si="55"/>
        <v>0</v>
      </c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</row>
    <row r="101" spans="1:256" s="201" customFormat="1" ht="14.25" x14ac:dyDescent="0.2">
      <c r="A101" s="10">
        <v>2646</v>
      </c>
      <c r="B101" s="11" t="s">
        <v>260</v>
      </c>
      <c r="C101" s="105" t="s">
        <v>261</v>
      </c>
      <c r="D101" s="11" t="s">
        <v>233</v>
      </c>
      <c r="E101" s="12">
        <v>11526</v>
      </c>
      <c r="F101" s="202">
        <v>31</v>
      </c>
      <c r="G101" s="11">
        <v>30000</v>
      </c>
      <c r="H101" s="116">
        <v>0</v>
      </c>
      <c r="I101" s="192"/>
      <c r="J101" s="204"/>
      <c r="K101" s="193"/>
      <c r="L101" s="193"/>
      <c r="M101" s="193"/>
      <c r="N101" s="203">
        <f t="shared" si="28"/>
        <v>30000</v>
      </c>
      <c r="O101" s="203">
        <f t="shared" si="29"/>
        <v>30000</v>
      </c>
      <c r="P101" s="203">
        <f t="shared" si="30"/>
        <v>30000</v>
      </c>
      <c r="Q101" s="214"/>
      <c r="R101" s="215"/>
      <c r="S101" s="218">
        <v>45642</v>
      </c>
      <c r="T101" s="205"/>
      <c r="U101" s="205"/>
      <c r="V101" s="216"/>
      <c r="W101" s="212"/>
      <c r="X101" s="10">
        <v>7</v>
      </c>
      <c r="Y101" s="10">
        <v>7</v>
      </c>
      <c r="Z101" s="213">
        <f t="shared" si="31"/>
        <v>30000</v>
      </c>
      <c r="AA101" s="62"/>
      <c r="AB101" s="62"/>
      <c r="AC101" s="62"/>
      <c r="AD101" s="62"/>
      <c r="AE101" s="62"/>
      <c r="AF101" s="63"/>
      <c r="AG101" s="64"/>
      <c r="AH101" s="6">
        <v>1</v>
      </c>
      <c r="AI101">
        <f t="shared" si="32"/>
        <v>25</v>
      </c>
      <c r="AJ101">
        <f t="shared" si="33"/>
        <v>25</v>
      </c>
      <c r="AK101">
        <f t="shared" si="34"/>
        <v>0</v>
      </c>
      <c r="AL101">
        <f t="shared" si="35"/>
        <v>0</v>
      </c>
      <c r="AM101">
        <f t="shared" si="36"/>
        <v>0</v>
      </c>
      <c r="AN101">
        <f t="shared" si="37"/>
        <v>0</v>
      </c>
      <c r="AO101">
        <f t="shared" si="38"/>
        <v>0</v>
      </c>
      <c r="AP101">
        <f t="shared" si="39"/>
        <v>0</v>
      </c>
      <c r="AQ101">
        <f t="shared" si="40"/>
        <v>0</v>
      </c>
      <c r="AR101">
        <f t="shared" si="41"/>
        <v>0</v>
      </c>
      <c r="AS101">
        <f t="shared" si="42"/>
        <v>0</v>
      </c>
      <c r="AT101">
        <f t="shared" si="43"/>
        <v>0</v>
      </c>
      <c r="AU101">
        <f t="shared" si="44"/>
        <v>1</v>
      </c>
      <c r="AV101">
        <f t="shared" si="45"/>
        <v>1</v>
      </c>
      <c r="AW101">
        <f t="shared" si="46"/>
        <v>1</v>
      </c>
      <c r="AX101">
        <f t="shared" si="47"/>
        <v>1</v>
      </c>
      <c r="AY101">
        <f t="shared" si="48"/>
        <v>30000</v>
      </c>
      <c r="AZ101">
        <f t="shared" si="49"/>
        <v>30000</v>
      </c>
      <c r="BA101">
        <f t="shared" si="50"/>
        <v>0</v>
      </c>
      <c r="BB101">
        <f t="shared" si="51"/>
        <v>0</v>
      </c>
      <c r="BC101">
        <f t="shared" si="52"/>
        <v>0</v>
      </c>
      <c r="BD101">
        <f t="shared" si="53"/>
        <v>0</v>
      </c>
      <c r="BE101">
        <f t="shared" si="54"/>
        <v>0</v>
      </c>
      <c r="BF101">
        <f t="shared" si="55"/>
        <v>0</v>
      </c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</row>
    <row r="102" spans="1:256" s="201" customFormat="1" ht="14.25" x14ac:dyDescent="0.2">
      <c r="A102" s="10">
        <v>2668</v>
      </c>
      <c r="B102" s="11" t="s">
        <v>602</v>
      </c>
      <c r="C102" s="105" t="s">
        <v>603</v>
      </c>
      <c r="D102" s="11" t="s">
        <v>220</v>
      </c>
      <c r="E102" s="12">
        <v>11463</v>
      </c>
      <c r="F102" s="202">
        <v>30</v>
      </c>
      <c r="G102" s="11">
        <v>150000</v>
      </c>
      <c r="H102" s="116">
        <v>-80000</v>
      </c>
      <c r="I102" s="192"/>
      <c r="J102" s="204"/>
      <c r="K102" s="193"/>
      <c r="L102" s="193"/>
      <c r="M102" s="193"/>
      <c r="N102" s="203">
        <f t="shared" si="28"/>
        <v>150000</v>
      </c>
      <c r="O102" s="203">
        <f t="shared" si="29"/>
        <v>70000</v>
      </c>
      <c r="P102" s="203">
        <f t="shared" si="30"/>
        <v>70000</v>
      </c>
      <c r="Q102" s="214">
        <v>45659</v>
      </c>
      <c r="R102" s="215"/>
      <c r="S102" s="218">
        <v>45635</v>
      </c>
      <c r="T102" s="205"/>
      <c r="U102" s="205"/>
      <c r="V102" s="216" t="s">
        <v>1131</v>
      </c>
      <c r="W102" s="212"/>
      <c r="X102" s="10">
        <v>7</v>
      </c>
      <c r="Y102" s="10">
        <v>7</v>
      </c>
      <c r="Z102" s="213">
        <f t="shared" si="31"/>
        <v>150000</v>
      </c>
      <c r="AA102" s="62"/>
      <c r="AB102" s="62"/>
      <c r="AC102" s="62"/>
      <c r="AD102" s="62"/>
      <c r="AE102" s="62"/>
      <c r="AF102" s="63"/>
      <c r="AG102" s="64"/>
      <c r="AH102" s="6">
        <v>1</v>
      </c>
      <c r="AI102">
        <f t="shared" si="32"/>
        <v>25</v>
      </c>
      <c r="AJ102">
        <f t="shared" si="33"/>
        <v>25</v>
      </c>
      <c r="AK102">
        <f t="shared" si="34"/>
        <v>0</v>
      </c>
      <c r="AL102">
        <f t="shared" si="35"/>
        <v>0</v>
      </c>
      <c r="AM102">
        <f t="shared" si="36"/>
        <v>0</v>
      </c>
      <c r="AN102">
        <f t="shared" si="37"/>
        <v>0</v>
      </c>
      <c r="AO102">
        <f t="shared" si="38"/>
        <v>0</v>
      </c>
      <c r="AP102">
        <f t="shared" si="39"/>
        <v>0</v>
      </c>
      <c r="AQ102">
        <f t="shared" si="40"/>
        <v>0</v>
      </c>
      <c r="AR102">
        <f t="shared" si="41"/>
        <v>0</v>
      </c>
      <c r="AS102">
        <f t="shared" si="42"/>
        <v>0</v>
      </c>
      <c r="AT102">
        <f t="shared" si="43"/>
        <v>0</v>
      </c>
      <c r="AU102">
        <f t="shared" si="44"/>
        <v>1</v>
      </c>
      <c r="AV102">
        <f t="shared" si="45"/>
        <v>1</v>
      </c>
      <c r="AW102">
        <f t="shared" si="46"/>
        <v>1</v>
      </c>
      <c r="AX102">
        <f t="shared" si="47"/>
        <v>1</v>
      </c>
      <c r="AY102">
        <f t="shared" si="48"/>
        <v>70000</v>
      </c>
      <c r="AZ102">
        <f t="shared" si="49"/>
        <v>70000</v>
      </c>
      <c r="BA102">
        <f t="shared" si="50"/>
        <v>0</v>
      </c>
      <c r="BB102">
        <f t="shared" si="51"/>
        <v>0</v>
      </c>
      <c r="BC102">
        <f t="shared" si="52"/>
        <v>0</v>
      </c>
      <c r="BD102">
        <f t="shared" si="53"/>
        <v>0</v>
      </c>
      <c r="BE102">
        <f t="shared" si="54"/>
        <v>0</v>
      </c>
      <c r="BF102">
        <f t="shared" si="55"/>
        <v>0</v>
      </c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</row>
    <row r="103" spans="1:256" s="201" customFormat="1" ht="14.25" x14ac:dyDescent="0.2">
      <c r="A103" s="10">
        <v>2674</v>
      </c>
      <c r="B103" s="11" t="s">
        <v>604</v>
      </c>
      <c r="C103" s="105" t="s">
        <v>605</v>
      </c>
      <c r="D103" s="11" t="s">
        <v>218</v>
      </c>
      <c r="E103" s="12">
        <v>11546</v>
      </c>
      <c r="F103" s="202">
        <v>30</v>
      </c>
      <c r="G103" s="11">
        <v>60000</v>
      </c>
      <c r="H103" s="116">
        <v>-70000</v>
      </c>
      <c r="I103" s="192"/>
      <c r="J103" s="204"/>
      <c r="K103" s="193"/>
      <c r="L103" s="193"/>
      <c r="M103" s="193"/>
      <c r="N103" s="203">
        <f t="shared" si="28"/>
        <v>60000</v>
      </c>
      <c r="O103" s="203">
        <f t="shared" si="29"/>
        <v>-10000</v>
      </c>
      <c r="P103" s="203">
        <f t="shared" si="30"/>
        <v>0</v>
      </c>
      <c r="Q103" s="214"/>
      <c r="R103" s="215"/>
      <c r="S103" s="218">
        <v>45654</v>
      </c>
      <c r="T103" s="205"/>
      <c r="U103" s="205"/>
      <c r="V103" s="216"/>
      <c r="W103" s="212"/>
      <c r="X103" s="10">
        <v>7</v>
      </c>
      <c r="Y103" s="10">
        <v>7</v>
      </c>
      <c r="Z103" s="213">
        <f t="shared" si="31"/>
        <v>60000</v>
      </c>
      <c r="AA103" s="62"/>
      <c r="AB103" s="62"/>
      <c r="AC103" s="62"/>
      <c r="AD103" s="62"/>
      <c r="AE103" s="62"/>
      <c r="AF103" s="63"/>
      <c r="AG103" s="64"/>
      <c r="AH103" s="6">
        <v>1</v>
      </c>
      <c r="AI103">
        <f t="shared" si="32"/>
        <v>25</v>
      </c>
      <c r="AJ103">
        <f t="shared" si="33"/>
        <v>25</v>
      </c>
      <c r="AK103">
        <f t="shared" si="34"/>
        <v>0</v>
      </c>
      <c r="AL103">
        <f t="shared" si="35"/>
        <v>0</v>
      </c>
      <c r="AM103">
        <f t="shared" si="36"/>
        <v>0</v>
      </c>
      <c r="AN103">
        <f t="shared" si="37"/>
        <v>0</v>
      </c>
      <c r="AO103">
        <f t="shared" si="38"/>
        <v>0</v>
      </c>
      <c r="AP103">
        <f t="shared" si="39"/>
        <v>0</v>
      </c>
      <c r="AQ103">
        <f t="shared" si="40"/>
        <v>0</v>
      </c>
      <c r="AR103">
        <f t="shared" si="41"/>
        <v>0</v>
      </c>
      <c r="AS103">
        <f t="shared" si="42"/>
        <v>0</v>
      </c>
      <c r="AT103">
        <f t="shared" si="43"/>
        <v>0</v>
      </c>
      <c r="AU103">
        <f t="shared" si="44"/>
        <v>0</v>
      </c>
      <c r="AV103">
        <f t="shared" si="45"/>
        <v>0</v>
      </c>
      <c r="AW103">
        <f t="shared" si="46"/>
        <v>0</v>
      </c>
      <c r="AX103">
        <f t="shared" si="47"/>
        <v>0</v>
      </c>
      <c r="AY103">
        <f t="shared" si="48"/>
        <v>0</v>
      </c>
      <c r="AZ103">
        <f t="shared" si="49"/>
        <v>0</v>
      </c>
      <c r="BA103">
        <f t="shared" si="50"/>
        <v>0</v>
      </c>
      <c r="BB103">
        <f t="shared" si="51"/>
        <v>0</v>
      </c>
      <c r="BC103">
        <f t="shared" si="52"/>
        <v>0</v>
      </c>
      <c r="BD103">
        <f t="shared" si="53"/>
        <v>0</v>
      </c>
      <c r="BE103">
        <f t="shared" si="54"/>
        <v>0</v>
      </c>
      <c r="BF103">
        <f t="shared" si="55"/>
        <v>0</v>
      </c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</row>
    <row r="104" spans="1:256" s="201" customFormat="1" ht="14.25" x14ac:dyDescent="0.2">
      <c r="A104" s="10">
        <v>2677</v>
      </c>
      <c r="B104" s="11" t="s">
        <v>308</v>
      </c>
      <c r="C104" s="105" t="s">
        <v>309</v>
      </c>
      <c r="D104" s="11" t="s">
        <v>220</v>
      </c>
      <c r="E104" s="12">
        <v>11550</v>
      </c>
      <c r="F104" s="202">
        <v>30</v>
      </c>
      <c r="G104" s="11">
        <v>30000</v>
      </c>
      <c r="H104" s="116">
        <v>-6000</v>
      </c>
      <c r="I104" s="192"/>
      <c r="J104" s="204"/>
      <c r="K104" s="193"/>
      <c r="L104" s="193"/>
      <c r="M104" s="193"/>
      <c r="N104" s="203">
        <f t="shared" si="28"/>
        <v>30000</v>
      </c>
      <c r="O104" s="203">
        <f t="shared" si="29"/>
        <v>24000</v>
      </c>
      <c r="P104" s="203">
        <f t="shared" si="30"/>
        <v>24000</v>
      </c>
      <c r="Q104" s="214"/>
      <c r="R104" s="215"/>
      <c r="S104" s="218">
        <v>45645</v>
      </c>
      <c r="T104" s="205"/>
      <c r="U104" s="205"/>
      <c r="V104" s="216"/>
      <c r="W104" s="212"/>
      <c r="X104" s="10">
        <v>7</v>
      </c>
      <c r="Y104" s="10">
        <v>7</v>
      </c>
      <c r="Z104" s="213">
        <f t="shared" si="31"/>
        <v>30000</v>
      </c>
      <c r="AA104" s="62"/>
      <c r="AB104" s="62"/>
      <c r="AC104" s="62"/>
      <c r="AD104" s="62"/>
      <c r="AE104" s="62"/>
      <c r="AF104" s="63"/>
      <c r="AG104" s="64"/>
      <c r="AH104" s="6">
        <v>1</v>
      </c>
      <c r="AI104">
        <f t="shared" si="32"/>
        <v>25</v>
      </c>
      <c r="AJ104">
        <f t="shared" si="33"/>
        <v>25</v>
      </c>
      <c r="AK104">
        <f t="shared" si="34"/>
        <v>0</v>
      </c>
      <c r="AL104">
        <f t="shared" si="35"/>
        <v>0</v>
      </c>
      <c r="AM104">
        <f t="shared" si="36"/>
        <v>0</v>
      </c>
      <c r="AN104">
        <f t="shared" si="37"/>
        <v>0</v>
      </c>
      <c r="AO104">
        <f t="shared" si="38"/>
        <v>0</v>
      </c>
      <c r="AP104">
        <f t="shared" si="39"/>
        <v>0</v>
      </c>
      <c r="AQ104">
        <f t="shared" si="40"/>
        <v>0</v>
      </c>
      <c r="AR104">
        <f t="shared" si="41"/>
        <v>0</v>
      </c>
      <c r="AS104">
        <f t="shared" si="42"/>
        <v>0</v>
      </c>
      <c r="AT104">
        <f t="shared" si="43"/>
        <v>0</v>
      </c>
      <c r="AU104">
        <f t="shared" si="44"/>
        <v>1</v>
      </c>
      <c r="AV104">
        <f t="shared" si="45"/>
        <v>1</v>
      </c>
      <c r="AW104">
        <f t="shared" si="46"/>
        <v>1</v>
      </c>
      <c r="AX104">
        <f t="shared" si="47"/>
        <v>1</v>
      </c>
      <c r="AY104">
        <f t="shared" si="48"/>
        <v>24000</v>
      </c>
      <c r="AZ104">
        <f t="shared" si="49"/>
        <v>24000</v>
      </c>
      <c r="BA104">
        <f t="shared" si="50"/>
        <v>0</v>
      </c>
      <c r="BB104">
        <f t="shared" si="51"/>
        <v>0</v>
      </c>
      <c r="BC104">
        <f t="shared" si="52"/>
        <v>0</v>
      </c>
      <c r="BD104">
        <f t="shared" si="53"/>
        <v>0</v>
      </c>
      <c r="BE104">
        <f t="shared" si="54"/>
        <v>0</v>
      </c>
      <c r="BF104">
        <f t="shared" si="55"/>
        <v>0</v>
      </c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</row>
    <row r="105" spans="1:256" s="201" customFormat="1" ht="14.25" x14ac:dyDescent="0.2">
      <c r="A105" s="10">
        <v>2678</v>
      </c>
      <c r="B105" s="11" t="s">
        <v>606</v>
      </c>
      <c r="C105" s="105" t="s">
        <v>607</v>
      </c>
      <c r="D105" s="11" t="s">
        <v>105</v>
      </c>
      <c r="E105" s="12">
        <v>11551</v>
      </c>
      <c r="F105" s="202">
        <v>30</v>
      </c>
      <c r="G105" s="11">
        <v>60000</v>
      </c>
      <c r="H105" s="116">
        <v>-99000</v>
      </c>
      <c r="I105" s="192"/>
      <c r="J105" s="204"/>
      <c r="K105" s="193"/>
      <c r="L105" s="193"/>
      <c r="M105" s="193"/>
      <c r="N105" s="203">
        <f t="shared" si="28"/>
        <v>60000</v>
      </c>
      <c r="O105" s="203">
        <f t="shared" si="29"/>
        <v>-39000</v>
      </c>
      <c r="P105" s="203">
        <f t="shared" si="30"/>
        <v>0</v>
      </c>
      <c r="Q105" s="214"/>
      <c r="R105" s="215"/>
      <c r="S105" s="218">
        <v>45643</v>
      </c>
      <c r="T105" s="205"/>
      <c r="U105" s="205"/>
      <c r="V105" s="216"/>
      <c r="W105" s="212"/>
      <c r="X105" s="10">
        <v>7</v>
      </c>
      <c r="Y105" s="10">
        <v>7</v>
      </c>
      <c r="Z105" s="213">
        <f t="shared" si="31"/>
        <v>60000</v>
      </c>
      <c r="AA105" s="62"/>
      <c r="AB105" s="62"/>
      <c r="AC105" s="62"/>
      <c r="AD105" s="62"/>
      <c r="AE105" s="62"/>
      <c r="AF105" s="63"/>
      <c r="AG105" s="64"/>
      <c r="AH105" s="6">
        <v>1</v>
      </c>
      <c r="AI105">
        <f t="shared" si="32"/>
        <v>25</v>
      </c>
      <c r="AJ105">
        <f t="shared" si="33"/>
        <v>25</v>
      </c>
      <c r="AK105">
        <f t="shared" si="34"/>
        <v>0</v>
      </c>
      <c r="AL105">
        <f t="shared" si="35"/>
        <v>0</v>
      </c>
      <c r="AM105">
        <f t="shared" si="36"/>
        <v>0</v>
      </c>
      <c r="AN105">
        <f t="shared" si="37"/>
        <v>0</v>
      </c>
      <c r="AO105">
        <f t="shared" si="38"/>
        <v>0</v>
      </c>
      <c r="AP105">
        <f t="shared" si="39"/>
        <v>0</v>
      </c>
      <c r="AQ105">
        <f t="shared" si="40"/>
        <v>0</v>
      </c>
      <c r="AR105">
        <f t="shared" si="41"/>
        <v>0</v>
      </c>
      <c r="AS105">
        <f t="shared" si="42"/>
        <v>0</v>
      </c>
      <c r="AT105">
        <f t="shared" si="43"/>
        <v>0</v>
      </c>
      <c r="AU105">
        <f t="shared" si="44"/>
        <v>0</v>
      </c>
      <c r="AV105">
        <f t="shared" si="45"/>
        <v>0</v>
      </c>
      <c r="AW105">
        <f t="shared" si="46"/>
        <v>0</v>
      </c>
      <c r="AX105">
        <f t="shared" si="47"/>
        <v>0</v>
      </c>
      <c r="AY105">
        <f t="shared" si="48"/>
        <v>0</v>
      </c>
      <c r="AZ105">
        <f t="shared" si="49"/>
        <v>0</v>
      </c>
      <c r="BA105">
        <f t="shared" si="50"/>
        <v>0</v>
      </c>
      <c r="BB105">
        <f t="shared" si="51"/>
        <v>0</v>
      </c>
      <c r="BC105">
        <f t="shared" si="52"/>
        <v>0</v>
      </c>
      <c r="BD105">
        <f t="shared" si="53"/>
        <v>0</v>
      </c>
      <c r="BE105">
        <f t="shared" si="54"/>
        <v>0</v>
      </c>
      <c r="BF105">
        <f t="shared" si="55"/>
        <v>0</v>
      </c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</row>
    <row r="106" spans="1:256" s="201" customFormat="1" ht="14.25" x14ac:dyDescent="0.2">
      <c r="A106" s="10">
        <v>2680</v>
      </c>
      <c r="B106" s="11" t="s">
        <v>354</v>
      </c>
      <c r="C106" s="105">
        <v>2646608287</v>
      </c>
      <c r="D106" s="11" t="s">
        <v>105</v>
      </c>
      <c r="E106" s="12">
        <v>11553</v>
      </c>
      <c r="F106" s="202">
        <v>30</v>
      </c>
      <c r="G106" s="11">
        <v>50000</v>
      </c>
      <c r="H106" s="116">
        <v>0</v>
      </c>
      <c r="I106" s="192"/>
      <c r="J106" s="204"/>
      <c r="K106" s="193"/>
      <c r="L106" s="193"/>
      <c r="M106" s="193"/>
      <c r="N106" s="203">
        <f t="shared" si="28"/>
        <v>50000</v>
      </c>
      <c r="O106" s="203">
        <f t="shared" si="29"/>
        <v>50000</v>
      </c>
      <c r="P106" s="203">
        <f t="shared" si="30"/>
        <v>50000</v>
      </c>
      <c r="Q106" s="214"/>
      <c r="R106" s="215"/>
      <c r="S106" s="218">
        <v>45656</v>
      </c>
      <c r="T106" s="205"/>
      <c r="U106" s="205"/>
      <c r="V106" s="216"/>
      <c r="W106" s="212"/>
      <c r="X106" s="10">
        <v>7</v>
      </c>
      <c r="Y106" s="10">
        <v>7</v>
      </c>
      <c r="Z106" s="213">
        <f t="shared" si="31"/>
        <v>50000</v>
      </c>
      <c r="AA106" s="62"/>
      <c r="AB106" s="62"/>
      <c r="AC106" s="62"/>
      <c r="AD106" s="62"/>
      <c r="AE106" s="62"/>
      <c r="AF106" s="63"/>
      <c r="AG106" s="64"/>
      <c r="AH106" s="6">
        <v>1</v>
      </c>
      <c r="AI106">
        <f t="shared" si="32"/>
        <v>25</v>
      </c>
      <c r="AJ106">
        <f t="shared" si="33"/>
        <v>25</v>
      </c>
      <c r="AK106">
        <f t="shared" si="34"/>
        <v>0</v>
      </c>
      <c r="AL106">
        <f t="shared" si="35"/>
        <v>0</v>
      </c>
      <c r="AM106">
        <f t="shared" si="36"/>
        <v>0</v>
      </c>
      <c r="AN106">
        <f t="shared" si="37"/>
        <v>0</v>
      </c>
      <c r="AO106">
        <f t="shared" si="38"/>
        <v>0</v>
      </c>
      <c r="AP106">
        <f t="shared" si="39"/>
        <v>0</v>
      </c>
      <c r="AQ106">
        <f t="shared" si="40"/>
        <v>0</v>
      </c>
      <c r="AR106">
        <f t="shared" si="41"/>
        <v>0</v>
      </c>
      <c r="AS106">
        <f t="shared" si="42"/>
        <v>0</v>
      </c>
      <c r="AT106">
        <f t="shared" si="43"/>
        <v>0</v>
      </c>
      <c r="AU106">
        <f t="shared" si="44"/>
        <v>1</v>
      </c>
      <c r="AV106">
        <f t="shared" si="45"/>
        <v>1</v>
      </c>
      <c r="AW106">
        <f t="shared" si="46"/>
        <v>1</v>
      </c>
      <c r="AX106">
        <f t="shared" si="47"/>
        <v>1</v>
      </c>
      <c r="AY106">
        <f t="shared" si="48"/>
        <v>50000</v>
      </c>
      <c r="AZ106">
        <f t="shared" si="49"/>
        <v>50000</v>
      </c>
      <c r="BA106">
        <f t="shared" si="50"/>
        <v>0</v>
      </c>
      <c r="BB106">
        <f t="shared" si="51"/>
        <v>0</v>
      </c>
      <c r="BC106">
        <f t="shared" si="52"/>
        <v>0</v>
      </c>
      <c r="BD106">
        <f t="shared" si="53"/>
        <v>0</v>
      </c>
      <c r="BE106">
        <f t="shared" si="54"/>
        <v>0</v>
      </c>
      <c r="BF106">
        <f t="shared" si="55"/>
        <v>0</v>
      </c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</row>
    <row r="107" spans="1:256" s="201" customFormat="1" ht="14.25" x14ac:dyDescent="0.2">
      <c r="A107" s="10">
        <v>2688</v>
      </c>
      <c r="B107" s="11" t="s">
        <v>608</v>
      </c>
      <c r="C107" s="105" t="s">
        <v>609</v>
      </c>
      <c r="D107" s="11" t="s">
        <v>105</v>
      </c>
      <c r="E107" s="12">
        <v>11617</v>
      </c>
      <c r="F107" s="202">
        <v>30</v>
      </c>
      <c r="G107" s="11">
        <v>60000</v>
      </c>
      <c r="H107" s="116">
        <v>-15000</v>
      </c>
      <c r="I107" s="192"/>
      <c r="J107" s="204"/>
      <c r="K107" s="193"/>
      <c r="L107" s="193"/>
      <c r="M107" s="193"/>
      <c r="N107" s="203">
        <f t="shared" si="28"/>
        <v>60000</v>
      </c>
      <c r="O107" s="203">
        <f t="shared" si="29"/>
        <v>45000</v>
      </c>
      <c r="P107" s="203">
        <f t="shared" si="30"/>
        <v>45000</v>
      </c>
      <c r="Q107" s="214"/>
      <c r="R107" s="215"/>
      <c r="S107" s="218">
        <v>45636</v>
      </c>
      <c r="T107" s="205"/>
      <c r="U107" s="205"/>
      <c r="V107" s="216"/>
      <c r="W107" s="212"/>
      <c r="X107" s="10">
        <v>7</v>
      </c>
      <c r="Y107" s="10">
        <v>7</v>
      </c>
      <c r="Z107" s="213">
        <f t="shared" si="31"/>
        <v>60000</v>
      </c>
      <c r="AA107" s="62"/>
      <c r="AB107" s="62"/>
      <c r="AC107" s="62"/>
      <c r="AD107" s="62"/>
      <c r="AE107" s="62"/>
      <c r="AF107" s="63"/>
      <c r="AG107" s="64"/>
      <c r="AH107" s="6">
        <v>1</v>
      </c>
      <c r="AI107">
        <f t="shared" si="32"/>
        <v>25</v>
      </c>
      <c r="AJ107">
        <f t="shared" si="33"/>
        <v>25</v>
      </c>
      <c r="AK107">
        <f t="shared" si="34"/>
        <v>0</v>
      </c>
      <c r="AL107">
        <f t="shared" si="35"/>
        <v>0</v>
      </c>
      <c r="AM107">
        <f t="shared" si="36"/>
        <v>0</v>
      </c>
      <c r="AN107">
        <f t="shared" si="37"/>
        <v>0</v>
      </c>
      <c r="AO107">
        <f t="shared" si="38"/>
        <v>0</v>
      </c>
      <c r="AP107">
        <f t="shared" si="39"/>
        <v>0</v>
      </c>
      <c r="AQ107">
        <f t="shared" si="40"/>
        <v>0</v>
      </c>
      <c r="AR107">
        <f t="shared" si="41"/>
        <v>0</v>
      </c>
      <c r="AS107">
        <f t="shared" si="42"/>
        <v>0</v>
      </c>
      <c r="AT107">
        <f t="shared" si="43"/>
        <v>0</v>
      </c>
      <c r="AU107">
        <f t="shared" si="44"/>
        <v>1</v>
      </c>
      <c r="AV107">
        <f t="shared" si="45"/>
        <v>1</v>
      </c>
      <c r="AW107">
        <f t="shared" si="46"/>
        <v>1</v>
      </c>
      <c r="AX107">
        <f t="shared" si="47"/>
        <v>1</v>
      </c>
      <c r="AY107">
        <f t="shared" si="48"/>
        <v>45000</v>
      </c>
      <c r="AZ107">
        <f t="shared" si="49"/>
        <v>45000</v>
      </c>
      <c r="BA107">
        <f t="shared" si="50"/>
        <v>0</v>
      </c>
      <c r="BB107">
        <f t="shared" si="51"/>
        <v>0</v>
      </c>
      <c r="BC107">
        <f t="shared" si="52"/>
        <v>0</v>
      </c>
      <c r="BD107">
        <f t="shared" si="53"/>
        <v>0</v>
      </c>
      <c r="BE107">
        <f t="shared" si="54"/>
        <v>0</v>
      </c>
      <c r="BF107">
        <f t="shared" si="55"/>
        <v>0</v>
      </c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</row>
    <row r="108" spans="1:256" s="201" customFormat="1" ht="14.25" x14ac:dyDescent="0.2">
      <c r="A108" s="10">
        <v>2714</v>
      </c>
      <c r="B108" s="11" t="s">
        <v>610</v>
      </c>
      <c r="C108" s="105" t="s">
        <v>611</v>
      </c>
      <c r="D108" s="11" t="s">
        <v>105</v>
      </c>
      <c r="E108" s="12">
        <v>11635</v>
      </c>
      <c r="F108" s="202">
        <v>29</v>
      </c>
      <c r="G108" s="11">
        <v>80000</v>
      </c>
      <c r="H108" s="116">
        <v>-30000</v>
      </c>
      <c r="I108" s="192"/>
      <c r="J108" s="204"/>
      <c r="K108" s="193"/>
      <c r="L108" s="193"/>
      <c r="M108" s="193"/>
      <c r="N108" s="203">
        <f t="shared" si="28"/>
        <v>80000</v>
      </c>
      <c r="O108" s="203">
        <f t="shared" si="29"/>
        <v>50000</v>
      </c>
      <c r="P108" s="203">
        <f t="shared" si="30"/>
        <v>50000</v>
      </c>
      <c r="Q108" s="214">
        <v>45659</v>
      </c>
      <c r="R108" s="215"/>
      <c r="S108" s="218">
        <v>45628</v>
      </c>
      <c r="T108" s="205"/>
      <c r="U108" s="205"/>
      <c r="V108" s="216" t="s">
        <v>1131</v>
      </c>
      <c r="W108" s="212"/>
      <c r="X108" s="10">
        <v>7</v>
      </c>
      <c r="Y108" s="10">
        <v>7</v>
      </c>
      <c r="Z108" s="213">
        <f t="shared" si="31"/>
        <v>80000</v>
      </c>
      <c r="AA108" s="62"/>
      <c r="AB108" s="62"/>
      <c r="AC108" s="62"/>
      <c r="AD108" s="62"/>
      <c r="AE108" s="62"/>
      <c r="AF108" s="63"/>
      <c r="AG108" s="64"/>
      <c r="AH108" s="6">
        <v>1</v>
      </c>
      <c r="AI108">
        <f t="shared" si="32"/>
        <v>25</v>
      </c>
      <c r="AJ108">
        <f t="shared" si="33"/>
        <v>25</v>
      </c>
      <c r="AK108">
        <f t="shared" si="34"/>
        <v>0</v>
      </c>
      <c r="AL108">
        <f t="shared" si="35"/>
        <v>0</v>
      </c>
      <c r="AM108">
        <f t="shared" si="36"/>
        <v>0</v>
      </c>
      <c r="AN108">
        <f t="shared" si="37"/>
        <v>0</v>
      </c>
      <c r="AO108">
        <f t="shared" si="38"/>
        <v>0</v>
      </c>
      <c r="AP108">
        <f t="shared" si="39"/>
        <v>0</v>
      </c>
      <c r="AQ108">
        <f t="shared" si="40"/>
        <v>0</v>
      </c>
      <c r="AR108">
        <f t="shared" si="41"/>
        <v>0</v>
      </c>
      <c r="AS108">
        <f t="shared" si="42"/>
        <v>0</v>
      </c>
      <c r="AT108">
        <f t="shared" si="43"/>
        <v>0</v>
      </c>
      <c r="AU108">
        <f t="shared" si="44"/>
        <v>1</v>
      </c>
      <c r="AV108">
        <f t="shared" si="45"/>
        <v>1</v>
      </c>
      <c r="AW108">
        <f t="shared" si="46"/>
        <v>1</v>
      </c>
      <c r="AX108">
        <f t="shared" si="47"/>
        <v>1</v>
      </c>
      <c r="AY108">
        <f t="shared" si="48"/>
        <v>50000</v>
      </c>
      <c r="AZ108">
        <f t="shared" si="49"/>
        <v>50000</v>
      </c>
      <c r="BA108">
        <f t="shared" si="50"/>
        <v>0</v>
      </c>
      <c r="BB108">
        <f t="shared" si="51"/>
        <v>0</v>
      </c>
      <c r="BC108">
        <f t="shared" si="52"/>
        <v>0</v>
      </c>
      <c r="BD108">
        <f t="shared" si="53"/>
        <v>0</v>
      </c>
      <c r="BE108">
        <f t="shared" si="54"/>
        <v>0</v>
      </c>
      <c r="BF108">
        <f t="shared" si="55"/>
        <v>0</v>
      </c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</row>
    <row r="109" spans="1:256" s="201" customFormat="1" ht="14.25" x14ac:dyDescent="0.2">
      <c r="A109" s="10">
        <v>2717</v>
      </c>
      <c r="B109" s="11" t="s">
        <v>612</v>
      </c>
      <c r="C109" s="105" t="s">
        <v>613</v>
      </c>
      <c r="D109" s="11" t="s">
        <v>147</v>
      </c>
      <c r="E109" s="12">
        <v>11639</v>
      </c>
      <c r="F109" s="202">
        <v>29</v>
      </c>
      <c r="G109" s="11">
        <v>70000</v>
      </c>
      <c r="H109" s="116">
        <v>0</v>
      </c>
      <c r="I109" s="192"/>
      <c r="J109" s="204"/>
      <c r="K109" s="193"/>
      <c r="L109" s="193"/>
      <c r="M109" s="193"/>
      <c r="N109" s="203">
        <f t="shared" si="28"/>
        <v>70000</v>
      </c>
      <c r="O109" s="203">
        <f t="shared" si="29"/>
        <v>70000</v>
      </c>
      <c r="P109" s="203">
        <f t="shared" si="30"/>
        <v>70000</v>
      </c>
      <c r="Q109" s="214"/>
      <c r="R109" s="215"/>
      <c r="S109" s="218">
        <v>45636</v>
      </c>
      <c r="T109" s="205"/>
      <c r="U109" s="205"/>
      <c r="V109" s="216"/>
      <c r="W109" s="212"/>
      <c r="X109" s="10">
        <v>7</v>
      </c>
      <c r="Y109" s="10">
        <v>7</v>
      </c>
      <c r="Z109" s="213">
        <f t="shared" si="31"/>
        <v>70000</v>
      </c>
      <c r="AA109" s="62"/>
      <c r="AB109" s="62"/>
      <c r="AC109" s="62"/>
      <c r="AD109" s="62"/>
      <c r="AE109" s="62"/>
      <c r="AF109" s="63"/>
      <c r="AG109" s="64"/>
      <c r="AH109" s="6">
        <v>1</v>
      </c>
      <c r="AI109">
        <f t="shared" si="32"/>
        <v>25</v>
      </c>
      <c r="AJ109">
        <f t="shared" si="33"/>
        <v>25</v>
      </c>
      <c r="AK109">
        <f t="shared" si="34"/>
        <v>0</v>
      </c>
      <c r="AL109">
        <f t="shared" si="35"/>
        <v>0</v>
      </c>
      <c r="AM109">
        <f t="shared" si="36"/>
        <v>0</v>
      </c>
      <c r="AN109">
        <f t="shared" si="37"/>
        <v>0</v>
      </c>
      <c r="AO109">
        <f t="shared" si="38"/>
        <v>0</v>
      </c>
      <c r="AP109">
        <f t="shared" si="39"/>
        <v>0</v>
      </c>
      <c r="AQ109">
        <f t="shared" si="40"/>
        <v>0</v>
      </c>
      <c r="AR109">
        <f t="shared" si="41"/>
        <v>0</v>
      </c>
      <c r="AS109">
        <f t="shared" si="42"/>
        <v>0</v>
      </c>
      <c r="AT109">
        <f t="shared" si="43"/>
        <v>0</v>
      </c>
      <c r="AU109">
        <f t="shared" si="44"/>
        <v>1</v>
      </c>
      <c r="AV109">
        <f t="shared" si="45"/>
        <v>1</v>
      </c>
      <c r="AW109">
        <f t="shared" si="46"/>
        <v>1</v>
      </c>
      <c r="AX109">
        <f t="shared" si="47"/>
        <v>1</v>
      </c>
      <c r="AY109">
        <f t="shared" si="48"/>
        <v>70000</v>
      </c>
      <c r="AZ109">
        <f t="shared" si="49"/>
        <v>70000</v>
      </c>
      <c r="BA109">
        <f t="shared" si="50"/>
        <v>0</v>
      </c>
      <c r="BB109">
        <f t="shared" si="51"/>
        <v>0</v>
      </c>
      <c r="BC109">
        <f t="shared" si="52"/>
        <v>0</v>
      </c>
      <c r="BD109">
        <f t="shared" si="53"/>
        <v>0</v>
      </c>
      <c r="BE109">
        <f t="shared" si="54"/>
        <v>0</v>
      </c>
      <c r="BF109">
        <f t="shared" si="55"/>
        <v>0</v>
      </c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</row>
    <row r="110" spans="1:256" s="201" customFormat="1" ht="14.25" x14ac:dyDescent="0.2">
      <c r="A110" s="10">
        <v>2720</v>
      </c>
      <c r="B110" s="11" t="s">
        <v>283</v>
      </c>
      <c r="C110" s="105" t="s">
        <v>284</v>
      </c>
      <c r="D110" s="11" t="s">
        <v>106</v>
      </c>
      <c r="E110" s="12">
        <v>11629</v>
      </c>
      <c r="F110" s="202">
        <v>29</v>
      </c>
      <c r="G110" s="11">
        <v>30000</v>
      </c>
      <c r="H110" s="116">
        <v>0</v>
      </c>
      <c r="I110" s="192"/>
      <c r="J110" s="204"/>
      <c r="K110" s="193"/>
      <c r="L110" s="193"/>
      <c r="M110" s="193"/>
      <c r="N110" s="203">
        <f t="shared" si="28"/>
        <v>30000</v>
      </c>
      <c r="O110" s="203">
        <f t="shared" si="29"/>
        <v>30000</v>
      </c>
      <c r="P110" s="203">
        <f t="shared" si="30"/>
        <v>30000</v>
      </c>
      <c r="Q110" s="214"/>
      <c r="R110" s="215"/>
      <c r="S110" s="218">
        <v>45645</v>
      </c>
      <c r="T110" s="205"/>
      <c r="U110" s="205"/>
      <c r="V110" s="216"/>
      <c r="W110" s="212"/>
      <c r="X110" s="10">
        <v>7</v>
      </c>
      <c r="Y110" s="10">
        <v>7</v>
      </c>
      <c r="Z110" s="213">
        <f t="shared" si="31"/>
        <v>30000</v>
      </c>
      <c r="AA110" s="62"/>
      <c r="AB110" s="62"/>
      <c r="AC110" s="62"/>
      <c r="AD110" s="62"/>
      <c r="AE110" s="62"/>
      <c r="AF110" s="63"/>
      <c r="AG110" s="64"/>
      <c r="AH110" s="6">
        <v>1</v>
      </c>
      <c r="AI110">
        <f t="shared" si="32"/>
        <v>25</v>
      </c>
      <c r="AJ110">
        <f t="shared" si="33"/>
        <v>25</v>
      </c>
      <c r="AK110">
        <f t="shared" si="34"/>
        <v>0</v>
      </c>
      <c r="AL110">
        <f t="shared" si="35"/>
        <v>0</v>
      </c>
      <c r="AM110">
        <f t="shared" si="36"/>
        <v>0</v>
      </c>
      <c r="AN110">
        <f t="shared" si="37"/>
        <v>0</v>
      </c>
      <c r="AO110">
        <f t="shared" si="38"/>
        <v>0</v>
      </c>
      <c r="AP110">
        <f t="shared" si="39"/>
        <v>0</v>
      </c>
      <c r="AQ110">
        <f t="shared" si="40"/>
        <v>0</v>
      </c>
      <c r="AR110">
        <f t="shared" si="41"/>
        <v>0</v>
      </c>
      <c r="AS110">
        <f t="shared" si="42"/>
        <v>0</v>
      </c>
      <c r="AT110">
        <f t="shared" si="43"/>
        <v>0</v>
      </c>
      <c r="AU110">
        <f t="shared" si="44"/>
        <v>1</v>
      </c>
      <c r="AV110">
        <f t="shared" si="45"/>
        <v>1</v>
      </c>
      <c r="AW110">
        <f t="shared" si="46"/>
        <v>1</v>
      </c>
      <c r="AX110">
        <f t="shared" si="47"/>
        <v>1</v>
      </c>
      <c r="AY110">
        <f t="shared" si="48"/>
        <v>30000</v>
      </c>
      <c r="AZ110">
        <f t="shared" si="49"/>
        <v>30000</v>
      </c>
      <c r="BA110">
        <f t="shared" si="50"/>
        <v>0</v>
      </c>
      <c r="BB110">
        <f t="shared" si="51"/>
        <v>0</v>
      </c>
      <c r="BC110">
        <f t="shared" si="52"/>
        <v>0</v>
      </c>
      <c r="BD110">
        <f t="shared" si="53"/>
        <v>0</v>
      </c>
      <c r="BE110">
        <f t="shared" si="54"/>
        <v>0</v>
      </c>
      <c r="BF110">
        <f t="shared" si="55"/>
        <v>0</v>
      </c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</row>
    <row r="111" spans="1:256" s="201" customFormat="1" ht="14.25" x14ac:dyDescent="0.2">
      <c r="A111" s="10">
        <v>2721</v>
      </c>
      <c r="B111" s="11" t="s">
        <v>614</v>
      </c>
      <c r="C111" s="105" t="s">
        <v>615</v>
      </c>
      <c r="D111" s="11" t="s">
        <v>106</v>
      </c>
      <c r="E111" s="12">
        <v>11485</v>
      </c>
      <c r="F111" s="202">
        <v>29</v>
      </c>
      <c r="G111" s="11">
        <v>70000</v>
      </c>
      <c r="H111" s="116">
        <v>0</v>
      </c>
      <c r="I111" s="192"/>
      <c r="J111" s="204"/>
      <c r="K111" s="193"/>
      <c r="L111" s="193"/>
      <c r="M111" s="193"/>
      <c r="N111" s="203">
        <f t="shared" si="28"/>
        <v>70000</v>
      </c>
      <c r="O111" s="203">
        <f t="shared" si="29"/>
        <v>70000</v>
      </c>
      <c r="P111" s="203">
        <f t="shared" si="30"/>
        <v>70000</v>
      </c>
      <c r="Q111" s="214"/>
      <c r="R111" s="215"/>
      <c r="S111" s="218">
        <v>45635</v>
      </c>
      <c r="T111" s="205"/>
      <c r="U111" s="205"/>
      <c r="V111" s="216"/>
      <c r="W111" s="212"/>
      <c r="X111" s="10">
        <v>7</v>
      </c>
      <c r="Y111" s="10">
        <v>7</v>
      </c>
      <c r="Z111" s="213">
        <f t="shared" si="31"/>
        <v>70000</v>
      </c>
      <c r="AA111" s="62"/>
      <c r="AB111" s="62"/>
      <c r="AC111" s="62"/>
      <c r="AD111" s="62"/>
      <c r="AE111" s="62"/>
      <c r="AF111" s="63"/>
      <c r="AG111" s="64"/>
      <c r="AH111" s="6">
        <v>1</v>
      </c>
      <c r="AI111">
        <f t="shared" si="32"/>
        <v>25</v>
      </c>
      <c r="AJ111">
        <f t="shared" si="33"/>
        <v>25</v>
      </c>
      <c r="AK111">
        <f t="shared" si="34"/>
        <v>0</v>
      </c>
      <c r="AL111">
        <f t="shared" si="35"/>
        <v>0</v>
      </c>
      <c r="AM111">
        <f t="shared" si="36"/>
        <v>0</v>
      </c>
      <c r="AN111">
        <f t="shared" si="37"/>
        <v>0</v>
      </c>
      <c r="AO111">
        <f t="shared" si="38"/>
        <v>0</v>
      </c>
      <c r="AP111">
        <f t="shared" si="39"/>
        <v>0</v>
      </c>
      <c r="AQ111">
        <f t="shared" si="40"/>
        <v>0</v>
      </c>
      <c r="AR111">
        <f t="shared" si="41"/>
        <v>0</v>
      </c>
      <c r="AS111">
        <f t="shared" si="42"/>
        <v>0</v>
      </c>
      <c r="AT111">
        <f t="shared" si="43"/>
        <v>0</v>
      </c>
      <c r="AU111">
        <f t="shared" si="44"/>
        <v>1</v>
      </c>
      <c r="AV111">
        <f t="shared" si="45"/>
        <v>1</v>
      </c>
      <c r="AW111">
        <f t="shared" si="46"/>
        <v>1</v>
      </c>
      <c r="AX111">
        <f t="shared" si="47"/>
        <v>1</v>
      </c>
      <c r="AY111">
        <f t="shared" si="48"/>
        <v>70000</v>
      </c>
      <c r="AZ111">
        <f t="shared" si="49"/>
        <v>70000</v>
      </c>
      <c r="BA111">
        <f t="shared" si="50"/>
        <v>0</v>
      </c>
      <c r="BB111">
        <f t="shared" si="51"/>
        <v>0</v>
      </c>
      <c r="BC111">
        <f t="shared" si="52"/>
        <v>0</v>
      </c>
      <c r="BD111">
        <f t="shared" si="53"/>
        <v>0</v>
      </c>
      <c r="BE111">
        <f t="shared" si="54"/>
        <v>0</v>
      </c>
      <c r="BF111">
        <f t="shared" si="55"/>
        <v>0</v>
      </c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</row>
    <row r="112" spans="1:256" s="201" customFormat="1" ht="14.25" x14ac:dyDescent="0.2">
      <c r="A112" s="10">
        <v>2727</v>
      </c>
      <c r="B112" s="11" t="s">
        <v>616</v>
      </c>
      <c r="C112" s="105" t="s">
        <v>617</v>
      </c>
      <c r="D112" s="11" t="s">
        <v>147</v>
      </c>
      <c r="E112" s="12">
        <v>11644</v>
      </c>
      <c r="F112" s="202">
        <v>29</v>
      </c>
      <c r="G112" s="11">
        <v>60000</v>
      </c>
      <c r="H112" s="116">
        <v>-20000</v>
      </c>
      <c r="I112" s="192"/>
      <c r="J112" s="204"/>
      <c r="K112" s="193"/>
      <c r="L112" s="193"/>
      <c r="M112" s="193"/>
      <c r="N112" s="203">
        <f t="shared" si="28"/>
        <v>60000</v>
      </c>
      <c r="O112" s="203">
        <f t="shared" si="29"/>
        <v>40000</v>
      </c>
      <c r="P112" s="203">
        <f t="shared" si="30"/>
        <v>40000</v>
      </c>
      <c r="Q112" s="214"/>
      <c r="R112" s="215"/>
      <c r="S112" s="218">
        <v>45646</v>
      </c>
      <c r="T112" s="205"/>
      <c r="U112" s="205"/>
      <c r="V112" s="216"/>
      <c r="W112" s="212"/>
      <c r="X112" s="10">
        <v>7</v>
      </c>
      <c r="Y112" s="10">
        <v>7</v>
      </c>
      <c r="Z112" s="213">
        <f t="shared" si="31"/>
        <v>60000</v>
      </c>
      <c r="AA112" s="62"/>
      <c r="AB112" s="62"/>
      <c r="AC112" s="62"/>
      <c r="AD112" s="62"/>
      <c r="AE112" s="62"/>
      <c r="AF112" s="63"/>
      <c r="AG112" s="64"/>
      <c r="AH112" s="6">
        <v>1</v>
      </c>
      <c r="AI112">
        <f t="shared" si="32"/>
        <v>25</v>
      </c>
      <c r="AJ112">
        <f t="shared" si="33"/>
        <v>25</v>
      </c>
      <c r="AK112">
        <f t="shared" si="34"/>
        <v>0</v>
      </c>
      <c r="AL112">
        <f t="shared" si="35"/>
        <v>0</v>
      </c>
      <c r="AM112">
        <f t="shared" si="36"/>
        <v>0</v>
      </c>
      <c r="AN112">
        <f t="shared" si="37"/>
        <v>0</v>
      </c>
      <c r="AO112">
        <f t="shared" si="38"/>
        <v>0</v>
      </c>
      <c r="AP112">
        <f t="shared" si="39"/>
        <v>0</v>
      </c>
      <c r="AQ112">
        <f t="shared" si="40"/>
        <v>0</v>
      </c>
      <c r="AR112">
        <f t="shared" si="41"/>
        <v>0</v>
      </c>
      <c r="AS112">
        <f t="shared" si="42"/>
        <v>0</v>
      </c>
      <c r="AT112">
        <f t="shared" si="43"/>
        <v>0</v>
      </c>
      <c r="AU112">
        <f t="shared" si="44"/>
        <v>1</v>
      </c>
      <c r="AV112">
        <f t="shared" si="45"/>
        <v>1</v>
      </c>
      <c r="AW112">
        <f t="shared" si="46"/>
        <v>1</v>
      </c>
      <c r="AX112">
        <f t="shared" si="47"/>
        <v>1</v>
      </c>
      <c r="AY112">
        <f t="shared" si="48"/>
        <v>40000</v>
      </c>
      <c r="AZ112">
        <f t="shared" si="49"/>
        <v>40000</v>
      </c>
      <c r="BA112">
        <f t="shared" si="50"/>
        <v>0</v>
      </c>
      <c r="BB112">
        <f t="shared" si="51"/>
        <v>0</v>
      </c>
      <c r="BC112">
        <f t="shared" si="52"/>
        <v>0</v>
      </c>
      <c r="BD112">
        <f t="shared" si="53"/>
        <v>0</v>
      </c>
      <c r="BE112">
        <f t="shared" si="54"/>
        <v>0</v>
      </c>
      <c r="BF112">
        <f t="shared" si="55"/>
        <v>0</v>
      </c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</row>
    <row r="113" spans="1:256" s="201" customFormat="1" ht="14.25" x14ac:dyDescent="0.2">
      <c r="A113" s="10">
        <v>2744</v>
      </c>
      <c r="B113" s="11" t="s">
        <v>618</v>
      </c>
      <c r="C113" s="105" t="s">
        <v>619</v>
      </c>
      <c r="D113" s="11" t="s">
        <v>620</v>
      </c>
      <c r="E113" s="12">
        <v>11631</v>
      </c>
      <c r="F113" s="202">
        <v>28</v>
      </c>
      <c r="G113" s="11">
        <v>60000</v>
      </c>
      <c r="H113" s="116">
        <v>-24000</v>
      </c>
      <c r="I113" s="192"/>
      <c r="J113" s="204"/>
      <c r="K113" s="193"/>
      <c r="L113" s="193"/>
      <c r="M113" s="193"/>
      <c r="N113" s="203">
        <f t="shared" si="28"/>
        <v>60000</v>
      </c>
      <c r="O113" s="203">
        <f t="shared" si="29"/>
        <v>36000</v>
      </c>
      <c r="P113" s="203">
        <f t="shared" si="30"/>
        <v>36000</v>
      </c>
      <c r="Q113" s="214"/>
      <c r="R113" s="215"/>
      <c r="S113" s="218">
        <v>45642</v>
      </c>
      <c r="T113" s="205"/>
      <c r="U113" s="205"/>
      <c r="V113" s="216"/>
      <c r="W113" s="212"/>
      <c r="X113" s="10">
        <v>7</v>
      </c>
      <c r="Y113" s="10">
        <v>7</v>
      </c>
      <c r="Z113" s="213">
        <f t="shared" si="31"/>
        <v>60000</v>
      </c>
      <c r="AA113" s="62"/>
      <c r="AB113" s="62"/>
      <c r="AC113" s="62"/>
      <c r="AD113" s="62"/>
      <c r="AE113" s="62"/>
      <c r="AF113" s="63"/>
      <c r="AG113" s="64"/>
      <c r="AH113" s="6">
        <v>1</v>
      </c>
      <c r="AI113">
        <f t="shared" si="32"/>
        <v>25</v>
      </c>
      <c r="AJ113">
        <f t="shared" si="33"/>
        <v>25</v>
      </c>
      <c r="AK113">
        <f t="shared" si="34"/>
        <v>0</v>
      </c>
      <c r="AL113">
        <f t="shared" si="35"/>
        <v>0</v>
      </c>
      <c r="AM113">
        <f t="shared" si="36"/>
        <v>0</v>
      </c>
      <c r="AN113">
        <f t="shared" si="37"/>
        <v>0</v>
      </c>
      <c r="AO113">
        <f t="shared" si="38"/>
        <v>0</v>
      </c>
      <c r="AP113">
        <f t="shared" si="39"/>
        <v>0</v>
      </c>
      <c r="AQ113">
        <f t="shared" si="40"/>
        <v>0</v>
      </c>
      <c r="AR113">
        <f t="shared" si="41"/>
        <v>0</v>
      </c>
      <c r="AS113">
        <f t="shared" si="42"/>
        <v>0</v>
      </c>
      <c r="AT113">
        <f t="shared" si="43"/>
        <v>0</v>
      </c>
      <c r="AU113">
        <f t="shared" si="44"/>
        <v>1</v>
      </c>
      <c r="AV113">
        <f t="shared" si="45"/>
        <v>1</v>
      </c>
      <c r="AW113">
        <f t="shared" si="46"/>
        <v>1</v>
      </c>
      <c r="AX113">
        <f t="shared" si="47"/>
        <v>1</v>
      </c>
      <c r="AY113">
        <f t="shared" si="48"/>
        <v>36000</v>
      </c>
      <c r="AZ113">
        <f t="shared" si="49"/>
        <v>36000</v>
      </c>
      <c r="BA113">
        <f t="shared" si="50"/>
        <v>0</v>
      </c>
      <c r="BB113">
        <f t="shared" si="51"/>
        <v>0</v>
      </c>
      <c r="BC113">
        <f t="shared" si="52"/>
        <v>0</v>
      </c>
      <c r="BD113">
        <f t="shared" si="53"/>
        <v>0</v>
      </c>
      <c r="BE113">
        <f t="shared" si="54"/>
        <v>0</v>
      </c>
      <c r="BF113">
        <f t="shared" si="55"/>
        <v>0</v>
      </c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</row>
    <row r="114" spans="1:256" s="201" customFormat="1" ht="14.25" x14ac:dyDescent="0.2">
      <c r="A114" s="10">
        <v>2745</v>
      </c>
      <c r="B114" s="11" t="s">
        <v>621</v>
      </c>
      <c r="C114" s="105" t="s">
        <v>622</v>
      </c>
      <c r="D114" s="11" t="s">
        <v>106</v>
      </c>
      <c r="E114" s="12">
        <v>11637</v>
      </c>
      <c r="F114" s="202">
        <v>28</v>
      </c>
      <c r="G114" s="11">
        <v>60000</v>
      </c>
      <c r="H114" s="116">
        <v>45000</v>
      </c>
      <c r="I114" s="192"/>
      <c r="J114" s="204"/>
      <c r="K114" s="193"/>
      <c r="L114" s="193"/>
      <c r="M114" s="193"/>
      <c r="N114" s="203">
        <f t="shared" si="28"/>
        <v>105000</v>
      </c>
      <c r="O114" s="203">
        <f t="shared" si="29"/>
        <v>105000</v>
      </c>
      <c r="P114" s="203">
        <f t="shared" si="30"/>
        <v>105000</v>
      </c>
      <c r="Q114" s="214"/>
      <c r="R114" s="215"/>
      <c r="S114" s="218">
        <v>45608</v>
      </c>
      <c r="T114" s="205"/>
      <c r="U114" s="205"/>
      <c r="V114" s="216"/>
      <c r="W114" s="212"/>
      <c r="X114" s="10">
        <v>7</v>
      </c>
      <c r="Y114" s="10">
        <v>7</v>
      </c>
      <c r="Z114" s="213">
        <f t="shared" si="31"/>
        <v>105000</v>
      </c>
      <c r="AA114" s="62"/>
      <c r="AB114" s="62"/>
      <c r="AC114" s="62"/>
      <c r="AD114" s="62"/>
      <c r="AE114" s="62"/>
      <c r="AF114" s="63"/>
      <c r="AG114" s="64"/>
      <c r="AH114" s="6">
        <v>1</v>
      </c>
      <c r="AI114">
        <f t="shared" si="32"/>
        <v>25</v>
      </c>
      <c r="AJ114">
        <f t="shared" si="33"/>
        <v>25</v>
      </c>
      <c r="AK114">
        <f t="shared" si="34"/>
        <v>0</v>
      </c>
      <c r="AL114">
        <f t="shared" si="35"/>
        <v>0</v>
      </c>
      <c r="AM114">
        <f t="shared" si="36"/>
        <v>0</v>
      </c>
      <c r="AN114">
        <f t="shared" si="37"/>
        <v>0</v>
      </c>
      <c r="AO114">
        <f t="shared" si="38"/>
        <v>0</v>
      </c>
      <c r="AP114">
        <f t="shared" si="39"/>
        <v>0</v>
      </c>
      <c r="AQ114">
        <f t="shared" si="40"/>
        <v>0</v>
      </c>
      <c r="AR114">
        <f t="shared" si="41"/>
        <v>0</v>
      </c>
      <c r="AS114">
        <f t="shared" si="42"/>
        <v>0</v>
      </c>
      <c r="AT114">
        <f t="shared" si="43"/>
        <v>0</v>
      </c>
      <c r="AU114">
        <f t="shared" si="44"/>
        <v>1</v>
      </c>
      <c r="AV114">
        <f t="shared" si="45"/>
        <v>1</v>
      </c>
      <c r="AW114">
        <f t="shared" si="46"/>
        <v>1</v>
      </c>
      <c r="AX114">
        <f t="shared" si="47"/>
        <v>1</v>
      </c>
      <c r="AY114">
        <f t="shared" si="48"/>
        <v>105000</v>
      </c>
      <c r="AZ114">
        <f t="shared" si="49"/>
        <v>105000</v>
      </c>
      <c r="BA114">
        <f t="shared" si="50"/>
        <v>0</v>
      </c>
      <c r="BB114">
        <f t="shared" si="51"/>
        <v>0</v>
      </c>
      <c r="BC114">
        <f t="shared" si="52"/>
        <v>0</v>
      </c>
      <c r="BD114">
        <f t="shared" si="53"/>
        <v>0</v>
      </c>
      <c r="BE114">
        <f t="shared" si="54"/>
        <v>0</v>
      </c>
      <c r="BF114">
        <f t="shared" si="55"/>
        <v>0</v>
      </c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</row>
    <row r="115" spans="1:256" s="201" customFormat="1" ht="14.25" x14ac:dyDescent="0.2">
      <c r="A115" s="10">
        <v>2747</v>
      </c>
      <c r="B115" s="11" t="s">
        <v>623</v>
      </c>
      <c r="C115" s="105" t="s">
        <v>624</v>
      </c>
      <c r="D115" s="11" t="s">
        <v>106</v>
      </c>
      <c r="E115" s="12">
        <v>11656</v>
      </c>
      <c r="F115" s="202">
        <v>28</v>
      </c>
      <c r="G115" s="11">
        <v>60000</v>
      </c>
      <c r="H115" s="116">
        <v>-260000</v>
      </c>
      <c r="I115" s="192"/>
      <c r="J115" s="204"/>
      <c r="K115" s="193"/>
      <c r="L115" s="193"/>
      <c r="M115" s="193"/>
      <c r="N115" s="203">
        <f t="shared" si="28"/>
        <v>60000</v>
      </c>
      <c r="O115" s="203">
        <f t="shared" si="29"/>
        <v>-200000</v>
      </c>
      <c r="P115" s="203">
        <f t="shared" si="30"/>
        <v>0</v>
      </c>
      <c r="Q115" s="214"/>
      <c r="R115" s="215"/>
      <c r="S115" s="218">
        <v>45635</v>
      </c>
      <c r="T115" s="205"/>
      <c r="U115" s="205"/>
      <c r="V115" s="216"/>
      <c r="W115" s="212"/>
      <c r="X115" s="10">
        <v>7</v>
      </c>
      <c r="Y115" s="10">
        <v>7</v>
      </c>
      <c r="Z115" s="213">
        <f t="shared" si="31"/>
        <v>60000</v>
      </c>
      <c r="AA115" s="62"/>
      <c r="AB115" s="62"/>
      <c r="AC115" s="62"/>
      <c r="AD115" s="62"/>
      <c r="AE115" s="62"/>
      <c r="AF115" s="63"/>
      <c r="AG115" s="64"/>
      <c r="AH115" s="6">
        <v>1</v>
      </c>
      <c r="AI115">
        <f t="shared" si="32"/>
        <v>25</v>
      </c>
      <c r="AJ115">
        <f t="shared" si="33"/>
        <v>25</v>
      </c>
      <c r="AK115">
        <f t="shared" si="34"/>
        <v>0</v>
      </c>
      <c r="AL115">
        <f t="shared" si="35"/>
        <v>0</v>
      </c>
      <c r="AM115">
        <f t="shared" si="36"/>
        <v>0</v>
      </c>
      <c r="AN115">
        <f t="shared" si="37"/>
        <v>0</v>
      </c>
      <c r="AO115">
        <f t="shared" si="38"/>
        <v>0</v>
      </c>
      <c r="AP115">
        <f t="shared" si="39"/>
        <v>0</v>
      </c>
      <c r="AQ115">
        <f t="shared" si="40"/>
        <v>0</v>
      </c>
      <c r="AR115">
        <f t="shared" si="41"/>
        <v>0</v>
      </c>
      <c r="AS115">
        <f t="shared" si="42"/>
        <v>0</v>
      </c>
      <c r="AT115">
        <f t="shared" si="43"/>
        <v>0</v>
      </c>
      <c r="AU115">
        <f t="shared" si="44"/>
        <v>0</v>
      </c>
      <c r="AV115">
        <f t="shared" si="45"/>
        <v>0</v>
      </c>
      <c r="AW115">
        <f t="shared" si="46"/>
        <v>0</v>
      </c>
      <c r="AX115">
        <f t="shared" si="47"/>
        <v>0</v>
      </c>
      <c r="AY115">
        <f t="shared" si="48"/>
        <v>0</v>
      </c>
      <c r="AZ115">
        <f t="shared" si="49"/>
        <v>0</v>
      </c>
      <c r="BA115">
        <f t="shared" si="50"/>
        <v>0</v>
      </c>
      <c r="BB115">
        <f t="shared" si="51"/>
        <v>0</v>
      </c>
      <c r="BC115">
        <f t="shared" si="52"/>
        <v>0</v>
      </c>
      <c r="BD115">
        <f t="shared" si="53"/>
        <v>0</v>
      </c>
      <c r="BE115">
        <f t="shared" si="54"/>
        <v>0</v>
      </c>
      <c r="BF115">
        <f t="shared" si="55"/>
        <v>0</v>
      </c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</row>
    <row r="116" spans="1:256" s="201" customFormat="1" ht="14.25" x14ac:dyDescent="0.2">
      <c r="A116" s="10">
        <v>2755</v>
      </c>
      <c r="B116" s="11" t="s">
        <v>625</v>
      </c>
      <c r="C116" s="105" t="s">
        <v>626</v>
      </c>
      <c r="D116" s="11" t="s">
        <v>411</v>
      </c>
      <c r="E116" s="12">
        <v>11668</v>
      </c>
      <c r="F116" s="202">
        <v>28</v>
      </c>
      <c r="G116" s="11">
        <v>60000</v>
      </c>
      <c r="H116" s="116">
        <v>0</v>
      </c>
      <c r="I116" s="192"/>
      <c r="J116" s="204"/>
      <c r="K116" s="193"/>
      <c r="L116" s="193"/>
      <c r="M116" s="193"/>
      <c r="N116" s="203">
        <f t="shared" si="28"/>
        <v>60000</v>
      </c>
      <c r="O116" s="203">
        <f t="shared" si="29"/>
        <v>60000</v>
      </c>
      <c r="P116" s="203">
        <f t="shared" si="30"/>
        <v>60000</v>
      </c>
      <c r="Q116" s="214">
        <v>45663</v>
      </c>
      <c r="R116" s="215"/>
      <c r="S116" s="218">
        <v>45633</v>
      </c>
      <c r="T116" s="205"/>
      <c r="U116" s="205"/>
      <c r="V116" s="216" t="s">
        <v>1131</v>
      </c>
      <c r="W116" s="212"/>
      <c r="X116" s="10">
        <v>7</v>
      </c>
      <c r="Y116" s="10">
        <v>7</v>
      </c>
      <c r="Z116" s="213">
        <f t="shared" si="31"/>
        <v>60000</v>
      </c>
      <c r="AA116" s="62"/>
      <c r="AB116" s="62"/>
      <c r="AC116" s="62"/>
      <c r="AD116" s="62"/>
      <c r="AE116" s="62"/>
      <c r="AF116" s="63"/>
      <c r="AG116" s="64"/>
      <c r="AH116" s="6">
        <v>1</v>
      </c>
      <c r="AI116">
        <f t="shared" si="32"/>
        <v>25</v>
      </c>
      <c r="AJ116">
        <f t="shared" si="33"/>
        <v>25</v>
      </c>
      <c r="AK116">
        <f t="shared" si="34"/>
        <v>0</v>
      </c>
      <c r="AL116">
        <f t="shared" si="35"/>
        <v>0</v>
      </c>
      <c r="AM116">
        <f t="shared" si="36"/>
        <v>0</v>
      </c>
      <c r="AN116">
        <f t="shared" si="37"/>
        <v>0</v>
      </c>
      <c r="AO116">
        <f t="shared" si="38"/>
        <v>0</v>
      </c>
      <c r="AP116">
        <f t="shared" si="39"/>
        <v>0</v>
      </c>
      <c r="AQ116">
        <f t="shared" si="40"/>
        <v>0</v>
      </c>
      <c r="AR116">
        <f t="shared" si="41"/>
        <v>0</v>
      </c>
      <c r="AS116">
        <f t="shared" si="42"/>
        <v>0</v>
      </c>
      <c r="AT116">
        <f t="shared" si="43"/>
        <v>0</v>
      </c>
      <c r="AU116">
        <f t="shared" si="44"/>
        <v>1</v>
      </c>
      <c r="AV116">
        <f t="shared" si="45"/>
        <v>1</v>
      </c>
      <c r="AW116">
        <f t="shared" si="46"/>
        <v>1</v>
      </c>
      <c r="AX116">
        <f t="shared" si="47"/>
        <v>1</v>
      </c>
      <c r="AY116">
        <f t="shared" si="48"/>
        <v>60000</v>
      </c>
      <c r="AZ116">
        <f t="shared" si="49"/>
        <v>60000</v>
      </c>
      <c r="BA116">
        <f t="shared" si="50"/>
        <v>0</v>
      </c>
      <c r="BB116">
        <f t="shared" si="51"/>
        <v>0</v>
      </c>
      <c r="BC116">
        <f t="shared" si="52"/>
        <v>0</v>
      </c>
      <c r="BD116">
        <f t="shared" si="53"/>
        <v>0</v>
      </c>
      <c r="BE116">
        <f t="shared" si="54"/>
        <v>0</v>
      </c>
      <c r="BF116">
        <f t="shared" si="55"/>
        <v>0</v>
      </c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</row>
    <row r="117" spans="1:256" s="201" customFormat="1" ht="14.25" x14ac:dyDescent="0.2">
      <c r="A117" s="10">
        <v>2760</v>
      </c>
      <c r="B117" s="11" t="s">
        <v>627</v>
      </c>
      <c r="C117" s="105" t="s">
        <v>628</v>
      </c>
      <c r="D117" s="11" t="s">
        <v>629</v>
      </c>
      <c r="E117" s="12">
        <v>11688</v>
      </c>
      <c r="F117" s="202">
        <v>28</v>
      </c>
      <c r="G117" s="11">
        <v>60000</v>
      </c>
      <c r="H117" s="116">
        <v>0</v>
      </c>
      <c r="I117" s="192"/>
      <c r="J117" s="204"/>
      <c r="K117" s="193"/>
      <c r="L117" s="193"/>
      <c r="M117" s="193"/>
      <c r="N117" s="203">
        <f t="shared" si="28"/>
        <v>60000</v>
      </c>
      <c r="O117" s="203">
        <f t="shared" si="29"/>
        <v>60000</v>
      </c>
      <c r="P117" s="203">
        <f t="shared" si="30"/>
        <v>60000</v>
      </c>
      <c r="Q117" s="214"/>
      <c r="R117" s="215"/>
      <c r="S117" s="218">
        <v>45635</v>
      </c>
      <c r="T117" s="205"/>
      <c r="U117" s="205"/>
      <c r="V117" s="216"/>
      <c r="W117" s="212"/>
      <c r="X117" s="10">
        <v>7</v>
      </c>
      <c r="Y117" s="10">
        <v>7</v>
      </c>
      <c r="Z117" s="213">
        <f t="shared" si="31"/>
        <v>60000</v>
      </c>
      <c r="AA117" s="62"/>
      <c r="AB117" s="62"/>
      <c r="AC117" s="62"/>
      <c r="AD117" s="62"/>
      <c r="AE117" s="62"/>
      <c r="AF117" s="63"/>
      <c r="AG117" s="64"/>
      <c r="AH117" s="6">
        <v>1</v>
      </c>
      <c r="AI117">
        <f t="shared" si="32"/>
        <v>25</v>
      </c>
      <c r="AJ117">
        <f t="shared" si="33"/>
        <v>25</v>
      </c>
      <c r="AK117">
        <f t="shared" si="34"/>
        <v>0</v>
      </c>
      <c r="AL117">
        <f t="shared" si="35"/>
        <v>0</v>
      </c>
      <c r="AM117">
        <f t="shared" si="36"/>
        <v>0</v>
      </c>
      <c r="AN117">
        <f t="shared" si="37"/>
        <v>0</v>
      </c>
      <c r="AO117">
        <f t="shared" si="38"/>
        <v>0</v>
      </c>
      <c r="AP117">
        <f t="shared" si="39"/>
        <v>0</v>
      </c>
      <c r="AQ117">
        <f t="shared" si="40"/>
        <v>0</v>
      </c>
      <c r="AR117">
        <f t="shared" si="41"/>
        <v>0</v>
      </c>
      <c r="AS117">
        <f t="shared" si="42"/>
        <v>0</v>
      </c>
      <c r="AT117">
        <f t="shared" si="43"/>
        <v>0</v>
      </c>
      <c r="AU117">
        <f t="shared" si="44"/>
        <v>1</v>
      </c>
      <c r="AV117">
        <f t="shared" si="45"/>
        <v>1</v>
      </c>
      <c r="AW117">
        <f t="shared" si="46"/>
        <v>1</v>
      </c>
      <c r="AX117">
        <f t="shared" si="47"/>
        <v>1</v>
      </c>
      <c r="AY117">
        <f t="shared" si="48"/>
        <v>60000</v>
      </c>
      <c r="AZ117">
        <f t="shared" si="49"/>
        <v>60000</v>
      </c>
      <c r="BA117">
        <f t="shared" si="50"/>
        <v>0</v>
      </c>
      <c r="BB117">
        <f t="shared" si="51"/>
        <v>0</v>
      </c>
      <c r="BC117">
        <f t="shared" si="52"/>
        <v>0</v>
      </c>
      <c r="BD117">
        <f t="shared" si="53"/>
        <v>0</v>
      </c>
      <c r="BE117">
        <f t="shared" si="54"/>
        <v>0</v>
      </c>
      <c r="BF117">
        <f t="shared" si="55"/>
        <v>0</v>
      </c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</row>
    <row r="118" spans="1:256" s="201" customFormat="1" ht="14.25" x14ac:dyDescent="0.2">
      <c r="A118" s="10">
        <v>2779</v>
      </c>
      <c r="B118" s="11" t="s">
        <v>355</v>
      </c>
      <c r="C118" s="105" t="s">
        <v>356</v>
      </c>
      <c r="D118" s="11" t="s">
        <v>147</v>
      </c>
      <c r="E118" s="12">
        <v>11679</v>
      </c>
      <c r="F118" s="202">
        <v>27</v>
      </c>
      <c r="G118" s="11">
        <v>25000</v>
      </c>
      <c r="H118" s="116">
        <v>0</v>
      </c>
      <c r="I118" s="192"/>
      <c r="J118" s="204"/>
      <c r="K118" s="193"/>
      <c r="L118" s="193"/>
      <c r="M118" s="193"/>
      <c r="N118" s="203">
        <f t="shared" si="28"/>
        <v>25000</v>
      </c>
      <c r="O118" s="203">
        <f t="shared" si="29"/>
        <v>25000</v>
      </c>
      <c r="P118" s="203">
        <f t="shared" si="30"/>
        <v>25000</v>
      </c>
      <c r="Q118" s="214"/>
      <c r="R118" s="215"/>
      <c r="S118" s="218">
        <v>45649</v>
      </c>
      <c r="T118" s="205"/>
      <c r="U118" s="205"/>
      <c r="V118" s="216"/>
      <c r="W118" s="212"/>
      <c r="X118" s="10">
        <v>7</v>
      </c>
      <c r="Y118" s="10">
        <v>7</v>
      </c>
      <c r="Z118" s="213">
        <f t="shared" si="31"/>
        <v>25000</v>
      </c>
      <c r="AA118" s="62"/>
      <c r="AB118" s="62"/>
      <c r="AC118" s="62"/>
      <c r="AD118" s="62"/>
      <c r="AE118" s="62"/>
      <c r="AF118" s="63"/>
      <c r="AG118" s="64"/>
      <c r="AH118" s="6">
        <v>1</v>
      </c>
      <c r="AI118">
        <f t="shared" si="32"/>
        <v>25</v>
      </c>
      <c r="AJ118">
        <f t="shared" si="33"/>
        <v>25</v>
      </c>
      <c r="AK118">
        <f t="shared" si="34"/>
        <v>0</v>
      </c>
      <c r="AL118">
        <f t="shared" si="35"/>
        <v>0</v>
      </c>
      <c r="AM118">
        <f t="shared" si="36"/>
        <v>0</v>
      </c>
      <c r="AN118">
        <f t="shared" si="37"/>
        <v>0</v>
      </c>
      <c r="AO118">
        <f t="shared" si="38"/>
        <v>0</v>
      </c>
      <c r="AP118">
        <f t="shared" si="39"/>
        <v>0</v>
      </c>
      <c r="AQ118">
        <f t="shared" si="40"/>
        <v>0</v>
      </c>
      <c r="AR118">
        <f t="shared" si="41"/>
        <v>0</v>
      </c>
      <c r="AS118">
        <f t="shared" si="42"/>
        <v>0</v>
      </c>
      <c r="AT118">
        <f t="shared" si="43"/>
        <v>0</v>
      </c>
      <c r="AU118">
        <f t="shared" si="44"/>
        <v>1</v>
      </c>
      <c r="AV118">
        <f t="shared" si="45"/>
        <v>1</v>
      </c>
      <c r="AW118">
        <f t="shared" si="46"/>
        <v>1</v>
      </c>
      <c r="AX118">
        <f t="shared" si="47"/>
        <v>1</v>
      </c>
      <c r="AY118">
        <f t="shared" si="48"/>
        <v>25000</v>
      </c>
      <c r="AZ118">
        <f t="shared" si="49"/>
        <v>25000</v>
      </c>
      <c r="BA118">
        <f t="shared" si="50"/>
        <v>0</v>
      </c>
      <c r="BB118">
        <f t="shared" si="51"/>
        <v>0</v>
      </c>
      <c r="BC118">
        <f t="shared" si="52"/>
        <v>0</v>
      </c>
      <c r="BD118">
        <f t="shared" si="53"/>
        <v>0</v>
      </c>
      <c r="BE118">
        <f t="shared" si="54"/>
        <v>0</v>
      </c>
      <c r="BF118">
        <f t="shared" si="55"/>
        <v>0</v>
      </c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</row>
    <row r="119" spans="1:256" s="201" customFormat="1" ht="14.25" x14ac:dyDescent="0.2">
      <c r="A119" s="10">
        <v>2785</v>
      </c>
      <c r="B119" s="11" t="s">
        <v>630</v>
      </c>
      <c r="C119" s="105" t="s">
        <v>631</v>
      </c>
      <c r="D119" s="11" t="s">
        <v>106</v>
      </c>
      <c r="E119" s="12">
        <v>11687</v>
      </c>
      <c r="F119" s="202">
        <v>27</v>
      </c>
      <c r="G119" s="11">
        <v>60000</v>
      </c>
      <c r="H119" s="116">
        <v>0</v>
      </c>
      <c r="I119" s="192"/>
      <c r="J119" s="204"/>
      <c r="K119" s="193"/>
      <c r="L119" s="193"/>
      <c r="M119" s="193"/>
      <c r="N119" s="203">
        <f t="shared" si="28"/>
        <v>60000</v>
      </c>
      <c r="O119" s="203">
        <f t="shared" si="29"/>
        <v>60000</v>
      </c>
      <c r="P119" s="203">
        <f t="shared" si="30"/>
        <v>60000</v>
      </c>
      <c r="Q119" s="214"/>
      <c r="R119" s="215"/>
      <c r="S119" s="218">
        <v>45647</v>
      </c>
      <c r="T119" s="205"/>
      <c r="U119" s="205"/>
      <c r="V119" s="216"/>
      <c r="W119" s="212"/>
      <c r="X119" s="10">
        <v>7</v>
      </c>
      <c r="Y119" s="10">
        <v>7</v>
      </c>
      <c r="Z119" s="213">
        <f t="shared" si="31"/>
        <v>60000</v>
      </c>
      <c r="AA119" s="62"/>
      <c r="AB119" s="62"/>
      <c r="AC119" s="62"/>
      <c r="AD119" s="62"/>
      <c r="AE119" s="62"/>
      <c r="AF119" s="63"/>
      <c r="AG119" s="64"/>
      <c r="AH119" s="6">
        <v>1</v>
      </c>
      <c r="AI119">
        <f t="shared" si="32"/>
        <v>25</v>
      </c>
      <c r="AJ119">
        <f t="shared" si="33"/>
        <v>25</v>
      </c>
      <c r="AK119">
        <f t="shared" si="34"/>
        <v>0</v>
      </c>
      <c r="AL119">
        <f t="shared" si="35"/>
        <v>0</v>
      </c>
      <c r="AM119">
        <f t="shared" si="36"/>
        <v>0</v>
      </c>
      <c r="AN119">
        <f t="shared" si="37"/>
        <v>0</v>
      </c>
      <c r="AO119">
        <f t="shared" si="38"/>
        <v>0</v>
      </c>
      <c r="AP119">
        <f t="shared" si="39"/>
        <v>0</v>
      </c>
      <c r="AQ119">
        <f t="shared" si="40"/>
        <v>0</v>
      </c>
      <c r="AR119">
        <f t="shared" si="41"/>
        <v>0</v>
      </c>
      <c r="AS119">
        <f t="shared" si="42"/>
        <v>0</v>
      </c>
      <c r="AT119">
        <f t="shared" si="43"/>
        <v>0</v>
      </c>
      <c r="AU119">
        <f t="shared" si="44"/>
        <v>1</v>
      </c>
      <c r="AV119">
        <f t="shared" si="45"/>
        <v>1</v>
      </c>
      <c r="AW119">
        <f t="shared" si="46"/>
        <v>1</v>
      </c>
      <c r="AX119">
        <f t="shared" si="47"/>
        <v>1</v>
      </c>
      <c r="AY119">
        <f t="shared" si="48"/>
        <v>60000</v>
      </c>
      <c r="AZ119">
        <f t="shared" si="49"/>
        <v>60000</v>
      </c>
      <c r="BA119">
        <f t="shared" si="50"/>
        <v>0</v>
      </c>
      <c r="BB119">
        <f t="shared" si="51"/>
        <v>0</v>
      </c>
      <c r="BC119">
        <f t="shared" si="52"/>
        <v>0</v>
      </c>
      <c r="BD119">
        <f t="shared" si="53"/>
        <v>0</v>
      </c>
      <c r="BE119">
        <f t="shared" si="54"/>
        <v>0</v>
      </c>
      <c r="BF119">
        <f t="shared" si="55"/>
        <v>0</v>
      </c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</row>
    <row r="120" spans="1:256" s="201" customFormat="1" ht="14.25" x14ac:dyDescent="0.2">
      <c r="A120" s="10">
        <v>2788</v>
      </c>
      <c r="B120" s="11" t="s">
        <v>632</v>
      </c>
      <c r="C120" s="105" t="s">
        <v>633</v>
      </c>
      <c r="D120" s="11" t="s">
        <v>105</v>
      </c>
      <c r="E120" s="12">
        <v>3833</v>
      </c>
      <c r="F120" s="202">
        <v>27</v>
      </c>
      <c r="G120" s="11">
        <v>60000</v>
      </c>
      <c r="H120" s="116">
        <v>0</v>
      </c>
      <c r="I120" s="192"/>
      <c r="J120" s="204"/>
      <c r="K120" s="193"/>
      <c r="L120" s="193"/>
      <c r="M120" s="193"/>
      <c r="N120" s="203">
        <f t="shared" si="28"/>
        <v>60000</v>
      </c>
      <c r="O120" s="203">
        <f t="shared" si="29"/>
        <v>60000</v>
      </c>
      <c r="P120" s="203">
        <f t="shared" si="30"/>
        <v>60000</v>
      </c>
      <c r="Q120" s="214"/>
      <c r="R120" s="215"/>
      <c r="S120" s="218">
        <v>45641</v>
      </c>
      <c r="T120" s="205"/>
      <c r="U120" s="205"/>
      <c r="V120" s="216"/>
      <c r="W120" s="212"/>
      <c r="X120" s="10">
        <v>7</v>
      </c>
      <c r="Y120" s="10">
        <v>7</v>
      </c>
      <c r="Z120" s="213">
        <f t="shared" si="31"/>
        <v>60000</v>
      </c>
      <c r="AA120" s="62"/>
      <c r="AB120" s="62"/>
      <c r="AC120" s="62"/>
      <c r="AD120" s="62"/>
      <c r="AE120" s="62"/>
      <c r="AF120" s="63"/>
      <c r="AG120" s="64"/>
      <c r="AH120" s="6">
        <v>1</v>
      </c>
      <c r="AI120">
        <f t="shared" si="32"/>
        <v>25</v>
      </c>
      <c r="AJ120">
        <f t="shared" si="33"/>
        <v>25</v>
      </c>
      <c r="AK120">
        <f t="shared" si="34"/>
        <v>0</v>
      </c>
      <c r="AL120">
        <f t="shared" si="35"/>
        <v>0</v>
      </c>
      <c r="AM120">
        <f t="shared" si="36"/>
        <v>0</v>
      </c>
      <c r="AN120">
        <f t="shared" si="37"/>
        <v>0</v>
      </c>
      <c r="AO120">
        <f t="shared" si="38"/>
        <v>0</v>
      </c>
      <c r="AP120">
        <f t="shared" si="39"/>
        <v>0</v>
      </c>
      <c r="AQ120">
        <f t="shared" si="40"/>
        <v>0</v>
      </c>
      <c r="AR120">
        <f t="shared" si="41"/>
        <v>0</v>
      </c>
      <c r="AS120">
        <f t="shared" si="42"/>
        <v>0</v>
      </c>
      <c r="AT120">
        <f t="shared" si="43"/>
        <v>0</v>
      </c>
      <c r="AU120">
        <f t="shared" si="44"/>
        <v>1</v>
      </c>
      <c r="AV120">
        <f t="shared" si="45"/>
        <v>1</v>
      </c>
      <c r="AW120">
        <f t="shared" si="46"/>
        <v>1</v>
      </c>
      <c r="AX120">
        <f t="shared" si="47"/>
        <v>1</v>
      </c>
      <c r="AY120">
        <f t="shared" si="48"/>
        <v>60000</v>
      </c>
      <c r="AZ120">
        <f t="shared" si="49"/>
        <v>60000</v>
      </c>
      <c r="BA120">
        <f t="shared" si="50"/>
        <v>0</v>
      </c>
      <c r="BB120">
        <f t="shared" si="51"/>
        <v>0</v>
      </c>
      <c r="BC120">
        <f t="shared" si="52"/>
        <v>0</v>
      </c>
      <c r="BD120">
        <f t="shared" si="53"/>
        <v>0</v>
      </c>
      <c r="BE120">
        <f t="shared" si="54"/>
        <v>0</v>
      </c>
      <c r="BF120">
        <f t="shared" si="55"/>
        <v>0</v>
      </c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</row>
    <row r="121" spans="1:256" s="201" customFormat="1" ht="14.25" x14ac:dyDescent="0.2">
      <c r="A121" s="10">
        <v>2790</v>
      </c>
      <c r="B121" s="11" t="s">
        <v>357</v>
      </c>
      <c r="C121" s="105" t="s">
        <v>358</v>
      </c>
      <c r="D121" s="11" t="s">
        <v>105</v>
      </c>
      <c r="E121" s="12">
        <v>11692</v>
      </c>
      <c r="F121" s="202">
        <v>27</v>
      </c>
      <c r="G121" s="11">
        <v>25000</v>
      </c>
      <c r="H121" s="116">
        <v>0</v>
      </c>
      <c r="I121" s="192"/>
      <c r="J121" s="204"/>
      <c r="K121" s="193"/>
      <c r="L121" s="193"/>
      <c r="M121" s="193"/>
      <c r="N121" s="203">
        <f t="shared" si="28"/>
        <v>25000</v>
      </c>
      <c r="O121" s="203">
        <f t="shared" si="29"/>
        <v>25000</v>
      </c>
      <c r="P121" s="203">
        <f t="shared" si="30"/>
        <v>25000</v>
      </c>
      <c r="Q121" s="214"/>
      <c r="R121" s="215"/>
      <c r="S121" s="218">
        <v>45636</v>
      </c>
      <c r="T121" s="205"/>
      <c r="U121" s="205"/>
      <c r="V121" s="216"/>
      <c r="W121" s="212"/>
      <c r="X121" s="10">
        <v>7</v>
      </c>
      <c r="Y121" s="10">
        <v>7</v>
      </c>
      <c r="Z121" s="213">
        <f t="shared" si="31"/>
        <v>25000</v>
      </c>
      <c r="AA121" s="62"/>
      <c r="AB121" s="62"/>
      <c r="AC121" s="62"/>
      <c r="AD121" s="62"/>
      <c r="AE121" s="62"/>
      <c r="AF121" s="63"/>
      <c r="AG121" s="64"/>
      <c r="AH121" s="6">
        <v>1</v>
      </c>
      <c r="AI121">
        <f t="shared" si="32"/>
        <v>25</v>
      </c>
      <c r="AJ121">
        <f t="shared" si="33"/>
        <v>25</v>
      </c>
      <c r="AK121">
        <f t="shared" si="34"/>
        <v>0</v>
      </c>
      <c r="AL121">
        <f t="shared" si="35"/>
        <v>0</v>
      </c>
      <c r="AM121">
        <f t="shared" si="36"/>
        <v>0</v>
      </c>
      <c r="AN121">
        <f t="shared" si="37"/>
        <v>0</v>
      </c>
      <c r="AO121">
        <f t="shared" si="38"/>
        <v>0</v>
      </c>
      <c r="AP121">
        <f t="shared" si="39"/>
        <v>0</v>
      </c>
      <c r="AQ121">
        <f t="shared" si="40"/>
        <v>0</v>
      </c>
      <c r="AR121">
        <f t="shared" si="41"/>
        <v>0</v>
      </c>
      <c r="AS121">
        <f t="shared" si="42"/>
        <v>0</v>
      </c>
      <c r="AT121">
        <f t="shared" si="43"/>
        <v>0</v>
      </c>
      <c r="AU121">
        <f t="shared" si="44"/>
        <v>1</v>
      </c>
      <c r="AV121">
        <f t="shared" si="45"/>
        <v>1</v>
      </c>
      <c r="AW121">
        <f t="shared" si="46"/>
        <v>1</v>
      </c>
      <c r="AX121">
        <f t="shared" si="47"/>
        <v>1</v>
      </c>
      <c r="AY121">
        <f t="shared" si="48"/>
        <v>25000</v>
      </c>
      <c r="AZ121">
        <f t="shared" si="49"/>
        <v>25000</v>
      </c>
      <c r="BA121">
        <f t="shared" si="50"/>
        <v>0</v>
      </c>
      <c r="BB121">
        <f t="shared" si="51"/>
        <v>0</v>
      </c>
      <c r="BC121">
        <f t="shared" si="52"/>
        <v>0</v>
      </c>
      <c r="BD121">
        <f t="shared" si="53"/>
        <v>0</v>
      </c>
      <c r="BE121">
        <f t="shared" si="54"/>
        <v>0</v>
      </c>
      <c r="BF121">
        <f t="shared" si="55"/>
        <v>0</v>
      </c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</row>
    <row r="122" spans="1:256" s="201" customFormat="1" ht="14.25" x14ac:dyDescent="0.2">
      <c r="A122" s="10">
        <v>2792</v>
      </c>
      <c r="B122" s="11" t="s">
        <v>359</v>
      </c>
      <c r="C122" s="105" t="s">
        <v>360</v>
      </c>
      <c r="D122" s="11" t="s">
        <v>105</v>
      </c>
      <c r="E122" s="12">
        <v>11695</v>
      </c>
      <c r="F122" s="202">
        <v>27</v>
      </c>
      <c r="G122" s="11">
        <v>40000</v>
      </c>
      <c r="H122" s="116">
        <v>20000</v>
      </c>
      <c r="I122" s="192"/>
      <c r="J122" s="204"/>
      <c r="K122" s="193"/>
      <c r="L122" s="193"/>
      <c r="M122" s="193"/>
      <c r="N122" s="203">
        <f t="shared" si="28"/>
        <v>60000</v>
      </c>
      <c r="O122" s="203">
        <f t="shared" si="29"/>
        <v>60000</v>
      </c>
      <c r="P122" s="203">
        <f t="shared" si="30"/>
        <v>60000</v>
      </c>
      <c r="Q122" s="214"/>
      <c r="R122" s="215"/>
      <c r="S122" s="218">
        <v>45656</v>
      </c>
      <c r="T122" s="205"/>
      <c r="U122" s="205"/>
      <c r="V122" s="216"/>
      <c r="W122" s="212"/>
      <c r="X122" s="10">
        <v>7</v>
      </c>
      <c r="Y122" s="10">
        <v>7</v>
      </c>
      <c r="Z122" s="213">
        <f t="shared" si="31"/>
        <v>60000</v>
      </c>
      <c r="AA122" s="62"/>
      <c r="AB122" s="62"/>
      <c r="AC122" s="62"/>
      <c r="AD122" s="62"/>
      <c r="AE122" s="62"/>
      <c r="AF122" s="63"/>
      <c r="AG122" s="64"/>
      <c r="AH122" s="6">
        <v>1</v>
      </c>
      <c r="AI122">
        <f t="shared" si="32"/>
        <v>25</v>
      </c>
      <c r="AJ122">
        <f t="shared" si="33"/>
        <v>25</v>
      </c>
      <c r="AK122">
        <f t="shared" si="34"/>
        <v>0</v>
      </c>
      <c r="AL122">
        <f t="shared" si="35"/>
        <v>0</v>
      </c>
      <c r="AM122">
        <f t="shared" si="36"/>
        <v>0</v>
      </c>
      <c r="AN122">
        <f t="shared" si="37"/>
        <v>0</v>
      </c>
      <c r="AO122">
        <f t="shared" si="38"/>
        <v>0</v>
      </c>
      <c r="AP122">
        <f t="shared" si="39"/>
        <v>0</v>
      </c>
      <c r="AQ122">
        <f t="shared" si="40"/>
        <v>0</v>
      </c>
      <c r="AR122">
        <f t="shared" si="41"/>
        <v>0</v>
      </c>
      <c r="AS122">
        <f t="shared" si="42"/>
        <v>0</v>
      </c>
      <c r="AT122">
        <f t="shared" si="43"/>
        <v>0</v>
      </c>
      <c r="AU122">
        <f t="shared" si="44"/>
        <v>1</v>
      </c>
      <c r="AV122">
        <f t="shared" si="45"/>
        <v>1</v>
      </c>
      <c r="AW122">
        <f t="shared" si="46"/>
        <v>1</v>
      </c>
      <c r="AX122">
        <f t="shared" si="47"/>
        <v>1</v>
      </c>
      <c r="AY122">
        <f t="shared" si="48"/>
        <v>60000</v>
      </c>
      <c r="AZ122">
        <f t="shared" si="49"/>
        <v>60000</v>
      </c>
      <c r="BA122">
        <f t="shared" si="50"/>
        <v>0</v>
      </c>
      <c r="BB122">
        <f t="shared" si="51"/>
        <v>0</v>
      </c>
      <c r="BC122">
        <f t="shared" si="52"/>
        <v>0</v>
      </c>
      <c r="BD122">
        <f t="shared" si="53"/>
        <v>0</v>
      </c>
      <c r="BE122">
        <f t="shared" si="54"/>
        <v>0</v>
      </c>
      <c r="BF122">
        <f t="shared" si="55"/>
        <v>0</v>
      </c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</row>
    <row r="123" spans="1:256" s="201" customFormat="1" ht="14.25" x14ac:dyDescent="0.2">
      <c r="A123" s="10">
        <v>2802</v>
      </c>
      <c r="B123" s="11" t="s">
        <v>634</v>
      </c>
      <c r="C123" s="105" t="s">
        <v>635</v>
      </c>
      <c r="D123" s="11" t="s">
        <v>636</v>
      </c>
      <c r="E123" s="12">
        <v>11702</v>
      </c>
      <c r="F123" s="202">
        <v>26</v>
      </c>
      <c r="G123" s="11">
        <v>60000</v>
      </c>
      <c r="H123" s="116">
        <v>0</v>
      </c>
      <c r="I123" s="192"/>
      <c r="J123" s="204"/>
      <c r="K123" s="193"/>
      <c r="L123" s="193"/>
      <c r="M123" s="193"/>
      <c r="N123" s="203">
        <f t="shared" si="28"/>
        <v>60000</v>
      </c>
      <c r="O123" s="203">
        <f t="shared" si="29"/>
        <v>60000</v>
      </c>
      <c r="P123" s="203">
        <f t="shared" si="30"/>
        <v>60000</v>
      </c>
      <c r="Q123" s="214"/>
      <c r="R123" s="215"/>
      <c r="S123" s="218">
        <v>45638</v>
      </c>
      <c r="T123" s="205"/>
      <c r="U123" s="205"/>
      <c r="V123" s="216"/>
      <c r="W123" s="212"/>
      <c r="X123" s="10">
        <v>7</v>
      </c>
      <c r="Y123" s="10">
        <v>7</v>
      </c>
      <c r="Z123" s="213">
        <f t="shared" si="31"/>
        <v>60000</v>
      </c>
      <c r="AA123" s="62"/>
      <c r="AB123" s="62"/>
      <c r="AC123" s="62"/>
      <c r="AD123" s="62"/>
      <c r="AE123" s="62"/>
      <c r="AF123" s="63"/>
      <c r="AG123" s="64"/>
      <c r="AH123" s="6">
        <v>1</v>
      </c>
      <c r="AI123">
        <f t="shared" si="32"/>
        <v>25</v>
      </c>
      <c r="AJ123">
        <f t="shared" si="33"/>
        <v>25</v>
      </c>
      <c r="AK123">
        <f t="shared" si="34"/>
        <v>0</v>
      </c>
      <c r="AL123">
        <f t="shared" si="35"/>
        <v>0</v>
      </c>
      <c r="AM123">
        <f t="shared" si="36"/>
        <v>0</v>
      </c>
      <c r="AN123">
        <f t="shared" si="37"/>
        <v>0</v>
      </c>
      <c r="AO123">
        <f t="shared" si="38"/>
        <v>0</v>
      </c>
      <c r="AP123">
        <f t="shared" si="39"/>
        <v>0</v>
      </c>
      <c r="AQ123">
        <f t="shared" si="40"/>
        <v>0</v>
      </c>
      <c r="AR123">
        <f t="shared" si="41"/>
        <v>0</v>
      </c>
      <c r="AS123">
        <f t="shared" si="42"/>
        <v>0</v>
      </c>
      <c r="AT123">
        <f t="shared" si="43"/>
        <v>0</v>
      </c>
      <c r="AU123">
        <f t="shared" si="44"/>
        <v>1</v>
      </c>
      <c r="AV123">
        <f t="shared" si="45"/>
        <v>1</v>
      </c>
      <c r="AW123">
        <f t="shared" si="46"/>
        <v>1</v>
      </c>
      <c r="AX123">
        <f t="shared" si="47"/>
        <v>1</v>
      </c>
      <c r="AY123">
        <f t="shared" si="48"/>
        <v>60000</v>
      </c>
      <c r="AZ123">
        <f t="shared" si="49"/>
        <v>60000</v>
      </c>
      <c r="BA123">
        <f t="shared" si="50"/>
        <v>0</v>
      </c>
      <c r="BB123">
        <f t="shared" si="51"/>
        <v>0</v>
      </c>
      <c r="BC123">
        <f t="shared" si="52"/>
        <v>0</v>
      </c>
      <c r="BD123">
        <f t="shared" si="53"/>
        <v>0</v>
      </c>
      <c r="BE123">
        <f t="shared" si="54"/>
        <v>0</v>
      </c>
      <c r="BF123">
        <f t="shared" si="55"/>
        <v>0</v>
      </c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</row>
    <row r="124" spans="1:256" s="201" customFormat="1" ht="14.25" x14ac:dyDescent="0.2">
      <c r="A124" s="10">
        <v>2808</v>
      </c>
      <c r="B124" s="11" t="s">
        <v>637</v>
      </c>
      <c r="C124" s="105" t="s">
        <v>638</v>
      </c>
      <c r="D124" s="11" t="s">
        <v>259</v>
      </c>
      <c r="E124" s="12">
        <v>11712</v>
      </c>
      <c r="F124" s="202">
        <v>26</v>
      </c>
      <c r="G124" s="11">
        <v>60000</v>
      </c>
      <c r="H124" s="116">
        <v>0</v>
      </c>
      <c r="I124" s="192"/>
      <c r="J124" s="204"/>
      <c r="K124" s="193"/>
      <c r="L124" s="193"/>
      <c r="M124" s="193"/>
      <c r="N124" s="203">
        <f t="shared" si="28"/>
        <v>60000</v>
      </c>
      <c r="O124" s="203">
        <f t="shared" si="29"/>
        <v>60000</v>
      </c>
      <c r="P124" s="203">
        <f t="shared" si="30"/>
        <v>60000</v>
      </c>
      <c r="Q124" s="214">
        <v>45665</v>
      </c>
      <c r="R124" s="215"/>
      <c r="S124" s="218">
        <v>45636</v>
      </c>
      <c r="T124" s="205"/>
      <c r="U124" s="205"/>
      <c r="V124" s="216" t="s">
        <v>1131</v>
      </c>
      <c r="W124" s="212"/>
      <c r="X124" s="10">
        <v>7</v>
      </c>
      <c r="Y124" s="10">
        <v>7</v>
      </c>
      <c r="Z124" s="213">
        <f t="shared" si="31"/>
        <v>60000</v>
      </c>
      <c r="AA124" s="62"/>
      <c r="AB124" s="62"/>
      <c r="AC124" s="62"/>
      <c r="AD124" s="62"/>
      <c r="AE124" s="62"/>
      <c r="AF124" s="63"/>
      <c r="AG124" s="64"/>
      <c r="AH124" s="6">
        <v>1</v>
      </c>
      <c r="AI124">
        <f t="shared" si="32"/>
        <v>25</v>
      </c>
      <c r="AJ124">
        <f t="shared" si="33"/>
        <v>25</v>
      </c>
      <c r="AK124">
        <f t="shared" si="34"/>
        <v>0</v>
      </c>
      <c r="AL124">
        <f t="shared" si="35"/>
        <v>0</v>
      </c>
      <c r="AM124">
        <f t="shared" si="36"/>
        <v>0</v>
      </c>
      <c r="AN124">
        <f t="shared" si="37"/>
        <v>0</v>
      </c>
      <c r="AO124">
        <f t="shared" si="38"/>
        <v>0</v>
      </c>
      <c r="AP124">
        <f t="shared" si="39"/>
        <v>0</v>
      </c>
      <c r="AQ124">
        <f t="shared" si="40"/>
        <v>0</v>
      </c>
      <c r="AR124">
        <f t="shared" si="41"/>
        <v>0</v>
      </c>
      <c r="AS124">
        <f t="shared" si="42"/>
        <v>0</v>
      </c>
      <c r="AT124">
        <f t="shared" si="43"/>
        <v>0</v>
      </c>
      <c r="AU124">
        <f t="shared" si="44"/>
        <v>1</v>
      </c>
      <c r="AV124">
        <f t="shared" si="45"/>
        <v>1</v>
      </c>
      <c r="AW124">
        <f t="shared" si="46"/>
        <v>1</v>
      </c>
      <c r="AX124">
        <f t="shared" si="47"/>
        <v>1</v>
      </c>
      <c r="AY124">
        <f t="shared" si="48"/>
        <v>60000</v>
      </c>
      <c r="AZ124">
        <f t="shared" si="49"/>
        <v>60000</v>
      </c>
      <c r="BA124">
        <f t="shared" si="50"/>
        <v>0</v>
      </c>
      <c r="BB124">
        <f t="shared" si="51"/>
        <v>0</v>
      </c>
      <c r="BC124">
        <f t="shared" si="52"/>
        <v>0</v>
      </c>
      <c r="BD124">
        <f t="shared" si="53"/>
        <v>0</v>
      </c>
      <c r="BE124">
        <f t="shared" si="54"/>
        <v>0</v>
      </c>
      <c r="BF124">
        <f t="shared" si="55"/>
        <v>0</v>
      </c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</row>
    <row r="125" spans="1:256" s="201" customFormat="1" ht="14.25" x14ac:dyDescent="0.2">
      <c r="A125" s="10">
        <v>2816</v>
      </c>
      <c r="B125" s="11" t="s">
        <v>639</v>
      </c>
      <c r="C125" s="105" t="s">
        <v>640</v>
      </c>
      <c r="D125" s="11" t="s">
        <v>160</v>
      </c>
      <c r="E125" s="12">
        <v>11701</v>
      </c>
      <c r="F125" s="202">
        <v>25</v>
      </c>
      <c r="G125" s="11">
        <v>60000</v>
      </c>
      <c r="H125" s="116">
        <v>0</v>
      </c>
      <c r="I125" s="192"/>
      <c r="J125" s="204"/>
      <c r="K125" s="193"/>
      <c r="L125" s="193"/>
      <c r="M125" s="193"/>
      <c r="N125" s="203">
        <f t="shared" si="28"/>
        <v>60000</v>
      </c>
      <c r="O125" s="203">
        <f t="shared" si="29"/>
        <v>60000</v>
      </c>
      <c r="P125" s="203">
        <f t="shared" si="30"/>
        <v>60000</v>
      </c>
      <c r="Q125" s="214"/>
      <c r="R125" s="215"/>
      <c r="S125" s="218">
        <v>45636</v>
      </c>
      <c r="T125" s="205"/>
      <c r="U125" s="205"/>
      <c r="V125" s="216"/>
      <c r="W125" s="212"/>
      <c r="X125" s="10">
        <v>7</v>
      </c>
      <c r="Y125" s="10">
        <v>7</v>
      </c>
      <c r="Z125" s="213">
        <f t="shared" si="31"/>
        <v>60000</v>
      </c>
      <c r="AA125" s="62"/>
      <c r="AB125" s="62"/>
      <c r="AC125" s="62"/>
      <c r="AD125" s="62"/>
      <c r="AE125" s="62"/>
      <c r="AF125" s="63"/>
      <c r="AG125" s="64"/>
      <c r="AH125" s="6">
        <v>1</v>
      </c>
      <c r="AI125">
        <f t="shared" si="32"/>
        <v>25</v>
      </c>
      <c r="AJ125">
        <f t="shared" si="33"/>
        <v>25</v>
      </c>
      <c r="AK125">
        <f t="shared" si="34"/>
        <v>0</v>
      </c>
      <c r="AL125">
        <f t="shared" si="35"/>
        <v>0</v>
      </c>
      <c r="AM125">
        <f t="shared" si="36"/>
        <v>0</v>
      </c>
      <c r="AN125">
        <f t="shared" si="37"/>
        <v>0</v>
      </c>
      <c r="AO125">
        <f t="shared" si="38"/>
        <v>0</v>
      </c>
      <c r="AP125">
        <f t="shared" si="39"/>
        <v>0</v>
      </c>
      <c r="AQ125">
        <f t="shared" si="40"/>
        <v>0</v>
      </c>
      <c r="AR125">
        <f t="shared" si="41"/>
        <v>0</v>
      </c>
      <c r="AS125">
        <f t="shared" si="42"/>
        <v>0</v>
      </c>
      <c r="AT125">
        <f t="shared" si="43"/>
        <v>0</v>
      </c>
      <c r="AU125">
        <f t="shared" si="44"/>
        <v>1</v>
      </c>
      <c r="AV125">
        <f t="shared" si="45"/>
        <v>1</v>
      </c>
      <c r="AW125">
        <f t="shared" si="46"/>
        <v>1</v>
      </c>
      <c r="AX125">
        <f t="shared" si="47"/>
        <v>1</v>
      </c>
      <c r="AY125">
        <f t="shared" si="48"/>
        <v>60000</v>
      </c>
      <c r="AZ125">
        <f t="shared" si="49"/>
        <v>60000</v>
      </c>
      <c r="BA125">
        <f t="shared" si="50"/>
        <v>0</v>
      </c>
      <c r="BB125">
        <f t="shared" si="51"/>
        <v>0</v>
      </c>
      <c r="BC125">
        <f t="shared" si="52"/>
        <v>0</v>
      </c>
      <c r="BD125">
        <f t="shared" si="53"/>
        <v>0</v>
      </c>
      <c r="BE125">
        <f t="shared" si="54"/>
        <v>0</v>
      </c>
      <c r="BF125">
        <f t="shared" si="55"/>
        <v>0</v>
      </c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</row>
    <row r="126" spans="1:256" s="201" customFormat="1" ht="14.25" x14ac:dyDescent="0.2">
      <c r="A126" s="10">
        <v>2819</v>
      </c>
      <c r="B126" s="11" t="s">
        <v>262</v>
      </c>
      <c r="C126" s="105" t="s">
        <v>263</v>
      </c>
      <c r="D126" s="11" t="s">
        <v>220</v>
      </c>
      <c r="E126" s="12">
        <v>11717</v>
      </c>
      <c r="F126" s="202">
        <v>25</v>
      </c>
      <c r="G126" s="11">
        <v>35000</v>
      </c>
      <c r="H126" s="116">
        <v>0</v>
      </c>
      <c r="I126" s="192"/>
      <c r="J126" s="204"/>
      <c r="K126" s="193"/>
      <c r="L126" s="193"/>
      <c r="M126" s="193"/>
      <c r="N126" s="203">
        <f t="shared" si="28"/>
        <v>35000</v>
      </c>
      <c r="O126" s="203">
        <f t="shared" si="29"/>
        <v>35000</v>
      </c>
      <c r="P126" s="203">
        <f t="shared" si="30"/>
        <v>35000</v>
      </c>
      <c r="Q126" s="214"/>
      <c r="R126" s="215"/>
      <c r="S126" s="218">
        <v>45646</v>
      </c>
      <c r="T126" s="205"/>
      <c r="U126" s="205"/>
      <c r="V126" s="216"/>
      <c r="W126" s="212"/>
      <c r="X126" s="10">
        <v>7</v>
      </c>
      <c r="Y126" s="10">
        <v>7</v>
      </c>
      <c r="Z126" s="213">
        <f t="shared" si="31"/>
        <v>35000</v>
      </c>
      <c r="AA126" s="62"/>
      <c r="AB126" s="62"/>
      <c r="AC126" s="62"/>
      <c r="AD126" s="62"/>
      <c r="AE126" s="62"/>
      <c r="AF126" s="63"/>
      <c r="AG126" s="64"/>
      <c r="AH126" s="6">
        <v>1</v>
      </c>
      <c r="AI126">
        <f t="shared" si="32"/>
        <v>25</v>
      </c>
      <c r="AJ126">
        <f t="shared" si="33"/>
        <v>25</v>
      </c>
      <c r="AK126">
        <f t="shared" si="34"/>
        <v>0</v>
      </c>
      <c r="AL126">
        <f t="shared" si="35"/>
        <v>0</v>
      </c>
      <c r="AM126">
        <f t="shared" si="36"/>
        <v>0</v>
      </c>
      <c r="AN126">
        <f t="shared" si="37"/>
        <v>0</v>
      </c>
      <c r="AO126">
        <f t="shared" si="38"/>
        <v>0</v>
      </c>
      <c r="AP126">
        <f t="shared" si="39"/>
        <v>0</v>
      </c>
      <c r="AQ126">
        <f t="shared" si="40"/>
        <v>0</v>
      </c>
      <c r="AR126">
        <f t="shared" si="41"/>
        <v>0</v>
      </c>
      <c r="AS126">
        <f t="shared" si="42"/>
        <v>0</v>
      </c>
      <c r="AT126">
        <f t="shared" si="43"/>
        <v>0</v>
      </c>
      <c r="AU126">
        <f t="shared" si="44"/>
        <v>1</v>
      </c>
      <c r="AV126">
        <f t="shared" si="45"/>
        <v>1</v>
      </c>
      <c r="AW126">
        <f t="shared" si="46"/>
        <v>1</v>
      </c>
      <c r="AX126">
        <f t="shared" si="47"/>
        <v>1</v>
      </c>
      <c r="AY126">
        <f t="shared" si="48"/>
        <v>35000</v>
      </c>
      <c r="AZ126">
        <f t="shared" si="49"/>
        <v>35000</v>
      </c>
      <c r="BA126">
        <f t="shared" si="50"/>
        <v>0</v>
      </c>
      <c r="BB126">
        <f t="shared" si="51"/>
        <v>0</v>
      </c>
      <c r="BC126">
        <f t="shared" si="52"/>
        <v>0</v>
      </c>
      <c r="BD126">
        <f t="shared" si="53"/>
        <v>0</v>
      </c>
      <c r="BE126">
        <f t="shared" si="54"/>
        <v>0</v>
      </c>
      <c r="BF126">
        <f t="shared" si="55"/>
        <v>0</v>
      </c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</row>
    <row r="127" spans="1:256" s="201" customFormat="1" ht="14.25" x14ac:dyDescent="0.2">
      <c r="A127" s="10">
        <v>2822</v>
      </c>
      <c r="B127" s="11" t="s">
        <v>361</v>
      </c>
      <c r="C127" s="105" t="s">
        <v>362</v>
      </c>
      <c r="D127" s="11" t="s">
        <v>105</v>
      </c>
      <c r="E127" s="12">
        <v>11724</v>
      </c>
      <c r="F127" s="202">
        <v>25</v>
      </c>
      <c r="G127" s="11">
        <v>70000</v>
      </c>
      <c r="H127" s="116">
        <v>0</v>
      </c>
      <c r="I127" s="192"/>
      <c r="J127" s="204"/>
      <c r="K127" s="193"/>
      <c r="L127" s="193"/>
      <c r="M127" s="193"/>
      <c r="N127" s="203">
        <f t="shared" si="28"/>
        <v>70000</v>
      </c>
      <c r="O127" s="203">
        <f t="shared" si="29"/>
        <v>70000</v>
      </c>
      <c r="P127" s="203">
        <f t="shared" si="30"/>
        <v>70000</v>
      </c>
      <c r="Q127" s="214"/>
      <c r="R127" s="215"/>
      <c r="S127" s="218">
        <v>45635</v>
      </c>
      <c r="T127" s="205"/>
      <c r="U127" s="205"/>
      <c r="V127" s="216"/>
      <c r="W127" s="212"/>
      <c r="X127" s="10">
        <v>7</v>
      </c>
      <c r="Y127" s="10">
        <v>7</v>
      </c>
      <c r="Z127" s="213">
        <f t="shared" si="31"/>
        <v>70000</v>
      </c>
      <c r="AA127" s="62"/>
      <c r="AB127" s="62"/>
      <c r="AC127" s="62"/>
      <c r="AD127" s="62"/>
      <c r="AE127" s="62"/>
      <c r="AF127" s="63"/>
      <c r="AG127" s="64"/>
      <c r="AH127" s="6">
        <v>1</v>
      </c>
      <c r="AI127">
        <f t="shared" si="32"/>
        <v>25</v>
      </c>
      <c r="AJ127">
        <f t="shared" si="33"/>
        <v>25</v>
      </c>
      <c r="AK127">
        <f t="shared" si="34"/>
        <v>0</v>
      </c>
      <c r="AL127">
        <f t="shared" si="35"/>
        <v>0</v>
      </c>
      <c r="AM127">
        <f t="shared" si="36"/>
        <v>0</v>
      </c>
      <c r="AN127">
        <f t="shared" si="37"/>
        <v>0</v>
      </c>
      <c r="AO127">
        <f t="shared" si="38"/>
        <v>0</v>
      </c>
      <c r="AP127">
        <f t="shared" si="39"/>
        <v>0</v>
      </c>
      <c r="AQ127">
        <f t="shared" si="40"/>
        <v>0</v>
      </c>
      <c r="AR127">
        <f t="shared" si="41"/>
        <v>0</v>
      </c>
      <c r="AS127">
        <f t="shared" si="42"/>
        <v>0</v>
      </c>
      <c r="AT127">
        <f t="shared" si="43"/>
        <v>0</v>
      </c>
      <c r="AU127">
        <f t="shared" si="44"/>
        <v>1</v>
      </c>
      <c r="AV127">
        <f t="shared" si="45"/>
        <v>1</v>
      </c>
      <c r="AW127">
        <f t="shared" si="46"/>
        <v>1</v>
      </c>
      <c r="AX127">
        <f t="shared" si="47"/>
        <v>1</v>
      </c>
      <c r="AY127">
        <f t="shared" si="48"/>
        <v>70000</v>
      </c>
      <c r="AZ127">
        <f t="shared" si="49"/>
        <v>70000</v>
      </c>
      <c r="BA127">
        <f t="shared" si="50"/>
        <v>0</v>
      </c>
      <c r="BB127">
        <f t="shared" si="51"/>
        <v>0</v>
      </c>
      <c r="BC127">
        <f t="shared" si="52"/>
        <v>0</v>
      </c>
      <c r="BD127">
        <f t="shared" si="53"/>
        <v>0</v>
      </c>
      <c r="BE127">
        <f t="shared" si="54"/>
        <v>0</v>
      </c>
      <c r="BF127">
        <f t="shared" si="55"/>
        <v>0</v>
      </c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</row>
    <row r="128" spans="1:256" s="201" customFormat="1" ht="14.25" x14ac:dyDescent="0.2">
      <c r="A128" s="10">
        <v>2824</v>
      </c>
      <c r="B128" s="11" t="s">
        <v>641</v>
      </c>
      <c r="C128" s="105" t="s">
        <v>642</v>
      </c>
      <c r="D128" s="11" t="s">
        <v>620</v>
      </c>
      <c r="E128" s="12">
        <v>11726</v>
      </c>
      <c r="F128" s="202">
        <v>25</v>
      </c>
      <c r="G128" s="11">
        <v>99000</v>
      </c>
      <c r="H128" s="116">
        <v>0</v>
      </c>
      <c r="I128" s="192"/>
      <c r="J128" s="204"/>
      <c r="K128" s="193"/>
      <c r="L128" s="193"/>
      <c r="M128" s="193"/>
      <c r="N128" s="203">
        <f t="shared" si="28"/>
        <v>99000</v>
      </c>
      <c r="O128" s="203">
        <f t="shared" si="29"/>
        <v>99000</v>
      </c>
      <c r="P128" s="203">
        <f t="shared" si="30"/>
        <v>99000</v>
      </c>
      <c r="Q128" s="214">
        <v>45660</v>
      </c>
      <c r="R128" s="215"/>
      <c r="S128" s="218">
        <v>45631</v>
      </c>
      <c r="T128" s="205"/>
      <c r="U128" s="205"/>
      <c r="V128" s="216" t="s">
        <v>1131</v>
      </c>
      <c r="W128" s="212"/>
      <c r="X128" s="10">
        <v>7</v>
      </c>
      <c r="Y128" s="10">
        <v>7</v>
      </c>
      <c r="Z128" s="213">
        <f t="shared" si="31"/>
        <v>99000</v>
      </c>
      <c r="AA128" s="62"/>
      <c r="AB128" s="62"/>
      <c r="AC128" s="62"/>
      <c r="AD128" s="62"/>
      <c r="AE128" s="62"/>
      <c r="AF128" s="63"/>
      <c r="AG128" s="64"/>
      <c r="AH128" s="6">
        <v>1</v>
      </c>
      <c r="AI128">
        <f t="shared" si="32"/>
        <v>25</v>
      </c>
      <c r="AJ128">
        <f t="shared" si="33"/>
        <v>25</v>
      </c>
      <c r="AK128">
        <f t="shared" si="34"/>
        <v>0</v>
      </c>
      <c r="AL128">
        <f t="shared" si="35"/>
        <v>0</v>
      </c>
      <c r="AM128">
        <f t="shared" si="36"/>
        <v>0</v>
      </c>
      <c r="AN128">
        <f t="shared" si="37"/>
        <v>0</v>
      </c>
      <c r="AO128">
        <f t="shared" si="38"/>
        <v>0</v>
      </c>
      <c r="AP128">
        <f t="shared" si="39"/>
        <v>0</v>
      </c>
      <c r="AQ128">
        <f t="shared" si="40"/>
        <v>0</v>
      </c>
      <c r="AR128">
        <f t="shared" si="41"/>
        <v>0</v>
      </c>
      <c r="AS128">
        <f t="shared" si="42"/>
        <v>0</v>
      </c>
      <c r="AT128">
        <f t="shared" si="43"/>
        <v>0</v>
      </c>
      <c r="AU128">
        <f t="shared" si="44"/>
        <v>1</v>
      </c>
      <c r="AV128">
        <f t="shared" si="45"/>
        <v>1</v>
      </c>
      <c r="AW128">
        <f t="shared" si="46"/>
        <v>1</v>
      </c>
      <c r="AX128">
        <f t="shared" si="47"/>
        <v>1</v>
      </c>
      <c r="AY128">
        <f t="shared" si="48"/>
        <v>99000</v>
      </c>
      <c r="AZ128">
        <f t="shared" si="49"/>
        <v>99000</v>
      </c>
      <c r="BA128">
        <f t="shared" si="50"/>
        <v>0</v>
      </c>
      <c r="BB128">
        <f t="shared" si="51"/>
        <v>0</v>
      </c>
      <c r="BC128">
        <f t="shared" si="52"/>
        <v>0</v>
      </c>
      <c r="BD128">
        <f t="shared" si="53"/>
        <v>0</v>
      </c>
      <c r="BE128">
        <f t="shared" si="54"/>
        <v>0</v>
      </c>
      <c r="BF128">
        <f t="shared" si="55"/>
        <v>0</v>
      </c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</row>
    <row r="129" spans="1:256" s="201" customFormat="1" ht="14.25" x14ac:dyDescent="0.2">
      <c r="A129" s="10">
        <v>2826</v>
      </c>
      <c r="B129" s="11" t="s">
        <v>643</v>
      </c>
      <c r="C129" s="105" t="s">
        <v>644</v>
      </c>
      <c r="D129" s="11" t="s">
        <v>620</v>
      </c>
      <c r="E129" s="12">
        <v>11728</v>
      </c>
      <c r="F129" s="202">
        <v>25</v>
      </c>
      <c r="G129" s="11">
        <v>60000</v>
      </c>
      <c r="H129" s="116">
        <v>-30000</v>
      </c>
      <c r="I129" s="192"/>
      <c r="J129" s="204"/>
      <c r="K129" s="193"/>
      <c r="L129" s="193"/>
      <c r="M129" s="193"/>
      <c r="N129" s="203">
        <f t="shared" si="28"/>
        <v>60000</v>
      </c>
      <c r="O129" s="203">
        <f t="shared" si="29"/>
        <v>30000</v>
      </c>
      <c r="P129" s="203">
        <f t="shared" si="30"/>
        <v>30000</v>
      </c>
      <c r="Q129" s="214">
        <v>45663</v>
      </c>
      <c r="R129" s="215"/>
      <c r="S129" s="218">
        <v>45631</v>
      </c>
      <c r="T129" s="205"/>
      <c r="U129" s="205"/>
      <c r="V129" s="216" t="s">
        <v>1131</v>
      </c>
      <c r="W129" s="212"/>
      <c r="X129" s="10">
        <v>7</v>
      </c>
      <c r="Y129" s="10">
        <v>7</v>
      </c>
      <c r="Z129" s="213">
        <f t="shared" si="31"/>
        <v>60000</v>
      </c>
      <c r="AA129" s="62"/>
      <c r="AB129" s="62"/>
      <c r="AC129" s="62"/>
      <c r="AD129" s="62"/>
      <c r="AE129" s="62"/>
      <c r="AF129" s="63"/>
      <c r="AG129" s="64"/>
      <c r="AH129" s="6">
        <v>1</v>
      </c>
      <c r="AI129">
        <f t="shared" si="32"/>
        <v>25</v>
      </c>
      <c r="AJ129">
        <f t="shared" si="33"/>
        <v>25</v>
      </c>
      <c r="AK129">
        <f t="shared" si="34"/>
        <v>0</v>
      </c>
      <c r="AL129">
        <f t="shared" si="35"/>
        <v>0</v>
      </c>
      <c r="AM129">
        <f t="shared" si="36"/>
        <v>0</v>
      </c>
      <c r="AN129">
        <f t="shared" si="37"/>
        <v>0</v>
      </c>
      <c r="AO129">
        <f t="shared" si="38"/>
        <v>0</v>
      </c>
      <c r="AP129">
        <f t="shared" si="39"/>
        <v>0</v>
      </c>
      <c r="AQ129">
        <f t="shared" si="40"/>
        <v>0</v>
      </c>
      <c r="AR129">
        <f t="shared" si="41"/>
        <v>0</v>
      </c>
      <c r="AS129">
        <f t="shared" si="42"/>
        <v>0</v>
      </c>
      <c r="AT129">
        <f t="shared" si="43"/>
        <v>0</v>
      </c>
      <c r="AU129">
        <f t="shared" si="44"/>
        <v>1</v>
      </c>
      <c r="AV129">
        <f t="shared" si="45"/>
        <v>1</v>
      </c>
      <c r="AW129">
        <f t="shared" si="46"/>
        <v>1</v>
      </c>
      <c r="AX129">
        <f t="shared" si="47"/>
        <v>1</v>
      </c>
      <c r="AY129">
        <f t="shared" si="48"/>
        <v>30000</v>
      </c>
      <c r="AZ129">
        <f t="shared" si="49"/>
        <v>30000</v>
      </c>
      <c r="BA129">
        <f t="shared" si="50"/>
        <v>0</v>
      </c>
      <c r="BB129">
        <f t="shared" si="51"/>
        <v>0</v>
      </c>
      <c r="BC129">
        <f t="shared" si="52"/>
        <v>0</v>
      </c>
      <c r="BD129">
        <f t="shared" si="53"/>
        <v>0</v>
      </c>
      <c r="BE129">
        <f t="shared" si="54"/>
        <v>0</v>
      </c>
      <c r="BF129">
        <f t="shared" si="55"/>
        <v>0</v>
      </c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</row>
    <row r="130" spans="1:256" s="201" customFormat="1" ht="14.25" x14ac:dyDescent="0.2">
      <c r="A130" s="10">
        <v>2829</v>
      </c>
      <c r="B130" s="11" t="s">
        <v>363</v>
      </c>
      <c r="C130" s="105" t="s">
        <v>364</v>
      </c>
      <c r="D130" s="11" t="s">
        <v>106</v>
      </c>
      <c r="E130" s="12">
        <v>11735</v>
      </c>
      <c r="F130" s="202">
        <v>25</v>
      </c>
      <c r="G130" s="11">
        <v>50000</v>
      </c>
      <c r="H130" s="116">
        <v>-76000</v>
      </c>
      <c r="I130" s="192"/>
      <c r="J130" s="204"/>
      <c r="K130" s="193"/>
      <c r="L130" s="193"/>
      <c r="M130" s="193"/>
      <c r="N130" s="203">
        <f t="shared" si="28"/>
        <v>50000</v>
      </c>
      <c r="O130" s="203">
        <f t="shared" si="29"/>
        <v>-26000</v>
      </c>
      <c r="P130" s="203">
        <f t="shared" si="30"/>
        <v>0</v>
      </c>
      <c r="Q130" s="214"/>
      <c r="R130" s="215"/>
      <c r="S130" s="218">
        <v>45657</v>
      </c>
      <c r="T130" s="205"/>
      <c r="U130" s="205"/>
      <c r="V130" s="216"/>
      <c r="W130" s="212"/>
      <c r="X130" s="10">
        <v>7</v>
      </c>
      <c r="Y130" s="10">
        <v>7</v>
      </c>
      <c r="Z130" s="213">
        <f t="shared" si="31"/>
        <v>50000</v>
      </c>
      <c r="AA130" s="62"/>
      <c r="AB130" s="62"/>
      <c r="AC130" s="62"/>
      <c r="AD130" s="62"/>
      <c r="AE130" s="62"/>
      <c r="AF130" s="63"/>
      <c r="AG130" s="64"/>
      <c r="AH130" s="6">
        <v>1</v>
      </c>
      <c r="AI130">
        <f t="shared" si="32"/>
        <v>25</v>
      </c>
      <c r="AJ130">
        <f t="shared" si="33"/>
        <v>25</v>
      </c>
      <c r="AK130">
        <f t="shared" si="34"/>
        <v>0</v>
      </c>
      <c r="AL130">
        <f t="shared" si="35"/>
        <v>0</v>
      </c>
      <c r="AM130">
        <f t="shared" si="36"/>
        <v>0</v>
      </c>
      <c r="AN130">
        <f t="shared" si="37"/>
        <v>0</v>
      </c>
      <c r="AO130">
        <f t="shared" si="38"/>
        <v>0</v>
      </c>
      <c r="AP130">
        <f t="shared" si="39"/>
        <v>0</v>
      </c>
      <c r="AQ130">
        <f t="shared" si="40"/>
        <v>0</v>
      </c>
      <c r="AR130">
        <f t="shared" si="41"/>
        <v>0</v>
      </c>
      <c r="AS130">
        <f t="shared" si="42"/>
        <v>0</v>
      </c>
      <c r="AT130">
        <f t="shared" si="43"/>
        <v>0</v>
      </c>
      <c r="AU130">
        <f t="shared" si="44"/>
        <v>0</v>
      </c>
      <c r="AV130">
        <f t="shared" si="45"/>
        <v>0</v>
      </c>
      <c r="AW130">
        <f t="shared" si="46"/>
        <v>0</v>
      </c>
      <c r="AX130">
        <f t="shared" si="47"/>
        <v>0</v>
      </c>
      <c r="AY130">
        <f t="shared" si="48"/>
        <v>0</v>
      </c>
      <c r="AZ130">
        <f t="shared" si="49"/>
        <v>0</v>
      </c>
      <c r="BA130">
        <f t="shared" si="50"/>
        <v>0</v>
      </c>
      <c r="BB130">
        <f t="shared" si="51"/>
        <v>0</v>
      </c>
      <c r="BC130">
        <f t="shared" si="52"/>
        <v>0</v>
      </c>
      <c r="BD130">
        <f t="shared" si="53"/>
        <v>0</v>
      </c>
      <c r="BE130">
        <f t="shared" si="54"/>
        <v>0</v>
      </c>
      <c r="BF130">
        <f t="shared" si="55"/>
        <v>0</v>
      </c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</row>
    <row r="131" spans="1:256" s="201" customFormat="1" ht="14.25" x14ac:dyDescent="0.2">
      <c r="A131" s="10">
        <v>2830</v>
      </c>
      <c r="B131" s="11" t="s">
        <v>645</v>
      </c>
      <c r="C131" s="105" t="s">
        <v>646</v>
      </c>
      <c r="D131" s="11" t="s">
        <v>647</v>
      </c>
      <c r="E131" s="12">
        <v>11740</v>
      </c>
      <c r="F131" s="202">
        <v>25</v>
      </c>
      <c r="G131" s="11">
        <v>60000</v>
      </c>
      <c r="H131" s="116">
        <v>-10000</v>
      </c>
      <c r="I131" s="192"/>
      <c r="J131" s="204"/>
      <c r="K131" s="193"/>
      <c r="L131" s="193"/>
      <c r="M131" s="193"/>
      <c r="N131" s="203">
        <f t="shared" si="28"/>
        <v>60000</v>
      </c>
      <c r="O131" s="203">
        <f t="shared" si="29"/>
        <v>50000</v>
      </c>
      <c r="P131" s="203">
        <f t="shared" si="30"/>
        <v>50000</v>
      </c>
      <c r="Q131" s="214"/>
      <c r="R131" s="215"/>
      <c r="S131" s="218">
        <v>45652</v>
      </c>
      <c r="T131" s="205"/>
      <c r="U131" s="205"/>
      <c r="V131" s="216"/>
      <c r="W131" s="212"/>
      <c r="X131" s="10">
        <v>7</v>
      </c>
      <c r="Y131" s="10">
        <v>7</v>
      </c>
      <c r="Z131" s="213">
        <f t="shared" si="31"/>
        <v>60000</v>
      </c>
      <c r="AA131" s="62"/>
      <c r="AB131" s="62"/>
      <c r="AC131" s="62"/>
      <c r="AD131" s="62"/>
      <c r="AE131" s="62"/>
      <c r="AF131" s="63"/>
      <c r="AG131" s="64"/>
      <c r="AH131" s="6">
        <v>1</v>
      </c>
      <c r="AI131">
        <f t="shared" si="32"/>
        <v>25</v>
      </c>
      <c r="AJ131">
        <f t="shared" si="33"/>
        <v>25</v>
      </c>
      <c r="AK131">
        <f t="shared" si="34"/>
        <v>0</v>
      </c>
      <c r="AL131">
        <f t="shared" si="35"/>
        <v>0</v>
      </c>
      <c r="AM131">
        <f t="shared" si="36"/>
        <v>0</v>
      </c>
      <c r="AN131">
        <f t="shared" si="37"/>
        <v>0</v>
      </c>
      <c r="AO131">
        <f t="shared" si="38"/>
        <v>0</v>
      </c>
      <c r="AP131">
        <f t="shared" si="39"/>
        <v>0</v>
      </c>
      <c r="AQ131">
        <f t="shared" si="40"/>
        <v>0</v>
      </c>
      <c r="AR131">
        <f t="shared" si="41"/>
        <v>0</v>
      </c>
      <c r="AS131">
        <f t="shared" si="42"/>
        <v>0</v>
      </c>
      <c r="AT131">
        <f t="shared" si="43"/>
        <v>0</v>
      </c>
      <c r="AU131">
        <f t="shared" si="44"/>
        <v>1</v>
      </c>
      <c r="AV131">
        <f t="shared" si="45"/>
        <v>1</v>
      </c>
      <c r="AW131">
        <f t="shared" si="46"/>
        <v>1</v>
      </c>
      <c r="AX131">
        <f t="shared" si="47"/>
        <v>1</v>
      </c>
      <c r="AY131">
        <f t="shared" si="48"/>
        <v>50000</v>
      </c>
      <c r="AZ131">
        <f t="shared" si="49"/>
        <v>50000</v>
      </c>
      <c r="BA131">
        <f t="shared" si="50"/>
        <v>0</v>
      </c>
      <c r="BB131">
        <f t="shared" si="51"/>
        <v>0</v>
      </c>
      <c r="BC131">
        <f t="shared" si="52"/>
        <v>0</v>
      </c>
      <c r="BD131">
        <f t="shared" si="53"/>
        <v>0</v>
      </c>
      <c r="BE131">
        <f t="shared" si="54"/>
        <v>0</v>
      </c>
      <c r="BF131">
        <f t="shared" si="55"/>
        <v>0</v>
      </c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</row>
    <row r="132" spans="1:256" s="201" customFormat="1" ht="14.25" x14ac:dyDescent="0.2">
      <c r="A132" s="10">
        <v>2836</v>
      </c>
      <c r="B132" s="11" t="s">
        <v>648</v>
      </c>
      <c r="C132" s="105" t="s">
        <v>649</v>
      </c>
      <c r="D132" s="11" t="s">
        <v>106</v>
      </c>
      <c r="E132" s="12">
        <v>11737</v>
      </c>
      <c r="F132" s="202">
        <v>24</v>
      </c>
      <c r="G132" s="11">
        <v>55000</v>
      </c>
      <c r="H132" s="116">
        <v>0</v>
      </c>
      <c r="I132" s="192"/>
      <c r="J132" s="204"/>
      <c r="K132" s="193"/>
      <c r="L132" s="193"/>
      <c r="M132" s="193"/>
      <c r="N132" s="203">
        <f t="shared" ref="N132:N195" si="56">IF(H132&gt;0,G132+H132-I132-J132-K132-L132-M132,G132-I132-J132-K132-L132-M132)</f>
        <v>55000</v>
      </c>
      <c r="O132" s="203">
        <f t="shared" ref="O132:O195" si="57">G132+H132-J132-I132-K132-L132-M132</f>
        <v>55000</v>
      </c>
      <c r="P132" s="203">
        <f t="shared" ref="P132:P195" si="58">IF(G132+H132&lt;0,0,G132+H132)</f>
        <v>55000</v>
      </c>
      <c r="Q132" s="214"/>
      <c r="R132" s="215"/>
      <c r="S132" s="218">
        <v>45636</v>
      </c>
      <c r="T132" s="205"/>
      <c r="U132" s="205"/>
      <c r="V132" s="216"/>
      <c r="W132" s="212"/>
      <c r="X132" s="10">
        <v>7</v>
      </c>
      <c r="Y132" s="10">
        <v>7</v>
      </c>
      <c r="Z132" s="213">
        <f t="shared" ref="Z132:Z195" si="59">IF(N132&lt;0,0,N132)</f>
        <v>55000</v>
      </c>
      <c r="AA132" s="62"/>
      <c r="AB132" s="62"/>
      <c r="AC132" s="62"/>
      <c r="AD132" s="62"/>
      <c r="AE132" s="62"/>
      <c r="AF132" s="63"/>
      <c r="AG132" s="64"/>
      <c r="AH132" s="6">
        <v>1</v>
      </c>
      <c r="AI132">
        <f t="shared" ref="AI132:AI195" si="60">IF(F132&lt;=6,15,25)</f>
        <v>25</v>
      </c>
      <c r="AJ132">
        <f t="shared" ref="AJ132:AJ195" si="61">IF(O132&lt;&gt;0,25,15)</f>
        <v>25</v>
      </c>
      <c r="AK132">
        <f t="shared" ref="AK132:AK195" si="62">IF(AI132-T132=24,1,0)</f>
        <v>0</v>
      </c>
      <c r="AL132">
        <f t="shared" ref="AL132:AL195" si="63">IF(AH132-AK132=AH132,0,AH132)</f>
        <v>0</v>
      </c>
      <c r="AM132">
        <f t="shared" ref="AM132:AM195" si="64">IF(AK132&lt;&gt;0,U132,0)</f>
        <v>0</v>
      </c>
      <c r="AN132">
        <f t="shared" ref="AN132:AN195" si="65">IF(AK132=1,O132,0)</f>
        <v>0</v>
      </c>
      <c r="AO132">
        <f t="shared" ref="AO132:AO195" si="66">IF(AI132-T132=14,1,0)</f>
        <v>0</v>
      </c>
      <c r="AP132">
        <f t="shared" ref="AP132:AP195" si="67">IF(AH132-AO132=AH132,0,AH132)</f>
        <v>0</v>
      </c>
      <c r="AQ132">
        <f t="shared" ref="AQ132:AQ195" si="68">IF(AO132&lt;&gt;0,U132,0)</f>
        <v>0</v>
      </c>
      <c r="AR132">
        <f t="shared" ref="AR132:AR195" si="69">IF(AO132=1,O132,0)</f>
        <v>0</v>
      </c>
      <c r="AS132">
        <f t="shared" ref="AS132:AS195" si="70">IF(SUM(I132:M132)&lt;&gt;0,1,0)</f>
        <v>0</v>
      </c>
      <c r="AT132">
        <f t="shared" ref="AT132:AT195" si="71">AS132</f>
        <v>0</v>
      </c>
      <c r="AU132">
        <f t="shared" ref="AU132:AU195" si="72">IF(O132&gt;0,1,0)</f>
        <v>1</v>
      </c>
      <c r="AV132">
        <f t="shared" ref="AV132:AV195" si="73">IF(AK132+AO132+AU132=1,AU132,0)</f>
        <v>1</v>
      </c>
      <c r="AW132">
        <f t="shared" ref="AW132:AW195" si="74">IF(AI132-AV132=24,1,0)</f>
        <v>1</v>
      </c>
      <c r="AX132">
        <f t="shared" ref="AX132:AX195" si="75">IF(AH132-AW132=AH132,0,AH132)</f>
        <v>1</v>
      </c>
      <c r="AY132">
        <f t="shared" ref="AY132:AY195" si="76">IF(AW132=1,O132,0)</f>
        <v>55000</v>
      </c>
      <c r="AZ132">
        <f t="shared" ref="AZ132:AZ195" si="77">IF(AY132-BA132&lt;&gt;0,AY132,0)</f>
        <v>55000</v>
      </c>
      <c r="BA132">
        <f t="shared" ref="BA132:BA195" si="78">IF(AY132&lt;0,AY132,0)</f>
        <v>0</v>
      </c>
      <c r="BB132">
        <f t="shared" ref="BB132:BB195" si="79">IF(AI132-AV132=14,1,0)</f>
        <v>0</v>
      </c>
      <c r="BC132">
        <f t="shared" ref="BC132:BC195" si="80">IF(AH132-BB132=AH132,0,AH132)</f>
        <v>0</v>
      </c>
      <c r="BD132">
        <f t="shared" ref="BD132:BD195" si="81">IF(BB132=1,O132,0)</f>
        <v>0</v>
      </c>
      <c r="BE132">
        <f t="shared" ref="BE132:BE195" si="82">IF(BD132&lt;0,BD132,0)</f>
        <v>0</v>
      </c>
      <c r="BF132">
        <f t="shared" ref="BF132:BF195" si="83">IF(BD132-BE132&lt;&gt;0,BD132,0)</f>
        <v>0</v>
      </c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</row>
    <row r="133" spans="1:256" s="201" customFormat="1" ht="14.25" x14ac:dyDescent="0.2">
      <c r="A133" s="10">
        <v>2838</v>
      </c>
      <c r="B133" s="11" t="s">
        <v>650</v>
      </c>
      <c r="C133" s="105" t="s">
        <v>651</v>
      </c>
      <c r="D133" s="11" t="s">
        <v>105</v>
      </c>
      <c r="E133" s="12">
        <v>11731</v>
      </c>
      <c r="F133" s="202">
        <v>24</v>
      </c>
      <c r="G133" s="11">
        <v>60000</v>
      </c>
      <c r="H133" s="116">
        <v>0</v>
      </c>
      <c r="I133" s="192"/>
      <c r="J133" s="204"/>
      <c r="K133" s="193"/>
      <c r="L133" s="193"/>
      <c r="M133" s="193"/>
      <c r="N133" s="203">
        <f t="shared" si="56"/>
        <v>60000</v>
      </c>
      <c r="O133" s="203">
        <f t="shared" si="57"/>
        <v>60000</v>
      </c>
      <c r="P133" s="203">
        <f t="shared" si="58"/>
        <v>60000</v>
      </c>
      <c r="Q133" s="214"/>
      <c r="R133" s="215"/>
      <c r="S133" s="218">
        <v>45645</v>
      </c>
      <c r="T133" s="205"/>
      <c r="U133" s="205"/>
      <c r="V133" s="216"/>
      <c r="W133" s="212"/>
      <c r="X133" s="10">
        <v>7</v>
      </c>
      <c r="Y133" s="10">
        <v>7</v>
      </c>
      <c r="Z133" s="213">
        <f t="shared" si="59"/>
        <v>60000</v>
      </c>
      <c r="AA133" s="62"/>
      <c r="AB133" s="62"/>
      <c r="AC133" s="62"/>
      <c r="AD133" s="62"/>
      <c r="AE133" s="62"/>
      <c r="AF133" s="63"/>
      <c r="AG133" s="64"/>
      <c r="AH133" s="6">
        <v>1</v>
      </c>
      <c r="AI133">
        <f t="shared" si="60"/>
        <v>25</v>
      </c>
      <c r="AJ133">
        <f t="shared" si="61"/>
        <v>25</v>
      </c>
      <c r="AK133">
        <f t="shared" si="62"/>
        <v>0</v>
      </c>
      <c r="AL133">
        <f t="shared" si="63"/>
        <v>0</v>
      </c>
      <c r="AM133">
        <f t="shared" si="64"/>
        <v>0</v>
      </c>
      <c r="AN133">
        <f t="shared" si="65"/>
        <v>0</v>
      </c>
      <c r="AO133">
        <f t="shared" si="66"/>
        <v>0</v>
      </c>
      <c r="AP133">
        <f t="shared" si="67"/>
        <v>0</v>
      </c>
      <c r="AQ133">
        <f t="shared" si="68"/>
        <v>0</v>
      </c>
      <c r="AR133">
        <f t="shared" si="69"/>
        <v>0</v>
      </c>
      <c r="AS133">
        <f t="shared" si="70"/>
        <v>0</v>
      </c>
      <c r="AT133">
        <f t="shared" si="71"/>
        <v>0</v>
      </c>
      <c r="AU133">
        <f t="shared" si="72"/>
        <v>1</v>
      </c>
      <c r="AV133">
        <f t="shared" si="73"/>
        <v>1</v>
      </c>
      <c r="AW133">
        <f t="shared" si="74"/>
        <v>1</v>
      </c>
      <c r="AX133">
        <f t="shared" si="75"/>
        <v>1</v>
      </c>
      <c r="AY133">
        <f t="shared" si="76"/>
        <v>60000</v>
      </c>
      <c r="AZ133">
        <f t="shared" si="77"/>
        <v>60000</v>
      </c>
      <c r="BA133">
        <f t="shared" si="78"/>
        <v>0</v>
      </c>
      <c r="BB133">
        <f t="shared" si="79"/>
        <v>0</v>
      </c>
      <c r="BC133">
        <f t="shared" si="80"/>
        <v>0</v>
      </c>
      <c r="BD133">
        <f t="shared" si="81"/>
        <v>0</v>
      </c>
      <c r="BE133">
        <f t="shared" si="82"/>
        <v>0</v>
      </c>
      <c r="BF133">
        <f t="shared" si="83"/>
        <v>0</v>
      </c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</row>
    <row r="134" spans="1:256" s="201" customFormat="1" ht="14.25" x14ac:dyDescent="0.2">
      <c r="A134" s="10">
        <v>2845</v>
      </c>
      <c r="B134" s="11" t="s">
        <v>365</v>
      </c>
      <c r="C134" s="105" t="s">
        <v>366</v>
      </c>
      <c r="D134" s="11" t="s">
        <v>106</v>
      </c>
      <c r="E134" s="12">
        <v>11749</v>
      </c>
      <c r="F134" s="202">
        <v>24</v>
      </c>
      <c r="G134" s="11">
        <v>70000</v>
      </c>
      <c r="H134" s="116">
        <v>-100000</v>
      </c>
      <c r="I134" s="192"/>
      <c r="J134" s="204"/>
      <c r="K134" s="193"/>
      <c r="L134" s="193"/>
      <c r="M134" s="193"/>
      <c r="N134" s="203">
        <f t="shared" si="56"/>
        <v>70000</v>
      </c>
      <c r="O134" s="203">
        <f t="shared" si="57"/>
        <v>-30000</v>
      </c>
      <c r="P134" s="203">
        <f t="shared" si="58"/>
        <v>0</v>
      </c>
      <c r="Q134" s="214"/>
      <c r="R134" s="215"/>
      <c r="S134" s="218">
        <v>45635</v>
      </c>
      <c r="T134" s="205"/>
      <c r="U134" s="205"/>
      <c r="V134" s="216"/>
      <c r="W134" s="212"/>
      <c r="X134" s="10">
        <v>7</v>
      </c>
      <c r="Y134" s="10">
        <v>7</v>
      </c>
      <c r="Z134" s="213">
        <f t="shared" si="59"/>
        <v>70000</v>
      </c>
      <c r="AA134" s="62"/>
      <c r="AB134" s="62"/>
      <c r="AC134" s="62"/>
      <c r="AD134" s="62"/>
      <c r="AE134" s="62"/>
      <c r="AF134" s="63"/>
      <c r="AG134" s="64"/>
      <c r="AH134" s="6">
        <v>1</v>
      </c>
      <c r="AI134">
        <f t="shared" si="60"/>
        <v>25</v>
      </c>
      <c r="AJ134">
        <f t="shared" si="61"/>
        <v>25</v>
      </c>
      <c r="AK134">
        <f t="shared" si="62"/>
        <v>0</v>
      </c>
      <c r="AL134">
        <f t="shared" si="63"/>
        <v>0</v>
      </c>
      <c r="AM134">
        <f t="shared" si="64"/>
        <v>0</v>
      </c>
      <c r="AN134">
        <f t="shared" si="65"/>
        <v>0</v>
      </c>
      <c r="AO134">
        <f t="shared" si="66"/>
        <v>0</v>
      </c>
      <c r="AP134">
        <f t="shared" si="67"/>
        <v>0</v>
      </c>
      <c r="AQ134">
        <f t="shared" si="68"/>
        <v>0</v>
      </c>
      <c r="AR134">
        <f t="shared" si="69"/>
        <v>0</v>
      </c>
      <c r="AS134">
        <f t="shared" si="70"/>
        <v>0</v>
      </c>
      <c r="AT134">
        <f t="shared" si="71"/>
        <v>0</v>
      </c>
      <c r="AU134">
        <f t="shared" si="72"/>
        <v>0</v>
      </c>
      <c r="AV134">
        <f t="shared" si="73"/>
        <v>0</v>
      </c>
      <c r="AW134">
        <f t="shared" si="74"/>
        <v>0</v>
      </c>
      <c r="AX134">
        <f t="shared" si="75"/>
        <v>0</v>
      </c>
      <c r="AY134">
        <f t="shared" si="76"/>
        <v>0</v>
      </c>
      <c r="AZ134">
        <f t="shared" si="77"/>
        <v>0</v>
      </c>
      <c r="BA134">
        <f t="shared" si="78"/>
        <v>0</v>
      </c>
      <c r="BB134">
        <f t="shared" si="79"/>
        <v>0</v>
      </c>
      <c r="BC134">
        <f t="shared" si="80"/>
        <v>0</v>
      </c>
      <c r="BD134">
        <f t="shared" si="81"/>
        <v>0</v>
      </c>
      <c r="BE134">
        <f t="shared" si="82"/>
        <v>0</v>
      </c>
      <c r="BF134">
        <f t="shared" si="83"/>
        <v>0</v>
      </c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</row>
    <row r="135" spans="1:256" s="201" customFormat="1" ht="14.25" x14ac:dyDescent="0.2">
      <c r="A135" s="10">
        <v>2849</v>
      </c>
      <c r="B135" s="11" t="s">
        <v>652</v>
      </c>
      <c r="C135" s="105" t="s">
        <v>653</v>
      </c>
      <c r="D135" s="11" t="s">
        <v>105</v>
      </c>
      <c r="E135" s="12">
        <v>11730</v>
      </c>
      <c r="F135" s="202">
        <v>23</v>
      </c>
      <c r="G135" s="11">
        <v>60000</v>
      </c>
      <c r="H135" s="116">
        <v>0</v>
      </c>
      <c r="I135" s="192"/>
      <c r="J135" s="204"/>
      <c r="K135" s="193"/>
      <c r="L135" s="193"/>
      <c r="M135" s="193"/>
      <c r="N135" s="203">
        <f t="shared" si="56"/>
        <v>60000</v>
      </c>
      <c r="O135" s="203">
        <f t="shared" si="57"/>
        <v>60000</v>
      </c>
      <c r="P135" s="203">
        <f t="shared" si="58"/>
        <v>60000</v>
      </c>
      <c r="Q135" s="214"/>
      <c r="R135" s="215"/>
      <c r="S135" s="218">
        <v>45638</v>
      </c>
      <c r="T135" s="205"/>
      <c r="U135" s="205"/>
      <c r="V135" s="216"/>
      <c r="W135" s="212"/>
      <c r="X135" s="10">
        <v>7</v>
      </c>
      <c r="Y135" s="10">
        <v>7</v>
      </c>
      <c r="Z135" s="213">
        <f t="shared" si="59"/>
        <v>60000</v>
      </c>
      <c r="AA135" s="62"/>
      <c r="AB135" s="62"/>
      <c r="AC135" s="62"/>
      <c r="AD135" s="62"/>
      <c r="AE135" s="62"/>
      <c r="AF135" s="63"/>
      <c r="AG135" s="64"/>
      <c r="AH135" s="6">
        <v>1</v>
      </c>
      <c r="AI135">
        <f t="shared" si="60"/>
        <v>25</v>
      </c>
      <c r="AJ135">
        <f t="shared" si="61"/>
        <v>25</v>
      </c>
      <c r="AK135">
        <f t="shared" si="62"/>
        <v>0</v>
      </c>
      <c r="AL135">
        <f t="shared" si="63"/>
        <v>0</v>
      </c>
      <c r="AM135">
        <f t="shared" si="64"/>
        <v>0</v>
      </c>
      <c r="AN135">
        <f t="shared" si="65"/>
        <v>0</v>
      </c>
      <c r="AO135">
        <f t="shared" si="66"/>
        <v>0</v>
      </c>
      <c r="AP135">
        <f t="shared" si="67"/>
        <v>0</v>
      </c>
      <c r="AQ135">
        <f t="shared" si="68"/>
        <v>0</v>
      </c>
      <c r="AR135">
        <f t="shared" si="69"/>
        <v>0</v>
      </c>
      <c r="AS135">
        <f t="shared" si="70"/>
        <v>0</v>
      </c>
      <c r="AT135">
        <f t="shared" si="71"/>
        <v>0</v>
      </c>
      <c r="AU135">
        <f t="shared" si="72"/>
        <v>1</v>
      </c>
      <c r="AV135">
        <f t="shared" si="73"/>
        <v>1</v>
      </c>
      <c r="AW135">
        <f t="shared" si="74"/>
        <v>1</v>
      </c>
      <c r="AX135">
        <f t="shared" si="75"/>
        <v>1</v>
      </c>
      <c r="AY135">
        <f t="shared" si="76"/>
        <v>60000</v>
      </c>
      <c r="AZ135">
        <f t="shared" si="77"/>
        <v>60000</v>
      </c>
      <c r="BA135">
        <f t="shared" si="78"/>
        <v>0</v>
      </c>
      <c r="BB135">
        <f t="shared" si="79"/>
        <v>0</v>
      </c>
      <c r="BC135">
        <f t="shared" si="80"/>
        <v>0</v>
      </c>
      <c r="BD135">
        <f t="shared" si="81"/>
        <v>0</v>
      </c>
      <c r="BE135">
        <f t="shared" si="82"/>
        <v>0</v>
      </c>
      <c r="BF135">
        <f t="shared" si="83"/>
        <v>0</v>
      </c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</row>
    <row r="136" spans="1:256" s="201" customFormat="1" ht="14.25" x14ac:dyDescent="0.2">
      <c r="A136" s="10">
        <v>2851</v>
      </c>
      <c r="B136" s="11" t="s">
        <v>654</v>
      </c>
      <c r="C136" s="105" t="s">
        <v>655</v>
      </c>
      <c r="D136" s="11" t="s">
        <v>106</v>
      </c>
      <c r="E136" s="12">
        <v>11768</v>
      </c>
      <c r="F136" s="202">
        <v>23</v>
      </c>
      <c r="G136" s="11">
        <v>60000</v>
      </c>
      <c r="H136" s="116">
        <v>0</v>
      </c>
      <c r="I136" s="192"/>
      <c r="J136" s="204"/>
      <c r="K136" s="193"/>
      <c r="L136" s="193"/>
      <c r="M136" s="193"/>
      <c r="N136" s="203">
        <f t="shared" si="56"/>
        <v>60000</v>
      </c>
      <c r="O136" s="203">
        <f t="shared" si="57"/>
        <v>60000</v>
      </c>
      <c r="P136" s="203">
        <f t="shared" si="58"/>
        <v>60000</v>
      </c>
      <c r="Q136" s="214"/>
      <c r="R136" s="215"/>
      <c r="S136" s="218">
        <v>45637</v>
      </c>
      <c r="T136" s="205"/>
      <c r="U136" s="205"/>
      <c r="V136" s="216"/>
      <c r="W136" s="212"/>
      <c r="X136" s="10">
        <v>7</v>
      </c>
      <c r="Y136" s="10">
        <v>7</v>
      </c>
      <c r="Z136" s="213">
        <f t="shared" si="59"/>
        <v>60000</v>
      </c>
      <c r="AA136" s="62"/>
      <c r="AB136" s="62"/>
      <c r="AC136" s="62"/>
      <c r="AD136" s="62"/>
      <c r="AE136" s="62"/>
      <c r="AF136" s="63"/>
      <c r="AG136" s="64"/>
      <c r="AH136" s="6">
        <v>1</v>
      </c>
      <c r="AI136">
        <f t="shared" si="60"/>
        <v>25</v>
      </c>
      <c r="AJ136">
        <f t="shared" si="61"/>
        <v>25</v>
      </c>
      <c r="AK136">
        <f t="shared" si="62"/>
        <v>0</v>
      </c>
      <c r="AL136">
        <f t="shared" si="63"/>
        <v>0</v>
      </c>
      <c r="AM136">
        <f t="shared" si="64"/>
        <v>0</v>
      </c>
      <c r="AN136">
        <f t="shared" si="65"/>
        <v>0</v>
      </c>
      <c r="AO136">
        <f t="shared" si="66"/>
        <v>0</v>
      </c>
      <c r="AP136">
        <f t="shared" si="67"/>
        <v>0</v>
      </c>
      <c r="AQ136">
        <f t="shared" si="68"/>
        <v>0</v>
      </c>
      <c r="AR136">
        <f t="shared" si="69"/>
        <v>0</v>
      </c>
      <c r="AS136">
        <f t="shared" si="70"/>
        <v>0</v>
      </c>
      <c r="AT136">
        <f t="shared" si="71"/>
        <v>0</v>
      </c>
      <c r="AU136">
        <f t="shared" si="72"/>
        <v>1</v>
      </c>
      <c r="AV136">
        <f t="shared" si="73"/>
        <v>1</v>
      </c>
      <c r="AW136">
        <f t="shared" si="74"/>
        <v>1</v>
      </c>
      <c r="AX136">
        <f t="shared" si="75"/>
        <v>1</v>
      </c>
      <c r="AY136">
        <f t="shared" si="76"/>
        <v>60000</v>
      </c>
      <c r="AZ136">
        <f t="shared" si="77"/>
        <v>60000</v>
      </c>
      <c r="BA136">
        <f t="shared" si="78"/>
        <v>0</v>
      </c>
      <c r="BB136">
        <f t="shared" si="79"/>
        <v>0</v>
      </c>
      <c r="BC136">
        <f t="shared" si="80"/>
        <v>0</v>
      </c>
      <c r="BD136">
        <f t="shared" si="81"/>
        <v>0</v>
      </c>
      <c r="BE136">
        <f t="shared" si="82"/>
        <v>0</v>
      </c>
      <c r="BF136">
        <f t="shared" si="83"/>
        <v>0</v>
      </c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</row>
    <row r="137" spans="1:256" s="201" customFormat="1" ht="14.25" x14ac:dyDescent="0.2">
      <c r="A137" s="10">
        <v>2853</v>
      </c>
      <c r="B137" s="11" t="s">
        <v>367</v>
      </c>
      <c r="C137" s="105" t="s">
        <v>368</v>
      </c>
      <c r="D137" s="11" t="s">
        <v>105</v>
      </c>
      <c r="E137" s="12">
        <v>11750</v>
      </c>
      <c r="F137" s="202">
        <v>23</v>
      </c>
      <c r="G137" s="11">
        <v>45000</v>
      </c>
      <c r="H137" s="116">
        <v>-70000</v>
      </c>
      <c r="I137" s="192"/>
      <c r="J137" s="204"/>
      <c r="K137" s="193"/>
      <c r="L137" s="193"/>
      <c r="M137" s="193"/>
      <c r="N137" s="203">
        <f t="shared" si="56"/>
        <v>45000</v>
      </c>
      <c r="O137" s="203">
        <f t="shared" si="57"/>
        <v>-25000</v>
      </c>
      <c r="P137" s="203">
        <f t="shared" si="58"/>
        <v>0</v>
      </c>
      <c r="Q137" s="214"/>
      <c r="R137" s="215"/>
      <c r="S137" s="218">
        <v>45635</v>
      </c>
      <c r="T137" s="205"/>
      <c r="U137" s="205"/>
      <c r="V137" s="216"/>
      <c r="W137" s="212"/>
      <c r="X137" s="10">
        <v>7</v>
      </c>
      <c r="Y137" s="10">
        <v>7</v>
      </c>
      <c r="Z137" s="213">
        <f t="shared" si="59"/>
        <v>45000</v>
      </c>
      <c r="AA137" s="62"/>
      <c r="AB137" s="62"/>
      <c r="AC137" s="62"/>
      <c r="AD137" s="62"/>
      <c r="AE137" s="62"/>
      <c r="AF137" s="63"/>
      <c r="AG137" s="64"/>
      <c r="AH137" s="6">
        <v>1</v>
      </c>
      <c r="AI137">
        <f t="shared" si="60"/>
        <v>25</v>
      </c>
      <c r="AJ137">
        <f t="shared" si="61"/>
        <v>25</v>
      </c>
      <c r="AK137">
        <f t="shared" si="62"/>
        <v>0</v>
      </c>
      <c r="AL137">
        <f t="shared" si="63"/>
        <v>0</v>
      </c>
      <c r="AM137">
        <f t="shared" si="64"/>
        <v>0</v>
      </c>
      <c r="AN137">
        <f t="shared" si="65"/>
        <v>0</v>
      </c>
      <c r="AO137">
        <f t="shared" si="66"/>
        <v>0</v>
      </c>
      <c r="AP137">
        <f t="shared" si="67"/>
        <v>0</v>
      </c>
      <c r="AQ137">
        <f t="shared" si="68"/>
        <v>0</v>
      </c>
      <c r="AR137">
        <f t="shared" si="69"/>
        <v>0</v>
      </c>
      <c r="AS137">
        <f t="shared" si="70"/>
        <v>0</v>
      </c>
      <c r="AT137">
        <f t="shared" si="71"/>
        <v>0</v>
      </c>
      <c r="AU137">
        <f t="shared" si="72"/>
        <v>0</v>
      </c>
      <c r="AV137">
        <f t="shared" si="73"/>
        <v>0</v>
      </c>
      <c r="AW137">
        <f t="shared" si="74"/>
        <v>0</v>
      </c>
      <c r="AX137">
        <f t="shared" si="75"/>
        <v>0</v>
      </c>
      <c r="AY137">
        <f t="shared" si="76"/>
        <v>0</v>
      </c>
      <c r="AZ137">
        <f t="shared" si="77"/>
        <v>0</v>
      </c>
      <c r="BA137">
        <f t="shared" si="78"/>
        <v>0</v>
      </c>
      <c r="BB137">
        <f t="shared" si="79"/>
        <v>0</v>
      </c>
      <c r="BC137">
        <f t="shared" si="80"/>
        <v>0</v>
      </c>
      <c r="BD137">
        <f t="shared" si="81"/>
        <v>0</v>
      </c>
      <c r="BE137">
        <f t="shared" si="82"/>
        <v>0</v>
      </c>
      <c r="BF137">
        <f t="shared" si="83"/>
        <v>0</v>
      </c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</row>
    <row r="138" spans="1:256" s="201" customFormat="1" ht="14.25" x14ac:dyDescent="0.2">
      <c r="A138" s="10">
        <v>2854</v>
      </c>
      <c r="B138" s="11" t="s">
        <v>369</v>
      </c>
      <c r="C138" s="105" t="s">
        <v>370</v>
      </c>
      <c r="D138" s="11" t="s">
        <v>106</v>
      </c>
      <c r="E138" s="12">
        <v>11771</v>
      </c>
      <c r="F138" s="202">
        <v>23</v>
      </c>
      <c r="G138" s="11">
        <v>35000</v>
      </c>
      <c r="H138" s="116">
        <v>0</v>
      </c>
      <c r="I138" s="192"/>
      <c r="J138" s="204"/>
      <c r="K138" s="193"/>
      <c r="L138" s="193"/>
      <c r="M138" s="193"/>
      <c r="N138" s="203">
        <f t="shared" si="56"/>
        <v>35000</v>
      </c>
      <c r="O138" s="203">
        <f t="shared" si="57"/>
        <v>35000</v>
      </c>
      <c r="P138" s="203">
        <f t="shared" si="58"/>
        <v>35000</v>
      </c>
      <c r="Q138" s="214">
        <v>45660</v>
      </c>
      <c r="R138" s="215"/>
      <c r="S138" s="218">
        <v>45629</v>
      </c>
      <c r="T138" s="205"/>
      <c r="U138" s="205"/>
      <c r="V138" s="216" t="s">
        <v>1131</v>
      </c>
      <c r="W138" s="212"/>
      <c r="X138" s="10">
        <v>7</v>
      </c>
      <c r="Y138" s="10">
        <v>7</v>
      </c>
      <c r="Z138" s="213">
        <f t="shared" si="59"/>
        <v>35000</v>
      </c>
      <c r="AA138" s="62"/>
      <c r="AB138" s="62"/>
      <c r="AC138" s="62"/>
      <c r="AD138" s="62"/>
      <c r="AE138" s="62"/>
      <c r="AF138" s="63"/>
      <c r="AG138" s="64"/>
      <c r="AH138" s="6">
        <v>1</v>
      </c>
      <c r="AI138">
        <f t="shared" si="60"/>
        <v>25</v>
      </c>
      <c r="AJ138">
        <f t="shared" si="61"/>
        <v>25</v>
      </c>
      <c r="AK138">
        <f t="shared" si="62"/>
        <v>0</v>
      </c>
      <c r="AL138">
        <f t="shared" si="63"/>
        <v>0</v>
      </c>
      <c r="AM138">
        <f t="shared" si="64"/>
        <v>0</v>
      </c>
      <c r="AN138">
        <f t="shared" si="65"/>
        <v>0</v>
      </c>
      <c r="AO138">
        <f t="shared" si="66"/>
        <v>0</v>
      </c>
      <c r="AP138">
        <f t="shared" si="67"/>
        <v>0</v>
      </c>
      <c r="AQ138">
        <f t="shared" si="68"/>
        <v>0</v>
      </c>
      <c r="AR138">
        <f t="shared" si="69"/>
        <v>0</v>
      </c>
      <c r="AS138">
        <f t="shared" si="70"/>
        <v>0</v>
      </c>
      <c r="AT138">
        <f t="shared" si="71"/>
        <v>0</v>
      </c>
      <c r="AU138">
        <f t="shared" si="72"/>
        <v>1</v>
      </c>
      <c r="AV138">
        <f t="shared" si="73"/>
        <v>1</v>
      </c>
      <c r="AW138">
        <f t="shared" si="74"/>
        <v>1</v>
      </c>
      <c r="AX138">
        <f t="shared" si="75"/>
        <v>1</v>
      </c>
      <c r="AY138">
        <f t="shared" si="76"/>
        <v>35000</v>
      </c>
      <c r="AZ138">
        <f t="shared" si="77"/>
        <v>35000</v>
      </c>
      <c r="BA138">
        <f t="shared" si="78"/>
        <v>0</v>
      </c>
      <c r="BB138">
        <f t="shared" si="79"/>
        <v>0</v>
      </c>
      <c r="BC138">
        <f t="shared" si="80"/>
        <v>0</v>
      </c>
      <c r="BD138">
        <f t="shared" si="81"/>
        <v>0</v>
      </c>
      <c r="BE138">
        <f t="shared" si="82"/>
        <v>0</v>
      </c>
      <c r="BF138">
        <f t="shared" si="83"/>
        <v>0</v>
      </c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</row>
    <row r="139" spans="1:256" s="201" customFormat="1" ht="14.25" x14ac:dyDescent="0.2">
      <c r="A139" s="10">
        <v>2864</v>
      </c>
      <c r="B139" s="11" t="s">
        <v>656</v>
      </c>
      <c r="C139" s="105" t="s">
        <v>657</v>
      </c>
      <c r="D139" s="11" t="s">
        <v>105</v>
      </c>
      <c r="E139" s="12">
        <v>11769</v>
      </c>
      <c r="F139" s="202">
        <v>23</v>
      </c>
      <c r="G139" s="11">
        <v>60000</v>
      </c>
      <c r="H139" s="116">
        <v>-120000</v>
      </c>
      <c r="I139" s="192"/>
      <c r="J139" s="204"/>
      <c r="K139" s="193"/>
      <c r="L139" s="193"/>
      <c r="M139" s="193"/>
      <c r="N139" s="203">
        <f t="shared" si="56"/>
        <v>60000</v>
      </c>
      <c r="O139" s="203">
        <f t="shared" si="57"/>
        <v>-60000</v>
      </c>
      <c r="P139" s="203">
        <f t="shared" si="58"/>
        <v>0</v>
      </c>
      <c r="Q139" s="214"/>
      <c r="R139" s="215"/>
      <c r="S139" s="218">
        <v>45656</v>
      </c>
      <c r="T139" s="205"/>
      <c r="U139" s="205"/>
      <c r="V139" s="216"/>
      <c r="W139" s="212"/>
      <c r="X139" s="10">
        <v>7</v>
      </c>
      <c r="Y139" s="10">
        <v>7</v>
      </c>
      <c r="Z139" s="213">
        <f t="shared" si="59"/>
        <v>60000</v>
      </c>
      <c r="AA139" s="62"/>
      <c r="AB139" s="62"/>
      <c r="AC139" s="62"/>
      <c r="AD139" s="62"/>
      <c r="AE139" s="62"/>
      <c r="AF139" s="63"/>
      <c r="AG139" s="64"/>
      <c r="AH139" s="6">
        <v>1</v>
      </c>
      <c r="AI139">
        <f t="shared" si="60"/>
        <v>25</v>
      </c>
      <c r="AJ139">
        <f t="shared" si="61"/>
        <v>25</v>
      </c>
      <c r="AK139">
        <f t="shared" si="62"/>
        <v>0</v>
      </c>
      <c r="AL139">
        <f t="shared" si="63"/>
        <v>0</v>
      </c>
      <c r="AM139">
        <f t="shared" si="64"/>
        <v>0</v>
      </c>
      <c r="AN139">
        <f t="shared" si="65"/>
        <v>0</v>
      </c>
      <c r="AO139">
        <f t="shared" si="66"/>
        <v>0</v>
      </c>
      <c r="AP139">
        <f t="shared" si="67"/>
        <v>0</v>
      </c>
      <c r="AQ139">
        <f t="shared" si="68"/>
        <v>0</v>
      </c>
      <c r="AR139">
        <f t="shared" si="69"/>
        <v>0</v>
      </c>
      <c r="AS139">
        <f t="shared" si="70"/>
        <v>0</v>
      </c>
      <c r="AT139">
        <f t="shared" si="71"/>
        <v>0</v>
      </c>
      <c r="AU139">
        <f t="shared" si="72"/>
        <v>0</v>
      </c>
      <c r="AV139">
        <f t="shared" si="73"/>
        <v>0</v>
      </c>
      <c r="AW139">
        <f t="shared" si="74"/>
        <v>0</v>
      </c>
      <c r="AX139">
        <f t="shared" si="75"/>
        <v>0</v>
      </c>
      <c r="AY139">
        <f t="shared" si="76"/>
        <v>0</v>
      </c>
      <c r="AZ139">
        <f t="shared" si="77"/>
        <v>0</v>
      </c>
      <c r="BA139">
        <f t="shared" si="78"/>
        <v>0</v>
      </c>
      <c r="BB139">
        <f t="shared" si="79"/>
        <v>0</v>
      </c>
      <c r="BC139">
        <f t="shared" si="80"/>
        <v>0</v>
      </c>
      <c r="BD139">
        <f t="shared" si="81"/>
        <v>0</v>
      </c>
      <c r="BE139">
        <f t="shared" si="82"/>
        <v>0</v>
      </c>
      <c r="BF139">
        <f t="shared" si="83"/>
        <v>0</v>
      </c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</row>
    <row r="140" spans="1:256" s="201" customFormat="1" ht="14.25" x14ac:dyDescent="0.2">
      <c r="A140" s="10">
        <v>2865</v>
      </c>
      <c r="B140" s="11" t="s">
        <v>658</v>
      </c>
      <c r="C140" s="105" t="s">
        <v>659</v>
      </c>
      <c r="D140" s="11" t="s">
        <v>106</v>
      </c>
      <c r="E140" s="12">
        <v>11754</v>
      </c>
      <c r="F140" s="202">
        <v>23</v>
      </c>
      <c r="G140" s="11">
        <v>65000</v>
      </c>
      <c r="H140" s="116">
        <v>0</v>
      </c>
      <c r="I140" s="192"/>
      <c r="J140" s="204"/>
      <c r="K140" s="193"/>
      <c r="L140" s="193"/>
      <c r="M140" s="193"/>
      <c r="N140" s="203">
        <f t="shared" si="56"/>
        <v>65000</v>
      </c>
      <c r="O140" s="203">
        <f t="shared" si="57"/>
        <v>65000</v>
      </c>
      <c r="P140" s="203">
        <f t="shared" si="58"/>
        <v>65000</v>
      </c>
      <c r="Q140" s="214">
        <v>45665</v>
      </c>
      <c r="R140" s="215"/>
      <c r="S140" s="218">
        <v>45630</v>
      </c>
      <c r="T140" s="205"/>
      <c r="U140" s="205"/>
      <c r="V140" s="216" t="s">
        <v>1131</v>
      </c>
      <c r="W140" s="212"/>
      <c r="X140" s="10">
        <v>7</v>
      </c>
      <c r="Y140" s="10">
        <v>7</v>
      </c>
      <c r="Z140" s="213">
        <f t="shared" si="59"/>
        <v>65000</v>
      </c>
      <c r="AA140" s="62"/>
      <c r="AB140" s="62"/>
      <c r="AC140" s="62"/>
      <c r="AD140" s="62"/>
      <c r="AE140" s="62"/>
      <c r="AF140" s="63"/>
      <c r="AG140" s="64"/>
      <c r="AH140" s="6">
        <v>1</v>
      </c>
      <c r="AI140">
        <f t="shared" si="60"/>
        <v>25</v>
      </c>
      <c r="AJ140">
        <f t="shared" si="61"/>
        <v>25</v>
      </c>
      <c r="AK140">
        <f t="shared" si="62"/>
        <v>0</v>
      </c>
      <c r="AL140">
        <f t="shared" si="63"/>
        <v>0</v>
      </c>
      <c r="AM140">
        <f t="shared" si="64"/>
        <v>0</v>
      </c>
      <c r="AN140">
        <f t="shared" si="65"/>
        <v>0</v>
      </c>
      <c r="AO140">
        <f t="shared" si="66"/>
        <v>0</v>
      </c>
      <c r="AP140">
        <f t="shared" si="67"/>
        <v>0</v>
      </c>
      <c r="AQ140">
        <f t="shared" si="68"/>
        <v>0</v>
      </c>
      <c r="AR140">
        <f t="shared" si="69"/>
        <v>0</v>
      </c>
      <c r="AS140">
        <f t="shared" si="70"/>
        <v>0</v>
      </c>
      <c r="AT140">
        <f t="shared" si="71"/>
        <v>0</v>
      </c>
      <c r="AU140">
        <f t="shared" si="72"/>
        <v>1</v>
      </c>
      <c r="AV140">
        <f t="shared" si="73"/>
        <v>1</v>
      </c>
      <c r="AW140">
        <f t="shared" si="74"/>
        <v>1</v>
      </c>
      <c r="AX140">
        <f t="shared" si="75"/>
        <v>1</v>
      </c>
      <c r="AY140">
        <f t="shared" si="76"/>
        <v>65000</v>
      </c>
      <c r="AZ140">
        <f t="shared" si="77"/>
        <v>65000</v>
      </c>
      <c r="BA140">
        <f t="shared" si="78"/>
        <v>0</v>
      </c>
      <c r="BB140">
        <f t="shared" si="79"/>
        <v>0</v>
      </c>
      <c r="BC140">
        <f t="shared" si="80"/>
        <v>0</v>
      </c>
      <c r="BD140">
        <f t="shared" si="81"/>
        <v>0</v>
      </c>
      <c r="BE140">
        <f t="shared" si="82"/>
        <v>0</v>
      </c>
      <c r="BF140">
        <f t="shared" si="83"/>
        <v>0</v>
      </c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</row>
    <row r="141" spans="1:256" s="201" customFormat="1" ht="14.25" x14ac:dyDescent="0.2">
      <c r="A141" s="10">
        <v>2866</v>
      </c>
      <c r="B141" s="11" t="s">
        <v>660</v>
      </c>
      <c r="C141" s="105" t="s">
        <v>661</v>
      </c>
      <c r="D141" s="11" t="s">
        <v>105</v>
      </c>
      <c r="E141" s="12">
        <v>11756</v>
      </c>
      <c r="F141" s="202">
        <v>23</v>
      </c>
      <c r="G141" s="11">
        <v>70000</v>
      </c>
      <c r="H141" s="116">
        <v>0</v>
      </c>
      <c r="I141" s="192"/>
      <c r="J141" s="204"/>
      <c r="K141" s="193"/>
      <c r="L141" s="193"/>
      <c r="M141" s="193"/>
      <c r="N141" s="203">
        <f t="shared" si="56"/>
        <v>70000</v>
      </c>
      <c r="O141" s="203">
        <f t="shared" si="57"/>
        <v>70000</v>
      </c>
      <c r="P141" s="203">
        <f t="shared" si="58"/>
        <v>70000</v>
      </c>
      <c r="Q141" s="214"/>
      <c r="R141" s="215"/>
      <c r="S141" s="218">
        <v>45657</v>
      </c>
      <c r="T141" s="205"/>
      <c r="U141" s="205"/>
      <c r="V141" s="216"/>
      <c r="W141" s="212"/>
      <c r="X141" s="10">
        <v>7</v>
      </c>
      <c r="Y141" s="10">
        <v>7</v>
      </c>
      <c r="Z141" s="213">
        <f t="shared" si="59"/>
        <v>70000</v>
      </c>
      <c r="AA141" s="62"/>
      <c r="AB141" s="62"/>
      <c r="AC141" s="62"/>
      <c r="AD141" s="62"/>
      <c r="AE141" s="62"/>
      <c r="AF141" s="63"/>
      <c r="AG141" s="64"/>
      <c r="AH141" s="6">
        <v>1</v>
      </c>
      <c r="AI141">
        <f t="shared" si="60"/>
        <v>25</v>
      </c>
      <c r="AJ141">
        <f t="shared" si="61"/>
        <v>25</v>
      </c>
      <c r="AK141">
        <f t="shared" si="62"/>
        <v>0</v>
      </c>
      <c r="AL141">
        <f t="shared" si="63"/>
        <v>0</v>
      </c>
      <c r="AM141">
        <f t="shared" si="64"/>
        <v>0</v>
      </c>
      <c r="AN141">
        <f t="shared" si="65"/>
        <v>0</v>
      </c>
      <c r="AO141">
        <f t="shared" si="66"/>
        <v>0</v>
      </c>
      <c r="AP141">
        <f t="shared" si="67"/>
        <v>0</v>
      </c>
      <c r="AQ141">
        <f t="shared" si="68"/>
        <v>0</v>
      </c>
      <c r="AR141">
        <f t="shared" si="69"/>
        <v>0</v>
      </c>
      <c r="AS141">
        <f t="shared" si="70"/>
        <v>0</v>
      </c>
      <c r="AT141">
        <f t="shared" si="71"/>
        <v>0</v>
      </c>
      <c r="AU141">
        <f t="shared" si="72"/>
        <v>1</v>
      </c>
      <c r="AV141">
        <f t="shared" si="73"/>
        <v>1</v>
      </c>
      <c r="AW141">
        <f t="shared" si="74"/>
        <v>1</v>
      </c>
      <c r="AX141">
        <f t="shared" si="75"/>
        <v>1</v>
      </c>
      <c r="AY141">
        <f t="shared" si="76"/>
        <v>70000</v>
      </c>
      <c r="AZ141">
        <f t="shared" si="77"/>
        <v>70000</v>
      </c>
      <c r="BA141">
        <f t="shared" si="78"/>
        <v>0</v>
      </c>
      <c r="BB141">
        <f t="shared" si="79"/>
        <v>0</v>
      </c>
      <c r="BC141">
        <f t="shared" si="80"/>
        <v>0</v>
      </c>
      <c r="BD141">
        <f t="shared" si="81"/>
        <v>0</v>
      </c>
      <c r="BE141">
        <f t="shared" si="82"/>
        <v>0</v>
      </c>
      <c r="BF141">
        <f t="shared" si="83"/>
        <v>0</v>
      </c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</row>
    <row r="142" spans="1:256" s="201" customFormat="1" ht="14.25" x14ac:dyDescent="0.2">
      <c r="A142" s="10">
        <v>2872</v>
      </c>
      <c r="B142" s="11" t="s">
        <v>662</v>
      </c>
      <c r="C142" s="105" t="s">
        <v>663</v>
      </c>
      <c r="D142" s="11" t="s">
        <v>620</v>
      </c>
      <c r="E142" s="12">
        <v>11648</v>
      </c>
      <c r="F142" s="202">
        <v>22</v>
      </c>
      <c r="G142" s="11">
        <v>55000</v>
      </c>
      <c r="H142" s="116">
        <v>0</v>
      </c>
      <c r="I142" s="192"/>
      <c r="J142" s="204"/>
      <c r="K142" s="193"/>
      <c r="L142" s="193"/>
      <c r="M142" s="193"/>
      <c r="N142" s="203">
        <f t="shared" si="56"/>
        <v>55000</v>
      </c>
      <c r="O142" s="203">
        <f t="shared" si="57"/>
        <v>55000</v>
      </c>
      <c r="P142" s="203">
        <f t="shared" si="58"/>
        <v>55000</v>
      </c>
      <c r="Q142" s="214"/>
      <c r="R142" s="215"/>
      <c r="S142" s="218">
        <v>45638</v>
      </c>
      <c r="T142" s="205"/>
      <c r="U142" s="205"/>
      <c r="V142" s="216"/>
      <c r="W142" s="212"/>
      <c r="X142" s="10">
        <v>7</v>
      </c>
      <c r="Y142" s="10">
        <v>7</v>
      </c>
      <c r="Z142" s="213">
        <f t="shared" si="59"/>
        <v>55000</v>
      </c>
      <c r="AA142" s="62"/>
      <c r="AB142" s="62"/>
      <c r="AC142" s="62"/>
      <c r="AD142" s="62"/>
      <c r="AE142" s="62"/>
      <c r="AF142" s="63"/>
      <c r="AG142" s="64"/>
      <c r="AH142" s="6">
        <v>1</v>
      </c>
      <c r="AI142">
        <f t="shared" si="60"/>
        <v>25</v>
      </c>
      <c r="AJ142">
        <f t="shared" si="61"/>
        <v>25</v>
      </c>
      <c r="AK142">
        <f t="shared" si="62"/>
        <v>0</v>
      </c>
      <c r="AL142">
        <f t="shared" si="63"/>
        <v>0</v>
      </c>
      <c r="AM142">
        <f t="shared" si="64"/>
        <v>0</v>
      </c>
      <c r="AN142">
        <f t="shared" si="65"/>
        <v>0</v>
      </c>
      <c r="AO142">
        <f t="shared" si="66"/>
        <v>0</v>
      </c>
      <c r="AP142">
        <f t="shared" si="67"/>
        <v>0</v>
      </c>
      <c r="AQ142">
        <f t="shared" si="68"/>
        <v>0</v>
      </c>
      <c r="AR142">
        <f t="shared" si="69"/>
        <v>0</v>
      </c>
      <c r="AS142">
        <f t="shared" si="70"/>
        <v>0</v>
      </c>
      <c r="AT142">
        <f t="shared" si="71"/>
        <v>0</v>
      </c>
      <c r="AU142">
        <f t="shared" si="72"/>
        <v>1</v>
      </c>
      <c r="AV142">
        <f t="shared" si="73"/>
        <v>1</v>
      </c>
      <c r="AW142">
        <f t="shared" si="74"/>
        <v>1</v>
      </c>
      <c r="AX142">
        <f t="shared" si="75"/>
        <v>1</v>
      </c>
      <c r="AY142">
        <f t="shared" si="76"/>
        <v>55000</v>
      </c>
      <c r="AZ142">
        <f t="shared" si="77"/>
        <v>55000</v>
      </c>
      <c r="BA142">
        <f t="shared" si="78"/>
        <v>0</v>
      </c>
      <c r="BB142">
        <f t="shared" si="79"/>
        <v>0</v>
      </c>
      <c r="BC142">
        <f t="shared" si="80"/>
        <v>0</v>
      </c>
      <c r="BD142">
        <f t="shared" si="81"/>
        <v>0</v>
      </c>
      <c r="BE142">
        <f t="shared" si="82"/>
        <v>0</v>
      </c>
      <c r="BF142">
        <f t="shared" si="83"/>
        <v>0</v>
      </c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</row>
    <row r="143" spans="1:256" s="201" customFormat="1" ht="14.25" x14ac:dyDescent="0.2">
      <c r="A143" s="10">
        <v>2874</v>
      </c>
      <c r="B143" s="11" t="s">
        <v>664</v>
      </c>
      <c r="C143" s="105" t="s">
        <v>665</v>
      </c>
      <c r="D143" s="11" t="s">
        <v>106</v>
      </c>
      <c r="E143" s="12">
        <v>11780</v>
      </c>
      <c r="F143" s="202">
        <v>22</v>
      </c>
      <c r="G143" s="11">
        <v>55000</v>
      </c>
      <c r="H143" s="116">
        <v>0</v>
      </c>
      <c r="I143" s="192"/>
      <c r="J143" s="204"/>
      <c r="K143" s="193"/>
      <c r="L143" s="193"/>
      <c r="M143" s="193"/>
      <c r="N143" s="203">
        <f t="shared" si="56"/>
        <v>55000</v>
      </c>
      <c r="O143" s="203">
        <f t="shared" si="57"/>
        <v>55000</v>
      </c>
      <c r="P143" s="203">
        <f t="shared" si="58"/>
        <v>55000</v>
      </c>
      <c r="Q143" s="214"/>
      <c r="R143" s="215"/>
      <c r="S143" s="218">
        <v>45652</v>
      </c>
      <c r="T143" s="205"/>
      <c r="U143" s="205"/>
      <c r="V143" s="216"/>
      <c r="W143" s="212"/>
      <c r="X143" s="10">
        <v>7</v>
      </c>
      <c r="Y143" s="10">
        <v>7</v>
      </c>
      <c r="Z143" s="213">
        <f t="shared" si="59"/>
        <v>55000</v>
      </c>
      <c r="AA143" s="62"/>
      <c r="AB143" s="62"/>
      <c r="AC143" s="62"/>
      <c r="AD143" s="62"/>
      <c r="AE143" s="62"/>
      <c r="AF143" s="63"/>
      <c r="AG143" s="64"/>
      <c r="AH143" s="6">
        <v>1</v>
      </c>
      <c r="AI143">
        <f t="shared" si="60"/>
        <v>25</v>
      </c>
      <c r="AJ143">
        <f t="shared" si="61"/>
        <v>25</v>
      </c>
      <c r="AK143">
        <f t="shared" si="62"/>
        <v>0</v>
      </c>
      <c r="AL143">
        <f t="shared" si="63"/>
        <v>0</v>
      </c>
      <c r="AM143">
        <f t="shared" si="64"/>
        <v>0</v>
      </c>
      <c r="AN143">
        <f t="shared" si="65"/>
        <v>0</v>
      </c>
      <c r="AO143">
        <f t="shared" si="66"/>
        <v>0</v>
      </c>
      <c r="AP143">
        <f t="shared" si="67"/>
        <v>0</v>
      </c>
      <c r="AQ143">
        <f t="shared" si="68"/>
        <v>0</v>
      </c>
      <c r="AR143">
        <f t="shared" si="69"/>
        <v>0</v>
      </c>
      <c r="AS143">
        <f t="shared" si="70"/>
        <v>0</v>
      </c>
      <c r="AT143">
        <f t="shared" si="71"/>
        <v>0</v>
      </c>
      <c r="AU143">
        <f t="shared" si="72"/>
        <v>1</v>
      </c>
      <c r="AV143">
        <f t="shared" si="73"/>
        <v>1</v>
      </c>
      <c r="AW143">
        <f t="shared" si="74"/>
        <v>1</v>
      </c>
      <c r="AX143">
        <f t="shared" si="75"/>
        <v>1</v>
      </c>
      <c r="AY143">
        <f t="shared" si="76"/>
        <v>55000</v>
      </c>
      <c r="AZ143">
        <f t="shared" si="77"/>
        <v>55000</v>
      </c>
      <c r="BA143">
        <f t="shared" si="78"/>
        <v>0</v>
      </c>
      <c r="BB143">
        <f t="shared" si="79"/>
        <v>0</v>
      </c>
      <c r="BC143">
        <f t="shared" si="80"/>
        <v>0</v>
      </c>
      <c r="BD143">
        <f t="shared" si="81"/>
        <v>0</v>
      </c>
      <c r="BE143">
        <f t="shared" si="82"/>
        <v>0</v>
      </c>
      <c r="BF143">
        <f t="shared" si="83"/>
        <v>0</v>
      </c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</row>
    <row r="144" spans="1:256" s="201" customFormat="1" ht="14.25" x14ac:dyDescent="0.2">
      <c r="A144" s="10">
        <v>2877</v>
      </c>
      <c r="B144" s="11" t="s">
        <v>285</v>
      </c>
      <c r="C144" s="105" t="s">
        <v>286</v>
      </c>
      <c r="D144" s="11" t="s">
        <v>105</v>
      </c>
      <c r="E144" s="12">
        <v>11783</v>
      </c>
      <c r="F144" s="202">
        <v>22</v>
      </c>
      <c r="G144" s="11">
        <v>40000</v>
      </c>
      <c r="H144" s="116">
        <v>-20000</v>
      </c>
      <c r="I144" s="192"/>
      <c r="J144" s="204"/>
      <c r="K144" s="193"/>
      <c r="L144" s="193"/>
      <c r="M144" s="193"/>
      <c r="N144" s="203">
        <f t="shared" si="56"/>
        <v>40000</v>
      </c>
      <c r="O144" s="203">
        <f t="shared" si="57"/>
        <v>20000</v>
      </c>
      <c r="P144" s="203">
        <f t="shared" si="58"/>
        <v>20000</v>
      </c>
      <c r="Q144" s="214">
        <v>45663</v>
      </c>
      <c r="R144" s="215"/>
      <c r="S144" s="218">
        <v>45637</v>
      </c>
      <c r="T144" s="205"/>
      <c r="U144" s="205"/>
      <c r="V144" s="216" t="s">
        <v>1131</v>
      </c>
      <c r="W144" s="212"/>
      <c r="X144" s="10">
        <v>7</v>
      </c>
      <c r="Y144" s="10">
        <v>7</v>
      </c>
      <c r="Z144" s="213">
        <f t="shared" si="59"/>
        <v>40000</v>
      </c>
      <c r="AA144" s="62"/>
      <c r="AB144" s="62"/>
      <c r="AC144" s="62"/>
      <c r="AD144" s="62"/>
      <c r="AE144" s="62"/>
      <c r="AF144" s="63"/>
      <c r="AG144" s="64"/>
      <c r="AH144" s="6">
        <v>1</v>
      </c>
      <c r="AI144">
        <f t="shared" si="60"/>
        <v>25</v>
      </c>
      <c r="AJ144">
        <f t="shared" si="61"/>
        <v>25</v>
      </c>
      <c r="AK144">
        <f t="shared" si="62"/>
        <v>0</v>
      </c>
      <c r="AL144">
        <f t="shared" si="63"/>
        <v>0</v>
      </c>
      <c r="AM144">
        <f t="shared" si="64"/>
        <v>0</v>
      </c>
      <c r="AN144">
        <f t="shared" si="65"/>
        <v>0</v>
      </c>
      <c r="AO144">
        <f t="shared" si="66"/>
        <v>0</v>
      </c>
      <c r="AP144">
        <f t="shared" si="67"/>
        <v>0</v>
      </c>
      <c r="AQ144">
        <f t="shared" si="68"/>
        <v>0</v>
      </c>
      <c r="AR144">
        <f t="shared" si="69"/>
        <v>0</v>
      </c>
      <c r="AS144">
        <f t="shared" si="70"/>
        <v>0</v>
      </c>
      <c r="AT144">
        <f t="shared" si="71"/>
        <v>0</v>
      </c>
      <c r="AU144">
        <f t="shared" si="72"/>
        <v>1</v>
      </c>
      <c r="AV144">
        <f t="shared" si="73"/>
        <v>1</v>
      </c>
      <c r="AW144">
        <f t="shared" si="74"/>
        <v>1</v>
      </c>
      <c r="AX144">
        <f t="shared" si="75"/>
        <v>1</v>
      </c>
      <c r="AY144">
        <f t="shared" si="76"/>
        <v>20000</v>
      </c>
      <c r="AZ144">
        <f t="shared" si="77"/>
        <v>20000</v>
      </c>
      <c r="BA144">
        <f t="shared" si="78"/>
        <v>0</v>
      </c>
      <c r="BB144">
        <f t="shared" si="79"/>
        <v>0</v>
      </c>
      <c r="BC144">
        <f t="shared" si="80"/>
        <v>0</v>
      </c>
      <c r="BD144">
        <f t="shared" si="81"/>
        <v>0</v>
      </c>
      <c r="BE144">
        <f t="shared" si="82"/>
        <v>0</v>
      </c>
      <c r="BF144">
        <f t="shared" si="83"/>
        <v>0</v>
      </c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</row>
    <row r="145" spans="1:256" s="201" customFormat="1" ht="14.25" x14ac:dyDescent="0.2">
      <c r="A145" s="10">
        <v>2879</v>
      </c>
      <c r="B145" s="11" t="s">
        <v>265</v>
      </c>
      <c r="C145" s="105" t="s">
        <v>266</v>
      </c>
      <c r="D145" s="11" t="s">
        <v>220</v>
      </c>
      <c r="E145" s="12">
        <v>11788</v>
      </c>
      <c r="F145" s="202">
        <v>22</v>
      </c>
      <c r="G145" s="11">
        <v>55000</v>
      </c>
      <c r="H145" s="116">
        <v>0</v>
      </c>
      <c r="I145" s="192"/>
      <c r="J145" s="204"/>
      <c r="K145" s="193"/>
      <c r="L145" s="193"/>
      <c r="M145" s="193"/>
      <c r="N145" s="203">
        <f t="shared" si="56"/>
        <v>55000</v>
      </c>
      <c r="O145" s="203">
        <f t="shared" si="57"/>
        <v>55000</v>
      </c>
      <c r="P145" s="203">
        <f t="shared" si="58"/>
        <v>55000</v>
      </c>
      <c r="Q145" s="214">
        <v>45665</v>
      </c>
      <c r="R145" s="215"/>
      <c r="S145" s="218">
        <v>45636</v>
      </c>
      <c r="T145" s="205"/>
      <c r="U145" s="205"/>
      <c r="V145" s="216" t="s">
        <v>1146</v>
      </c>
      <c r="W145" s="212"/>
      <c r="X145" s="10">
        <v>7</v>
      </c>
      <c r="Y145" s="10">
        <v>7</v>
      </c>
      <c r="Z145" s="213">
        <f t="shared" si="59"/>
        <v>55000</v>
      </c>
      <c r="AA145" s="62"/>
      <c r="AB145" s="62"/>
      <c r="AC145" s="62"/>
      <c r="AD145" s="62"/>
      <c r="AE145" s="62"/>
      <c r="AF145" s="63"/>
      <c r="AG145" s="64"/>
      <c r="AH145" s="6">
        <v>1</v>
      </c>
      <c r="AI145">
        <f t="shared" si="60"/>
        <v>25</v>
      </c>
      <c r="AJ145">
        <f t="shared" si="61"/>
        <v>25</v>
      </c>
      <c r="AK145">
        <f t="shared" si="62"/>
        <v>0</v>
      </c>
      <c r="AL145">
        <f t="shared" si="63"/>
        <v>0</v>
      </c>
      <c r="AM145">
        <f t="shared" si="64"/>
        <v>0</v>
      </c>
      <c r="AN145">
        <f t="shared" si="65"/>
        <v>0</v>
      </c>
      <c r="AO145">
        <f t="shared" si="66"/>
        <v>0</v>
      </c>
      <c r="AP145">
        <f t="shared" si="67"/>
        <v>0</v>
      </c>
      <c r="AQ145">
        <f t="shared" si="68"/>
        <v>0</v>
      </c>
      <c r="AR145">
        <f t="shared" si="69"/>
        <v>0</v>
      </c>
      <c r="AS145">
        <f t="shared" si="70"/>
        <v>0</v>
      </c>
      <c r="AT145">
        <f t="shared" si="71"/>
        <v>0</v>
      </c>
      <c r="AU145">
        <f t="shared" si="72"/>
        <v>1</v>
      </c>
      <c r="AV145">
        <f t="shared" si="73"/>
        <v>1</v>
      </c>
      <c r="AW145">
        <f t="shared" si="74"/>
        <v>1</v>
      </c>
      <c r="AX145">
        <f t="shared" si="75"/>
        <v>1</v>
      </c>
      <c r="AY145">
        <f t="shared" si="76"/>
        <v>55000</v>
      </c>
      <c r="AZ145">
        <f t="shared" si="77"/>
        <v>55000</v>
      </c>
      <c r="BA145">
        <f t="shared" si="78"/>
        <v>0</v>
      </c>
      <c r="BB145">
        <f t="shared" si="79"/>
        <v>0</v>
      </c>
      <c r="BC145">
        <f t="shared" si="80"/>
        <v>0</v>
      </c>
      <c r="BD145">
        <f t="shared" si="81"/>
        <v>0</v>
      </c>
      <c r="BE145">
        <f t="shared" si="82"/>
        <v>0</v>
      </c>
      <c r="BF145">
        <f t="shared" si="83"/>
        <v>0</v>
      </c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</row>
    <row r="146" spans="1:256" s="201" customFormat="1" ht="14.25" x14ac:dyDescent="0.2">
      <c r="A146" s="10">
        <v>2884</v>
      </c>
      <c r="B146" s="11" t="s">
        <v>666</v>
      </c>
      <c r="C146" s="105" t="s">
        <v>667</v>
      </c>
      <c r="D146" s="11" t="s">
        <v>105</v>
      </c>
      <c r="E146" s="12">
        <v>11795</v>
      </c>
      <c r="F146" s="202">
        <v>22</v>
      </c>
      <c r="G146" s="11">
        <v>65000</v>
      </c>
      <c r="H146" s="116">
        <v>-5000</v>
      </c>
      <c r="I146" s="192"/>
      <c r="J146" s="204"/>
      <c r="K146" s="193"/>
      <c r="L146" s="193"/>
      <c r="M146" s="193"/>
      <c r="N146" s="203">
        <f t="shared" si="56"/>
        <v>65000</v>
      </c>
      <c r="O146" s="203">
        <f t="shared" si="57"/>
        <v>60000</v>
      </c>
      <c r="P146" s="203">
        <f t="shared" si="58"/>
        <v>60000</v>
      </c>
      <c r="Q146" s="214"/>
      <c r="R146" s="215"/>
      <c r="S146" s="218">
        <v>45647</v>
      </c>
      <c r="T146" s="205"/>
      <c r="U146" s="205"/>
      <c r="V146" s="216"/>
      <c r="W146" s="212"/>
      <c r="X146" s="10">
        <v>7</v>
      </c>
      <c r="Y146" s="10">
        <v>7</v>
      </c>
      <c r="Z146" s="213">
        <f t="shared" si="59"/>
        <v>65000</v>
      </c>
      <c r="AA146" s="62"/>
      <c r="AB146" s="62"/>
      <c r="AC146" s="62"/>
      <c r="AD146" s="62"/>
      <c r="AE146" s="62"/>
      <c r="AF146" s="63"/>
      <c r="AG146" s="64"/>
      <c r="AH146" s="6">
        <v>1</v>
      </c>
      <c r="AI146">
        <f t="shared" si="60"/>
        <v>25</v>
      </c>
      <c r="AJ146">
        <f t="shared" si="61"/>
        <v>25</v>
      </c>
      <c r="AK146">
        <f t="shared" si="62"/>
        <v>0</v>
      </c>
      <c r="AL146">
        <f t="shared" si="63"/>
        <v>0</v>
      </c>
      <c r="AM146">
        <f t="shared" si="64"/>
        <v>0</v>
      </c>
      <c r="AN146">
        <f t="shared" si="65"/>
        <v>0</v>
      </c>
      <c r="AO146">
        <f t="shared" si="66"/>
        <v>0</v>
      </c>
      <c r="AP146">
        <f t="shared" si="67"/>
        <v>0</v>
      </c>
      <c r="AQ146">
        <f t="shared" si="68"/>
        <v>0</v>
      </c>
      <c r="AR146">
        <f t="shared" si="69"/>
        <v>0</v>
      </c>
      <c r="AS146">
        <f t="shared" si="70"/>
        <v>0</v>
      </c>
      <c r="AT146">
        <f t="shared" si="71"/>
        <v>0</v>
      </c>
      <c r="AU146">
        <f t="shared" si="72"/>
        <v>1</v>
      </c>
      <c r="AV146">
        <f t="shared" si="73"/>
        <v>1</v>
      </c>
      <c r="AW146">
        <f t="shared" si="74"/>
        <v>1</v>
      </c>
      <c r="AX146">
        <f t="shared" si="75"/>
        <v>1</v>
      </c>
      <c r="AY146">
        <f t="shared" si="76"/>
        <v>60000</v>
      </c>
      <c r="AZ146">
        <f t="shared" si="77"/>
        <v>60000</v>
      </c>
      <c r="BA146">
        <f t="shared" si="78"/>
        <v>0</v>
      </c>
      <c r="BB146">
        <f t="shared" si="79"/>
        <v>0</v>
      </c>
      <c r="BC146">
        <f t="shared" si="80"/>
        <v>0</v>
      </c>
      <c r="BD146">
        <f t="shared" si="81"/>
        <v>0</v>
      </c>
      <c r="BE146">
        <f t="shared" si="82"/>
        <v>0</v>
      </c>
      <c r="BF146">
        <f t="shared" si="83"/>
        <v>0</v>
      </c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</row>
    <row r="147" spans="1:256" s="201" customFormat="1" ht="14.25" x14ac:dyDescent="0.2">
      <c r="A147" s="10">
        <v>2890</v>
      </c>
      <c r="B147" s="11" t="s">
        <v>668</v>
      </c>
      <c r="C147" s="105" t="s">
        <v>669</v>
      </c>
      <c r="D147" s="11" t="s">
        <v>105</v>
      </c>
      <c r="E147" s="12">
        <v>11801</v>
      </c>
      <c r="F147" s="202">
        <v>22</v>
      </c>
      <c r="G147" s="11">
        <v>60000</v>
      </c>
      <c r="H147" s="116">
        <v>0</v>
      </c>
      <c r="I147" s="192"/>
      <c r="J147" s="204"/>
      <c r="K147" s="193"/>
      <c r="L147" s="193"/>
      <c r="M147" s="193"/>
      <c r="N147" s="203">
        <f t="shared" si="56"/>
        <v>60000</v>
      </c>
      <c r="O147" s="203">
        <f t="shared" si="57"/>
        <v>60000</v>
      </c>
      <c r="P147" s="203">
        <f t="shared" si="58"/>
        <v>60000</v>
      </c>
      <c r="Q147" s="214"/>
      <c r="R147" s="215"/>
      <c r="S147" s="218">
        <v>45650</v>
      </c>
      <c r="T147" s="205"/>
      <c r="U147" s="205"/>
      <c r="V147" s="216"/>
      <c r="W147" s="212"/>
      <c r="X147" s="10">
        <v>7</v>
      </c>
      <c r="Y147" s="10">
        <v>7</v>
      </c>
      <c r="Z147" s="213">
        <f t="shared" si="59"/>
        <v>60000</v>
      </c>
      <c r="AA147" s="62"/>
      <c r="AB147" s="62"/>
      <c r="AC147" s="62"/>
      <c r="AD147" s="62"/>
      <c r="AE147" s="62"/>
      <c r="AF147" s="63"/>
      <c r="AG147" s="64"/>
      <c r="AH147" s="6">
        <v>1</v>
      </c>
      <c r="AI147">
        <f t="shared" si="60"/>
        <v>25</v>
      </c>
      <c r="AJ147">
        <f t="shared" si="61"/>
        <v>25</v>
      </c>
      <c r="AK147">
        <f t="shared" si="62"/>
        <v>0</v>
      </c>
      <c r="AL147">
        <f t="shared" si="63"/>
        <v>0</v>
      </c>
      <c r="AM147">
        <f t="shared" si="64"/>
        <v>0</v>
      </c>
      <c r="AN147">
        <f t="shared" si="65"/>
        <v>0</v>
      </c>
      <c r="AO147">
        <f t="shared" si="66"/>
        <v>0</v>
      </c>
      <c r="AP147">
        <f t="shared" si="67"/>
        <v>0</v>
      </c>
      <c r="AQ147">
        <f t="shared" si="68"/>
        <v>0</v>
      </c>
      <c r="AR147">
        <f t="shared" si="69"/>
        <v>0</v>
      </c>
      <c r="AS147">
        <f t="shared" si="70"/>
        <v>0</v>
      </c>
      <c r="AT147">
        <f t="shared" si="71"/>
        <v>0</v>
      </c>
      <c r="AU147">
        <f t="shared" si="72"/>
        <v>1</v>
      </c>
      <c r="AV147">
        <f t="shared" si="73"/>
        <v>1</v>
      </c>
      <c r="AW147">
        <f t="shared" si="74"/>
        <v>1</v>
      </c>
      <c r="AX147">
        <f t="shared" si="75"/>
        <v>1</v>
      </c>
      <c r="AY147">
        <f t="shared" si="76"/>
        <v>60000</v>
      </c>
      <c r="AZ147">
        <f t="shared" si="77"/>
        <v>60000</v>
      </c>
      <c r="BA147">
        <f t="shared" si="78"/>
        <v>0</v>
      </c>
      <c r="BB147">
        <f t="shared" si="79"/>
        <v>0</v>
      </c>
      <c r="BC147">
        <f t="shared" si="80"/>
        <v>0</v>
      </c>
      <c r="BD147">
        <f t="shared" si="81"/>
        <v>0</v>
      </c>
      <c r="BE147">
        <f t="shared" si="82"/>
        <v>0</v>
      </c>
      <c r="BF147">
        <f t="shared" si="83"/>
        <v>0</v>
      </c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</row>
    <row r="148" spans="1:256" s="201" customFormat="1" ht="14.25" x14ac:dyDescent="0.2">
      <c r="A148" s="10">
        <v>2892</v>
      </c>
      <c r="B148" s="11" t="s">
        <v>670</v>
      </c>
      <c r="C148" s="105" t="s">
        <v>671</v>
      </c>
      <c r="D148" s="11" t="s">
        <v>105</v>
      </c>
      <c r="E148" s="12">
        <v>11803</v>
      </c>
      <c r="F148" s="202">
        <v>22</v>
      </c>
      <c r="G148" s="11">
        <v>60000</v>
      </c>
      <c r="H148" s="116">
        <v>0</v>
      </c>
      <c r="I148" s="192"/>
      <c r="J148" s="204"/>
      <c r="K148" s="193"/>
      <c r="L148" s="193"/>
      <c r="M148" s="193"/>
      <c r="N148" s="203">
        <f t="shared" si="56"/>
        <v>60000</v>
      </c>
      <c r="O148" s="203">
        <f t="shared" si="57"/>
        <v>60000</v>
      </c>
      <c r="P148" s="203">
        <f t="shared" si="58"/>
        <v>60000</v>
      </c>
      <c r="Q148" s="214"/>
      <c r="R148" s="215"/>
      <c r="S148" s="218">
        <v>45644</v>
      </c>
      <c r="T148" s="205"/>
      <c r="U148" s="205"/>
      <c r="V148" s="216"/>
      <c r="W148" s="212"/>
      <c r="X148" s="10">
        <v>7</v>
      </c>
      <c r="Y148" s="10">
        <v>7</v>
      </c>
      <c r="Z148" s="213">
        <f t="shared" si="59"/>
        <v>60000</v>
      </c>
      <c r="AA148" s="62"/>
      <c r="AB148" s="62"/>
      <c r="AC148" s="62"/>
      <c r="AD148" s="62"/>
      <c r="AE148" s="62"/>
      <c r="AF148" s="63"/>
      <c r="AG148" s="64"/>
      <c r="AH148" s="6">
        <v>1</v>
      </c>
      <c r="AI148">
        <f t="shared" si="60"/>
        <v>25</v>
      </c>
      <c r="AJ148">
        <f t="shared" si="61"/>
        <v>25</v>
      </c>
      <c r="AK148">
        <f t="shared" si="62"/>
        <v>0</v>
      </c>
      <c r="AL148">
        <f t="shared" si="63"/>
        <v>0</v>
      </c>
      <c r="AM148">
        <f t="shared" si="64"/>
        <v>0</v>
      </c>
      <c r="AN148">
        <f t="shared" si="65"/>
        <v>0</v>
      </c>
      <c r="AO148">
        <f t="shared" si="66"/>
        <v>0</v>
      </c>
      <c r="AP148">
        <f t="shared" si="67"/>
        <v>0</v>
      </c>
      <c r="AQ148">
        <f t="shared" si="68"/>
        <v>0</v>
      </c>
      <c r="AR148">
        <f t="shared" si="69"/>
        <v>0</v>
      </c>
      <c r="AS148">
        <f t="shared" si="70"/>
        <v>0</v>
      </c>
      <c r="AT148">
        <f t="shared" si="71"/>
        <v>0</v>
      </c>
      <c r="AU148">
        <f t="shared" si="72"/>
        <v>1</v>
      </c>
      <c r="AV148">
        <f t="shared" si="73"/>
        <v>1</v>
      </c>
      <c r="AW148">
        <f t="shared" si="74"/>
        <v>1</v>
      </c>
      <c r="AX148">
        <f t="shared" si="75"/>
        <v>1</v>
      </c>
      <c r="AY148">
        <f t="shared" si="76"/>
        <v>60000</v>
      </c>
      <c r="AZ148">
        <f t="shared" si="77"/>
        <v>60000</v>
      </c>
      <c r="BA148">
        <f t="shared" si="78"/>
        <v>0</v>
      </c>
      <c r="BB148">
        <f t="shared" si="79"/>
        <v>0</v>
      </c>
      <c r="BC148">
        <f t="shared" si="80"/>
        <v>0</v>
      </c>
      <c r="BD148">
        <f t="shared" si="81"/>
        <v>0</v>
      </c>
      <c r="BE148">
        <f t="shared" si="82"/>
        <v>0</v>
      </c>
      <c r="BF148">
        <f t="shared" si="83"/>
        <v>0</v>
      </c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</row>
    <row r="149" spans="1:256" s="201" customFormat="1" ht="14.25" x14ac:dyDescent="0.2">
      <c r="A149" s="10">
        <v>2897</v>
      </c>
      <c r="B149" s="11" t="s">
        <v>672</v>
      </c>
      <c r="C149" s="105" t="s">
        <v>673</v>
      </c>
      <c r="D149" s="11" t="s">
        <v>106</v>
      </c>
      <c r="E149" s="12">
        <v>11810</v>
      </c>
      <c r="F149" s="202">
        <v>22</v>
      </c>
      <c r="G149" s="11">
        <v>60000</v>
      </c>
      <c r="H149" s="116">
        <v>0</v>
      </c>
      <c r="I149" s="192"/>
      <c r="J149" s="204"/>
      <c r="K149" s="193"/>
      <c r="L149" s="193"/>
      <c r="M149" s="193"/>
      <c r="N149" s="203">
        <f t="shared" si="56"/>
        <v>60000</v>
      </c>
      <c r="O149" s="203">
        <f t="shared" si="57"/>
        <v>60000</v>
      </c>
      <c r="P149" s="203">
        <f t="shared" si="58"/>
        <v>60000</v>
      </c>
      <c r="Q149" s="214"/>
      <c r="R149" s="215"/>
      <c r="S149" s="218">
        <v>45638</v>
      </c>
      <c r="T149" s="205"/>
      <c r="U149" s="205"/>
      <c r="V149" s="216"/>
      <c r="W149" s="212"/>
      <c r="X149" s="10">
        <v>7</v>
      </c>
      <c r="Y149" s="10">
        <v>7</v>
      </c>
      <c r="Z149" s="213">
        <f t="shared" si="59"/>
        <v>60000</v>
      </c>
      <c r="AA149" s="62"/>
      <c r="AB149" s="62"/>
      <c r="AC149" s="62"/>
      <c r="AD149" s="62"/>
      <c r="AE149" s="62"/>
      <c r="AF149" s="63"/>
      <c r="AG149" s="64"/>
      <c r="AH149" s="6">
        <v>1</v>
      </c>
      <c r="AI149">
        <f t="shared" si="60"/>
        <v>25</v>
      </c>
      <c r="AJ149">
        <f t="shared" si="61"/>
        <v>25</v>
      </c>
      <c r="AK149">
        <f t="shared" si="62"/>
        <v>0</v>
      </c>
      <c r="AL149">
        <f t="shared" si="63"/>
        <v>0</v>
      </c>
      <c r="AM149">
        <f t="shared" si="64"/>
        <v>0</v>
      </c>
      <c r="AN149">
        <f t="shared" si="65"/>
        <v>0</v>
      </c>
      <c r="AO149">
        <f t="shared" si="66"/>
        <v>0</v>
      </c>
      <c r="AP149">
        <f t="shared" si="67"/>
        <v>0</v>
      </c>
      <c r="AQ149">
        <f t="shared" si="68"/>
        <v>0</v>
      </c>
      <c r="AR149">
        <f t="shared" si="69"/>
        <v>0</v>
      </c>
      <c r="AS149">
        <f t="shared" si="70"/>
        <v>0</v>
      </c>
      <c r="AT149">
        <f t="shared" si="71"/>
        <v>0</v>
      </c>
      <c r="AU149">
        <f t="shared" si="72"/>
        <v>1</v>
      </c>
      <c r="AV149">
        <f t="shared" si="73"/>
        <v>1</v>
      </c>
      <c r="AW149">
        <f t="shared" si="74"/>
        <v>1</v>
      </c>
      <c r="AX149">
        <f t="shared" si="75"/>
        <v>1</v>
      </c>
      <c r="AY149">
        <f t="shared" si="76"/>
        <v>60000</v>
      </c>
      <c r="AZ149">
        <f t="shared" si="77"/>
        <v>60000</v>
      </c>
      <c r="BA149">
        <f t="shared" si="78"/>
        <v>0</v>
      </c>
      <c r="BB149">
        <f t="shared" si="79"/>
        <v>0</v>
      </c>
      <c r="BC149">
        <f t="shared" si="80"/>
        <v>0</v>
      </c>
      <c r="BD149">
        <f t="shared" si="81"/>
        <v>0</v>
      </c>
      <c r="BE149">
        <f t="shared" si="82"/>
        <v>0</v>
      </c>
      <c r="BF149">
        <f t="shared" si="83"/>
        <v>0</v>
      </c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</row>
    <row r="150" spans="1:256" s="201" customFormat="1" ht="14.25" x14ac:dyDescent="0.2">
      <c r="A150" s="10">
        <v>2900</v>
      </c>
      <c r="B150" s="11" t="s">
        <v>674</v>
      </c>
      <c r="C150" s="105" t="s">
        <v>675</v>
      </c>
      <c r="D150" s="11" t="s">
        <v>173</v>
      </c>
      <c r="E150" s="12">
        <v>11813</v>
      </c>
      <c r="F150" s="202">
        <v>22</v>
      </c>
      <c r="G150" s="11">
        <v>60000</v>
      </c>
      <c r="H150" s="116">
        <v>0</v>
      </c>
      <c r="I150" s="192"/>
      <c r="J150" s="204"/>
      <c r="K150" s="193"/>
      <c r="L150" s="193"/>
      <c r="M150" s="193"/>
      <c r="N150" s="203">
        <f t="shared" si="56"/>
        <v>60000</v>
      </c>
      <c r="O150" s="203">
        <f t="shared" si="57"/>
        <v>60000</v>
      </c>
      <c r="P150" s="203">
        <f t="shared" si="58"/>
        <v>60000</v>
      </c>
      <c r="Q150" s="214"/>
      <c r="R150" s="215"/>
      <c r="S150" s="218">
        <v>45649</v>
      </c>
      <c r="T150" s="205"/>
      <c r="U150" s="205"/>
      <c r="V150" s="216"/>
      <c r="W150" s="212"/>
      <c r="X150" s="10">
        <v>7</v>
      </c>
      <c r="Y150" s="10">
        <v>7</v>
      </c>
      <c r="Z150" s="213">
        <f t="shared" si="59"/>
        <v>60000</v>
      </c>
      <c r="AA150" s="62"/>
      <c r="AB150" s="62"/>
      <c r="AC150" s="62"/>
      <c r="AD150" s="62"/>
      <c r="AE150" s="62"/>
      <c r="AF150" s="63"/>
      <c r="AG150" s="64"/>
      <c r="AH150" s="6">
        <v>1</v>
      </c>
      <c r="AI150">
        <f t="shared" si="60"/>
        <v>25</v>
      </c>
      <c r="AJ150">
        <f t="shared" si="61"/>
        <v>25</v>
      </c>
      <c r="AK150">
        <f t="shared" si="62"/>
        <v>0</v>
      </c>
      <c r="AL150">
        <f t="shared" si="63"/>
        <v>0</v>
      </c>
      <c r="AM150">
        <f t="shared" si="64"/>
        <v>0</v>
      </c>
      <c r="AN150">
        <f t="shared" si="65"/>
        <v>0</v>
      </c>
      <c r="AO150">
        <f t="shared" si="66"/>
        <v>0</v>
      </c>
      <c r="AP150">
        <f t="shared" si="67"/>
        <v>0</v>
      </c>
      <c r="AQ150">
        <f t="shared" si="68"/>
        <v>0</v>
      </c>
      <c r="AR150">
        <f t="shared" si="69"/>
        <v>0</v>
      </c>
      <c r="AS150">
        <f t="shared" si="70"/>
        <v>0</v>
      </c>
      <c r="AT150">
        <f t="shared" si="71"/>
        <v>0</v>
      </c>
      <c r="AU150">
        <f t="shared" si="72"/>
        <v>1</v>
      </c>
      <c r="AV150">
        <f t="shared" si="73"/>
        <v>1</v>
      </c>
      <c r="AW150">
        <f t="shared" si="74"/>
        <v>1</v>
      </c>
      <c r="AX150">
        <f t="shared" si="75"/>
        <v>1</v>
      </c>
      <c r="AY150">
        <f t="shared" si="76"/>
        <v>60000</v>
      </c>
      <c r="AZ150">
        <f t="shared" si="77"/>
        <v>60000</v>
      </c>
      <c r="BA150">
        <f t="shared" si="78"/>
        <v>0</v>
      </c>
      <c r="BB150">
        <f t="shared" si="79"/>
        <v>0</v>
      </c>
      <c r="BC150">
        <f t="shared" si="80"/>
        <v>0</v>
      </c>
      <c r="BD150">
        <f t="shared" si="81"/>
        <v>0</v>
      </c>
      <c r="BE150">
        <f t="shared" si="82"/>
        <v>0</v>
      </c>
      <c r="BF150">
        <f t="shared" si="83"/>
        <v>0</v>
      </c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</row>
    <row r="151" spans="1:256" s="201" customFormat="1" ht="14.25" x14ac:dyDescent="0.2">
      <c r="A151" s="10">
        <v>2902</v>
      </c>
      <c r="B151" s="11" t="s">
        <v>371</v>
      </c>
      <c r="C151" s="105" t="s">
        <v>372</v>
      </c>
      <c r="D151" s="11" t="s">
        <v>373</v>
      </c>
      <c r="E151" s="12">
        <v>11816</v>
      </c>
      <c r="F151" s="202">
        <v>22</v>
      </c>
      <c r="G151" s="11">
        <v>20000</v>
      </c>
      <c r="H151" s="116">
        <v>0</v>
      </c>
      <c r="I151" s="192"/>
      <c r="J151" s="204"/>
      <c r="K151" s="193"/>
      <c r="L151" s="193"/>
      <c r="M151" s="193"/>
      <c r="N151" s="203">
        <f t="shared" si="56"/>
        <v>20000</v>
      </c>
      <c r="O151" s="203">
        <f t="shared" si="57"/>
        <v>20000</v>
      </c>
      <c r="P151" s="203">
        <f t="shared" si="58"/>
        <v>20000</v>
      </c>
      <c r="Q151" s="214"/>
      <c r="R151" s="215"/>
      <c r="S151" s="218">
        <v>45647</v>
      </c>
      <c r="T151" s="205"/>
      <c r="U151" s="205"/>
      <c r="V151" s="216"/>
      <c r="W151" s="212"/>
      <c r="X151" s="10">
        <v>7</v>
      </c>
      <c r="Y151" s="10">
        <v>7</v>
      </c>
      <c r="Z151" s="213">
        <f t="shared" si="59"/>
        <v>20000</v>
      </c>
      <c r="AA151" s="62"/>
      <c r="AB151" s="62"/>
      <c r="AC151" s="62"/>
      <c r="AD151" s="62"/>
      <c r="AE151" s="62"/>
      <c r="AF151" s="63"/>
      <c r="AG151" s="64"/>
      <c r="AH151" s="6">
        <v>1</v>
      </c>
      <c r="AI151">
        <f t="shared" si="60"/>
        <v>25</v>
      </c>
      <c r="AJ151">
        <f t="shared" si="61"/>
        <v>25</v>
      </c>
      <c r="AK151">
        <f t="shared" si="62"/>
        <v>0</v>
      </c>
      <c r="AL151">
        <f t="shared" si="63"/>
        <v>0</v>
      </c>
      <c r="AM151">
        <f t="shared" si="64"/>
        <v>0</v>
      </c>
      <c r="AN151">
        <f t="shared" si="65"/>
        <v>0</v>
      </c>
      <c r="AO151">
        <f t="shared" si="66"/>
        <v>0</v>
      </c>
      <c r="AP151">
        <f t="shared" si="67"/>
        <v>0</v>
      </c>
      <c r="AQ151">
        <f t="shared" si="68"/>
        <v>0</v>
      </c>
      <c r="AR151">
        <f t="shared" si="69"/>
        <v>0</v>
      </c>
      <c r="AS151">
        <f t="shared" si="70"/>
        <v>0</v>
      </c>
      <c r="AT151">
        <f t="shared" si="71"/>
        <v>0</v>
      </c>
      <c r="AU151">
        <f t="shared" si="72"/>
        <v>1</v>
      </c>
      <c r="AV151">
        <f t="shared" si="73"/>
        <v>1</v>
      </c>
      <c r="AW151">
        <f t="shared" si="74"/>
        <v>1</v>
      </c>
      <c r="AX151">
        <f t="shared" si="75"/>
        <v>1</v>
      </c>
      <c r="AY151">
        <f t="shared" si="76"/>
        <v>20000</v>
      </c>
      <c r="AZ151">
        <f t="shared" si="77"/>
        <v>20000</v>
      </c>
      <c r="BA151">
        <f t="shared" si="78"/>
        <v>0</v>
      </c>
      <c r="BB151">
        <f t="shared" si="79"/>
        <v>0</v>
      </c>
      <c r="BC151">
        <f t="shared" si="80"/>
        <v>0</v>
      </c>
      <c r="BD151">
        <f t="shared" si="81"/>
        <v>0</v>
      </c>
      <c r="BE151">
        <f t="shared" si="82"/>
        <v>0</v>
      </c>
      <c r="BF151">
        <f t="shared" si="83"/>
        <v>0</v>
      </c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</row>
    <row r="152" spans="1:256" s="201" customFormat="1" ht="14.25" x14ac:dyDescent="0.2">
      <c r="A152" s="10">
        <v>2906</v>
      </c>
      <c r="B152" s="11" t="s">
        <v>676</v>
      </c>
      <c r="C152" s="105" t="s">
        <v>677</v>
      </c>
      <c r="D152" s="11" t="s">
        <v>160</v>
      </c>
      <c r="E152" s="12">
        <v>11825</v>
      </c>
      <c r="F152" s="202">
        <v>22</v>
      </c>
      <c r="G152" s="11">
        <v>90000</v>
      </c>
      <c r="H152" s="116">
        <v>-55000</v>
      </c>
      <c r="I152" s="192"/>
      <c r="J152" s="204"/>
      <c r="K152" s="193"/>
      <c r="L152" s="193"/>
      <c r="M152" s="193"/>
      <c r="N152" s="203">
        <f t="shared" si="56"/>
        <v>90000</v>
      </c>
      <c r="O152" s="203">
        <f t="shared" si="57"/>
        <v>35000</v>
      </c>
      <c r="P152" s="203">
        <f t="shared" si="58"/>
        <v>35000</v>
      </c>
      <c r="Q152" s="214"/>
      <c r="R152" s="215"/>
      <c r="S152" s="218">
        <v>45644</v>
      </c>
      <c r="T152" s="205"/>
      <c r="U152" s="205"/>
      <c r="V152" s="216"/>
      <c r="W152" s="212"/>
      <c r="X152" s="10">
        <v>7</v>
      </c>
      <c r="Y152" s="10">
        <v>7</v>
      </c>
      <c r="Z152" s="213">
        <f t="shared" si="59"/>
        <v>90000</v>
      </c>
      <c r="AA152" s="62"/>
      <c r="AB152" s="62"/>
      <c r="AC152" s="62"/>
      <c r="AD152" s="62"/>
      <c r="AE152" s="62"/>
      <c r="AF152" s="63"/>
      <c r="AG152" s="64"/>
      <c r="AH152" s="6">
        <v>1</v>
      </c>
      <c r="AI152">
        <f t="shared" si="60"/>
        <v>25</v>
      </c>
      <c r="AJ152">
        <f t="shared" si="61"/>
        <v>25</v>
      </c>
      <c r="AK152">
        <f t="shared" si="62"/>
        <v>0</v>
      </c>
      <c r="AL152">
        <f t="shared" si="63"/>
        <v>0</v>
      </c>
      <c r="AM152">
        <f t="shared" si="64"/>
        <v>0</v>
      </c>
      <c r="AN152">
        <f t="shared" si="65"/>
        <v>0</v>
      </c>
      <c r="AO152">
        <f t="shared" si="66"/>
        <v>0</v>
      </c>
      <c r="AP152">
        <f t="shared" si="67"/>
        <v>0</v>
      </c>
      <c r="AQ152">
        <f t="shared" si="68"/>
        <v>0</v>
      </c>
      <c r="AR152">
        <f t="shared" si="69"/>
        <v>0</v>
      </c>
      <c r="AS152">
        <f t="shared" si="70"/>
        <v>0</v>
      </c>
      <c r="AT152">
        <f t="shared" si="71"/>
        <v>0</v>
      </c>
      <c r="AU152">
        <f t="shared" si="72"/>
        <v>1</v>
      </c>
      <c r="AV152">
        <f t="shared" si="73"/>
        <v>1</v>
      </c>
      <c r="AW152">
        <f t="shared" si="74"/>
        <v>1</v>
      </c>
      <c r="AX152">
        <f t="shared" si="75"/>
        <v>1</v>
      </c>
      <c r="AY152">
        <f t="shared" si="76"/>
        <v>35000</v>
      </c>
      <c r="AZ152">
        <f t="shared" si="77"/>
        <v>35000</v>
      </c>
      <c r="BA152">
        <f t="shared" si="78"/>
        <v>0</v>
      </c>
      <c r="BB152">
        <f t="shared" si="79"/>
        <v>0</v>
      </c>
      <c r="BC152">
        <f t="shared" si="80"/>
        <v>0</v>
      </c>
      <c r="BD152">
        <f t="shared" si="81"/>
        <v>0</v>
      </c>
      <c r="BE152">
        <f t="shared" si="82"/>
        <v>0</v>
      </c>
      <c r="BF152">
        <f t="shared" si="83"/>
        <v>0</v>
      </c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</row>
    <row r="153" spans="1:256" s="201" customFormat="1" ht="14.25" x14ac:dyDescent="0.2">
      <c r="A153" s="10">
        <v>2918</v>
      </c>
      <c r="B153" s="11" t="s">
        <v>310</v>
      </c>
      <c r="C153" s="105" t="s">
        <v>311</v>
      </c>
      <c r="D153" s="11" t="s">
        <v>106</v>
      </c>
      <c r="E153" s="12">
        <v>11786</v>
      </c>
      <c r="F153" s="202">
        <v>21</v>
      </c>
      <c r="G153" s="11">
        <v>35000</v>
      </c>
      <c r="H153" s="116">
        <v>0</v>
      </c>
      <c r="I153" s="192"/>
      <c r="J153" s="204"/>
      <c r="K153" s="193"/>
      <c r="L153" s="193"/>
      <c r="M153" s="193"/>
      <c r="N153" s="203">
        <f t="shared" si="56"/>
        <v>35000</v>
      </c>
      <c r="O153" s="203">
        <f t="shared" si="57"/>
        <v>35000</v>
      </c>
      <c r="P153" s="203">
        <f t="shared" si="58"/>
        <v>35000</v>
      </c>
      <c r="Q153" s="214"/>
      <c r="R153" s="215"/>
      <c r="S153" s="218">
        <v>45652</v>
      </c>
      <c r="T153" s="205"/>
      <c r="U153" s="205"/>
      <c r="V153" s="216"/>
      <c r="W153" s="212"/>
      <c r="X153" s="10">
        <v>7</v>
      </c>
      <c r="Y153" s="10">
        <v>7</v>
      </c>
      <c r="Z153" s="213">
        <f t="shared" si="59"/>
        <v>35000</v>
      </c>
      <c r="AA153" s="62"/>
      <c r="AB153" s="62"/>
      <c r="AC153" s="62"/>
      <c r="AD153" s="62"/>
      <c r="AE153" s="62"/>
      <c r="AF153" s="63"/>
      <c r="AG153" s="64"/>
      <c r="AH153" s="6">
        <v>1</v>
      </c>
      <c r="AI153">
        <f t="shared" si="60"/>
        <v>25</v>
      </c>
      <c r="AJ153">
        <f t="shared" si="61"/>
        <v>25</v>
      </c>
      <c r="AK153">
        <f t="shared" si="62"/>
        <v>0</v>
      </c>
      <c r="AL153">
        <f t="shared" si="63"/>
        <v>0</v>
      </c>
      <c r="AM153">
        <f t="shared" si="64"/>
        <v>0</v>
      </c>
      <c r="AN153">
        <f t="shared" si="65"/>
        <v>0</v>
      </c>
      <c r="AO153">
        <f t="shared" si="66"/>
        <v>0</v>
      </c>
      <c r="AP153">
        <f t="shared" si="67"/>
        <v>0</v>
      </c>
      <c r="AQ153">
        <f t="shared" si="68"/>
        <v>0</v>
      </c>
      <c r="AR153">
        <f t="shared" si="69"/>
        <v>0</v>
      </c>
      <c r="AS153">
        <f t="shared" si="70"/>
        <v>0</v>
      </c>
      <c r="AT153">
        <f t="shared" si="71"/>
        <v>0</v>
      </c>
      <c r="AU153">
        <f t="shared" si="72"/>
        <v>1</v>
      </c>
      <c r="AV153">
        <f t="shared" si="73"/>
        <v>1</v>
      </c>
      <c r="AW153">
        <f t="shared" si="74"/>
        <v>1</v>
      </c>
      <c r="AX153">
        <f t="shared" si="75"/>
        <v>1</v>
      </c>
      <c r="AY153">
        <f t="shared" si="76"/>
        <v>35000</v>
      </c>
      <c r="AZ153">
        <f t="shared" si="77"/>
        <v>35000</v>
      </c>
      <c r="BA153">
        <f t="shared" si="78"/>
        <v>0</v>
      </c>
      <c r="BB153">
        <f t="shared" si="79"/>
        <v>0</v>
      </c>
      <c r="BC153">
        <f t="shared" si="80"/>
        <v>0</v>
      </c>
      <c r="BD153">
        <f t="shared" si="81"/>
        <v>0</v>
      </c>
      <c r="BE153">
        <f t="shared" si="82"/>
        <v>0</v>
      </c>
      <c r="BF153">
        <f t="shared" si="83"/>
        <v>0</v>
      </c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</row>
    <row r="154" spans="1:256" s="201" customFormat="1" ht="14.25" x14ac:dyDescent="0.2">
      <c r="A154" s="10">
        <v>2919</v>
      </c>
      <c r="B154" s="11" t="s">
        <v>374</v>
      </c>
      <c r="C154" s="105" t="s">
        <v>375</v>
      </c>
      <c r="D154" s="11" t="s">
        <v>157</v>
      </c>
      <c r="E154" s="12">
        <v>11804</v>
      </c>
      <c r="F154" s="202">
        <v>21</v>
      </c>
      <c r="G154" s="11">
        <v>60000</v>
      </c>
      <c r="H154" s="116">
        <v>-15000</v>
      </c>
      <c r="I154" s="192"/>
      <c r="J154" s="204"/>
      <c r="K154" s="193"/>
      <c r="L154" s="193"/>
      <c r="M154" s="193"/>
      <c r="N154" s="203">
        <f t="shared" si="56"/>
        <v>60000</v>
      </c>
      <c r="O154" s="203">
        <f t="shared" si="57"/>
        <v>45000</v>
      </c>
      <c r="P154" s="203">
        <f t="shared" si="58"/>
        <v>45000</v>
      </c>
      <c r="Q154" s="214"/>
      <c r="R154" s="215"/>
      <c r="S154" s="218">
        <v>45635</v>
      </c>
      <c r="T154" s="205"/>
      <c r="U154" s="205"/>
      <c r="V154" s="216"/>
      <c r="W154" s="212"/>
      <c r="X154" s="10">
        <v>7</v>
      </c>
      <c r="Y154" s="10">
        <v>7</v>
      </c>
      <c r="Z154" s="213">
        <f t="shared" si="59"/>
        <v>60000</v>
      </c>
      <c r="AA154" s="62"/>
      <c r="AB154" s="62"/>
      <c r="AC154" s="62"/>
      <c r="AD154" s="62"/>
      <c r="AE154" s="62"/>
      <c r="AF154" s="63"/>
      <c r="AG154" s="64"/>
      <c r="AH154" s="6">
        <v>1</v>
      </c>
      <c r="AI154">
        <f t="shared" si="60"/>
        <v>25</v>
      </c>
      <c r="AJ154">
        <f t="shared" si="61"/>
        <v>25</v>
      </c>
      <c r="AK154">
        <f t="shared" si="62"/>
        <v>0</v>
      </c>
      <c r="AL154">
        <f t="shared" si="63"/>
        <v>0</v>
      </c>
      <c r="AM154">
        <f t="shared" si="64"/>
        <v>0</v>
      </c>
      <c r="AN154">
        <f t="shared" si="65"/>
        <v>0</v>
      </c>
      <c r="AO154">
        <f t="shared" si="66"/>
        <v>0</v>
      </c>
      <c r="AP154">
        <f t="shared" si="67"/>
        <v>0</v>
      </c>
      <c r="AQ154">
        <f t="shared" si="68"/>
        <v>0</v>
      </c>
      <c r="AR154">
        <f t="shared" si="69"/>
        <v>0</v>
      </c>
      <c r="AS154">
        <f t="shared" si="70"/>
        <v>0</v>
      </c>
      <c r="AT154">
        <f t="shared" si="71"/>
        <v>0</v>
      </c>
      <c r="AU154">
        <f t="shared" si="72"/>
        <v>1</v>
      </c>
      <c r="AV154">
        <f t="shared" si="73"/>
        <v>1</v>
      </c>
      <c r="AW154">
        <f t="shared" si="74"/>
        <v>1</v>
      </c>
      <c r="AX154">
        <f t="shared" si="75"/>
        <v>1</v>
      </c>
      <c r="AY154">
        <f t="shared" si="76"/>
        <v>45000</v>
      </c>
      <c r="AZ154">
        <f t="shared" si="77"/>
        <v>45000</v>
      </c>
      <c r="BA154">
        <f t="shared" si="78"/>
        <v>0</v>
      </c>
      <c r="BB154">
        <f t="shared" si="79"/>
        <v>0</v>
      </c>
      <c r="BC154">
        <f t="shared" si="80"/>
        <v>0</v>
      </c>
      <c r="BD154">
        <f t="shared" si="81"/>
        <v>0</v>
      </c>
      <c r="BE154">
        <f t="shared" si="82"/>
        <v>0</v>
      </c>
      <c r="BF154">
        <f t="shared" si="83"/>
        <v>0</v>
      </c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</row>
    <row r="155" spans="1:256" s="201" customFormat="1" ht="14.25" x14ac:dyDescent="0.2">
      <c r="A155" s="10">
        <v>2921</v>
      </c>
      <c r="B155" s="11" t="s">
        <v>678</v>
      </c>
      <c r="C155" s="105" t="s">
        <v>679</v>
      </c>
      <c r="D155" s="11" t="s">
        <v>147</v>
      </c>
      <c r="E155" s="12">
        <v>11820</v>
      </c>
      <c r="F155" s="202">
        <v>21</v>
      </c>
      <c r="G155" s="11">
        <v>60000</v>
      </c>
      <c r="H155" s="116">
        <v>0</v>
      </c>
      <c r="I155" s="192"/>
      <c r="J155" s="204"/>
      <c r="K155" s="193"/>
      <c r="L155" s="193"/>
      <c r="M155" s="193"/>
      <c r="N155" s="203">
        <f t="shared" si="56"/>
        <v>60000</v>
      </c>
      <c r="O155" s="203">
        <f t="shared" si="57"/>
        <v>60000</v>
      </c>
      <c r="P155" s="203">
        <f t="shared" si="58"/>
        <v>60000</v>
      </c>
      <c r="Q155" s="214">
        <v>45665</v>
      </c>
      <c r="R155" s="215"/>
      <c r="S155" s="218">
        <v>45636</v>
      </c>
      <c r="T155" s="205"/>
      <c r="U155" s="205"/>
      <c r="V155" s="216" t="s">
        <v>1131</v>
      </c>
      <c r="W155" s="212"/>
      <c r="X155" s="10">
        <v>7</v>
      </c>
      <c r="Y155" s="10">
        <v>7</v>
      </c>
      <c r="Z155" s="213">
        <f t="shared" si="59"/>
        <v>60000</v>
      </c>
      <c r="AA155" s="62"/>
      <c r="AB155" s="62"/>
      <c r="AC155" s="62"/>
      <c r="AD155" s="62"/>
      <c r="AE155" s="62"/>
      <c r="AF155" s="63"/>
      <c r="AG155" s="64"/>
      <c r="AH155" s="6">
        <v>1</v>
      </c>
      <c r="AI155">
        <f t="shared" si="60"/>
        <v>25</v>
      </c>
      <c r="AJ155">
        <f t="shared" si="61"/>
        <v>25</v>
      </c>
      <c r="AK155">
        <f t="shared" si="62"/>
        <v>0</v>
      </c>
      <c r="AL155">
        <f t="shared" si="63"/>
        <v>0</v>
      </c>
      <c r="AM155">
        <f t="shared" si="64"/>
        <v>0</v>
      </c>
      <c r="AN155">
        <f t="shared" si="65"/>
        <v>0</v>
      </c>
      <c r="AO155">
        <f t="shared" si="66"/>
        <v>0</v>
      </c>
      <c r="AP155">
        <f t="shared" si="67"/>
        <v>0</v>
      </c>
      <c r="AQ155">
        <f t="shared" si="68"/>
        <v>0</v>
      </c>
      <c r="AR155">
        <f t="shared" si="69"/>
        <v>0</v>
      </c>
      <c r="AS155">
        <f t="shared" si="70"/>
        <v>0</v>
      </c>
      <c r="AT155">
        <f t="shared" si="71"/>
        <v>0</v>
      </c>
      <c r="AU155">
        <f t="shared" si="72"/>
        <v>1</v>
      </c>
      <c r="AV155">
        <f t="shared" si="73"/>
        <v>1</v>
      </c>
      <c r="AW155">
        <f t="shared" si="74"/>
        <v>1</v>
      </c>
      <c r="AX155">
        <f t="shared" si="75"/>
        <v>1</v>
      </c>
      <c r="AY155">
        <f t="shared" si="76"/>
        <v>60000</v>
      </c>
      <c r="AZ155">
        <f t="shared" si="77"/>
        <v>60000</v>
      </c>
      <c r="BA155">
        <f t="shared" si="78"/>
        <v>0</v>
      </c>
      <c r="BB155">
        <f t="shared" si="79"/>
        <v>0</v>
      </c>
      <c r="BC155">
        <f t="shared" si="80"/>
        <v>0</v>
      </c>
      <c r="BD155">
        <f t="shared" si="81"/>
        <v>0</v>
      </c>
      <c r="BE155">
        <f t="shared" si="82"/>
        <v>0</v>
      </c>
      <c r="BF155">
        <f t="shared" si="83"/>
        <v>0</v>
      </c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</row>
    <row r="156" spans="1:256" s="201" customFormat="1" ht="14.25" x14ac:dyDescent="0.2">
      <c r="A156" s="10">
        <v>2922</v>
      </c>
      <c r="B156" s="11" t="s">
        <v>680</v>
      </c>
      <c r="C156" s="105" t="s">
        <v>681</v>
      </c>
      <c r="D156" s="11" t="s">
        <v>105</v>
      </c>
      <c r="E156" s="12">
        <v>11822</v>
      </c>
      <c r="F156" s="202">
        <v>21</v>
      </c>
      <c r="G156" s="11">
        <v>60000</v>
      </c>
      <c r="H156" s="116">
        <v>0</v>
      </c>
      <c r="I156" s="192"/>
      <c r="J156" s="204"/>
      <c r="K156" s="193"/>
      <c r="L156" s="193"/>
      <c r="M156" s="193"/>
      <c r="N156" s="203">
        <f t="shared" si="56"/>
        <v>60000</v>
      </c>
      <c r="O156" s="203">
        <f t="shared" si="57"/>
        <v>60000</v>
      </c>
      <c r="P156" s="203">
        <f t="shared" si="58"/>
        <v>60000</v>
      </c>
      <c r="Q156" s="214"/>
      <c r="R156" s="215"/>
      <c r="S156" s="218">
        <v>45638</v>
      </c>
      <c r="T156" s="205"/>
      <c r="U156" s="205"/>
      <c r="V156" s="216"/>
      <c r="W156" s="212"/>
      <c r="X156" s="10">
        <v>7</v>
      </c>
      <c r="Y156" s="10">
        <v>7</v>
      </c>
      <c r="Z156" s="213">
        <f t="shared" si="59"/>
        <v>60000</v>
      </c>
      <c r="AA156" s="62"/>
      <c r="AB156" s="62"/>
      <c r="AC156" s="62"/>
      <c r="AD156" s="62"/>
      <c r="AE156" s="62"/>
      <c r="AF156" s="63"/>
      <c r="AG156" s="64"/>
      <c r="AH156" s="6">
        <v>1</v>
      </c>
      <c r="AI156">
        <f t="shared" si="60"/>
        <v>25</v>
      </c>
      <c r="AJ156">
        <f t="shared" si="61"/>
        <v>25</v>
      </c>
      <c r="AK156">
        <f t="shared" si="62"/>
        <v>0</v>
      </c>
      <c r="AL156">
        <f t="shared" si="63"/>
        <v>0</v>
      </c>
      <c r="AM156">
        <f t="shared" si="64"/>
        <v>0</v>
      </c>
      <c r="AN156">
        <f t="shared" si="65"/>
        <v>0</v>
      </c>
      <c r="AO156">
        <f t="shared" si="66"/>
        <v>0</v>
      </c>
      <c r="AP156">
        <f t="shared" si="67"/>
        <v>0</v>
      </c>
      <c r="AQ156">
        <f t="shared" si="68"/>
        <v>0</v>
      </c>
      <c r="AR156">
        <f t="shared" si="69"/>
        <v>0</v>
      </c>
      <c r="AS156">
        <f t="shared" si="70"/>
        <v>0</v>
      </c>
      <c r="AT156">
        <f t="shared" si="71"/>
        <v>0</v>
      </c>
      <c r="AU156">
        <f t="shared" si="72"/>
        <v>1</v>
      </c>
      <c r="AV156">
        <f t="shared" si="73"/>
        <v>1</v>
      </c>
      <c r="AW156">
        <f t="shared" si="74"/>
        <v>1</v>
      </c>
      <c r="AX156">
        <f t="shared" si="75"/>
        <v>1</v>
      </c>
      <c r="AY156">
        <f t="shared" si="76"/>
        <v>60000</v>
      </c>
      <c r="AZ156">
        <f t="shared" si="77"/>
        <v>60000</v>
      </c>
      <c r="BA156">
        <f t="shared" si="78"/>
        <v>0</v>
      </c>
      <c r="BB156">
        <f t="shared" si="79"/>
        <v>0</v>
      </c>
      <c r="BC156">
        <f t="shared" si="80"/>
        <v>0</v>
      </c>
      <c r="BD156">
        <f t="shared" si="81"/>
        <v>0</v>
      </c>
      <c r="BE156">
        <f t="shared" si="82"/>
        <v>0</v>
      </c>
      <c r="BF156">
        <f t="shared" si="83"/>
        <v>0</v>
      </c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</row>
    <row r="157" spans="1:256" s="201" customFormat="1" ht="14.25" x14ac:dyDescent="0.2">
      <c r="A157" s="10">
        <v>2926</v>
      </c>
      <c r="B157" s="11" t="s">
        <v>682</v>
      </c>
      <c r="C157" s="105" t="s">
        <v>683</v>
      </c>
      <c r="D157" s="11" t="s">
        <v>259</v>
      </c>
      <c r="E157" s="12">
        <v>11834</v>
      </c>
      <c r="F157" s="202">
        <v>21</v>
      </c>
      <c r="G157" s="11">
        <v>60000</v>
      </c>
      <c r="H157" s="116">
        <v>0</v>
      </c>
      <c r="I157" s="192"/>
      <c r="J157" s="204"/>
      <c r="K157" s="193"/>
      <c r="L157" s="193"/>
      <c r="M157" s="193"/>
      <c r="N157" s="203">
        <f t="shared" si="56"/>
        <v>60000</v>
      </c>
      <c r="O157" s="203">
        <f t="shared" si="57"/>
        <v>60000</v>
      </c>
      <c r="P157" s="203">
        <f t="shared" si="58"/>
        <v>60000</v>
      </c>
      <c r="Q157" s="214"/>
      <c r="R157" s="215"/>
      <c r="S157" s="218">
        <v>45652</v>
      </c>
      <c r="T157" s="205"/>
      <c r="U157" s="205"/>
      <c r="V157" s="216"/>
      <c r="W157" s="212"/>
      <c r="X157" s="10">
        <v>7</v>
      </c>
      <c r="Y157" s="10">
        <v>7</v>
      </c>
      <c r="Z157" s="213">
        <f t="shared" si="59"/>
        <v>60000</v>
      </c>
      <c r="AA157" s="62"/>
      <c r="AB157" s="62"/>
      <c r="AC157" s="62"/>
      <c r="AD157" s="62"/>
      <c r="AE157" s="62"/>
      <c r="AF157" s="63"/>
      <c r="AG157" s="64"/>
      <c r="AH157" s="6">
        <v>1</v>
      </c>
      <c r="AI157">
        <f t="shared" si="60"/>
        <v>25</v>
      </c>
      <c r="AJ157">
        <f t="shared" si="61"/>
        <v>25</v>
      </c>
      <c r="AK157">
        <f t="shared" si="62"/>
        <v>0</v>
      </c>
      <c r="AL157">
        <f t="shared" si="63"/>
        <v>0</v>
      </c>
      <c r="AM157">
        <f t="shared" si="64"/>
        <v>0</v>
      </c>
      <c r="AN157">
        <f t="shared" si="65"/>
        <v>0</v>
      </c>
      <c r="AO157">
        <f t="shared" si="66"/>
        <v>0</v>
      </c>
      <c r="AP157">
        <f t="shared" si="67"/>
        <v>0</v>
      </c>
      <c r="AQ157">
        <f t="shared" si="68"/>
        <v>0</v>
      </c>
      <c r="AR157">
        <f t="shared" si="69"/>
        <v>0</v>
      </c>
      <c r="AS157">
        <f t="shared" si="70"/>
        <v>0</v>
      </c>
      <c r="AT157">
        <f t="shared" si="71"/>
        <v>0</v>
      </c>
      <c r="AU157">
        <f t="shared" si="72"/>
        <v>1</v>
      </c>
      <c r="AV157">
        <f t="shared" si="73"/>
        <v>1</v>
      </c>
      <c r="AW157">
        <f t="shared" si="74"/>
        <v>1</v>
      </c>
      <c r="AX157">
        <f t="shared" si="75"/>
        <v>1</v>
      </c>
      <c r="AY157">
        <f t="shared" si="76"/>
        <v>60000</v>
      </c>
      <c r="AZ157">
        <f t="shared" si="77"/>
        <v>60000</v>
      </c>
      <c r="BA157">
        <f t="shared" si="78"/>
        <v>0</v>
      </c>
      <c r="BB157">
        <f t="shared" si="79"/>
        <v>0</v>
      </c>
      <c r="BC157">
        <f t="shared" si="80"/>
        <v>0</v>
      </c>
      <c r="BD157">
        <f t="shared" si="81"/>
        <v>0</v>
      </c>
      <c r="BE157">
        <f t="shared" si="82"/>
        <v>0</v>
      </c>
      <c r="BF157">
        <f t="shared" si="83"/>
        <v>0</v>
      </c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</row>
    <row r="158" spans="1:256" s="201" customFormat="1" ht="14.25" x14ac:dyDescent="0.2">
      <c r="A158" s="10">
        <v>2929</v>
      </c>
      <c r="B158" s="11" t="s">
        <v>684</v>
      </c>
      <c r="C158" s="105" t="s">
        <v>685</v>
      </c>
      <c r="D158" s="11" t="s">
        <v>106</v>
      </c>
      <c r="E158" s="12">
        <v>11838</v>
      </c>
      <c r="F158" s="202">
        <v>21</v>
      </c>
      <c r="G158" s="11">
        <v>60000</v>
      </c>
      <c r="H158" s="116">
        <v>0</v>
      </c>
      <c r="I158" s="192"/>
      <c r="J158" s="204"/>
      <c r="K158" s="193"/>
      <c r="L158" s="193"/>
      <c r="M158" s="193"/>
      <c r="N158" s="203">
        <f t="shared" si="56"/>
        <v>60000</v>
      </c>
      <c r="O158" s="203">
        <f t="shared" si="57"/>
        <v>60000</v>
      </c>
      <c r="P158" s="203">
        <f t="shared" si="58"/>
        <v>60000</v>
      </c>
      <c r="Q158" s="214"/>
      <c r="R158" s="215"/>
      <c r="S158" s="218">
        <v>45652</v>
      </c>
      <c r="T158" s="205"/>
      <c r="U158" s="205"/>
      <c r="V158" s="216"/>
      <c r="W158" s="212"/>
      <c r="X158" s="10">
        <v>7</v>
      </c>
      <c r="Y158" s="10">
        <v>7</v>
      </c>
      <c r="Z158" s="213">
        <f t="shared" si="59"/>
        <v>60000</v>
      </c>
      <c r="AA158" s="62"/>
      <c r="AB158" s="62"/>
      <c r="AC158" s="62"/>
      <c r="AD158" s="62"/>
      <c r="AE158" s="62"/>
      <c r="AF158" s="63"/>
      <c r="AG158" s="64"/>
      <c r="AH158" s="6">
        <v>1</v>
      </c>
      <c r="AI158">
        <f t="shared" si="60"/>
        <v>25</v>
      </c>
      <c r="AJ158">
        <f t="shared" si="61"/>
        <v>25</v>
      </c>
      <c r="AK158">
        <f t="shared" si="62"/>
        <v>0</v>
      </c>
      <c r="AL158">
        <f t="shared" si="63"/>
        <v>0</v>
      </c>
      <c r="AM158">
        <f t="shared" si="64"/>
        <v>0</v>
      </c>
      <c r="AN158">
        <f t="shared" si="65"/>
        <v>0</v>
      </c>
      <c r="AO158">
        <f t="shared" si="66"/>
        <v>0</v>
      </c>
      <c r="AP158">
        <f t="shared" si="67"/>
        <v>0</v>
      </c>
      <c r="AQ158">
        <f t="shared" si="68"/>
        <v>0</v>
      </c>
      <c r="AR158">
        <f t="shared" si="69"/>
        <v>0</v>
      </c>
      <c r="AS158">
        <f t="shared" si="70"/>
        <v>0</v>
      </c>
      <c r="AT158">
        <f t="shared" si="71"/>
        <v>0</v>
      </c>
      <c r="AU158">
        <f t="shared" si="72"/>
        <v>1</v>
      </c>
      <c r="AV158">
        <f t="shared" si="73"/>
        <v>1</v>
      </c>
      <c r="AW158">
        <f t="shared" si="74"/>
        <v>1</v>
      </c>
      <c r="AX158">
        <f t="shared" si="75"/>
        <v>1</v>
      </c>
      <c r="AY158">
        <f t="shared" si="76"/>
        <v>60000</v>
      </c>
      <c r="AZ158">
        <f t="shared" si="77"/>
        <v>60000</v>
      </c>
      <c r="BA158">
        <f t="shared" si="78"/>
        <v>0</v>
      </c>
      <c r="BB158">
        <f t="shared" si="79"/>
        <v>0</v>
      </c>
      <c r="BC158">
        <f t="shared" si="80"/>
        <v>0</v>
      </c>
      <c r="BD158">
        <f t="shared" si="81"/>
        <v>0</v>
      </c>
      <c r="BE158">
        <f t="shared" si="82"/>
        <v>0</v>
      </c>
      <c r="BF158">
        <f t="shared" si="83"/>
        <v>0</v>
      </c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</row>
    <row r="159" spans="1:256" s="201" customFormat="1" ht="14.25" x14ac:dyDescent="0.2">
      <c r="A159" s="10">
        <v>2930</v>
      </c>
      <c r="B159" s="11" t="s">
        <v>686</v>
      </c>
      <c r="C159" s="105" t="s">
        <v>687</v>
      </c>
      <c r="D159" s="11" t="s">
        <v>105</v>
      </c>
      <c r="E159" s="12">
        <v>11839</v>
      </c>
      <c r="F159" s="202">
        <v>21</v>
      </c>
      <c r="G159" s="11">
        <v>60000</v>
      </c>
      <c r="H159" s="116">
        <v>0</v>
      </c>
      <c r="I159" s="192"/>
      <c r="J159" s="204"/>
      <c r="K159" s="193"/>
      <c r="L159" s="193"/>
      <c r="M159" s="193"/>
      <c r="N159" s="203">
        <f t="shared" si="56"/>
        <v>60000</v>
      </c>
      <c r="O159" s="203">
        <f t="shared" si="57"/>
        <v>60000</v>
      </c>
      <c r="P159" s="203">
        <f t="shared" si="58"/>
        <v>60000</v>
      </c>
      <c r="Q159" s="214">
        <v>45664</v>
      </c>
      <c r="R159" s="215"/>
      <c r="S159" s="218">
        <v>45633</v>
      </c>
      <c r="T159" s="205"/>
      <c r="U159" s="205"/>
      <c r="V159" s="216" t="s">
        <v>1131</v>
      </c>
      <c r="W159" s="212"/>
      <c r="X159" s="10">
        <v>7</v>
      </c>
      <c r="Y159" s="10">
        <v>7</v>
      </c>
      <c r="Z159" s="213">
        <f t="shared" si="59"/>
        <v>60000</v>
      </c>
      <c r="AA159" s="62"/>
      <c r="AB159" s="62"/>
      <c r="AC159" s="62"/>
      <c r="AD159" s="62"/>
      <c r="AE159" s="62"/>
      <c r="AF159" s="63"/>
      <c r="AG159" s="64"/>
      <c r="AH159" s="6">
        <v>1</v>
      </c>
      <c r="AI159">
        <f t="shared" si="60"/>
        <v>25</v>
      </c>
      <c r="AJ159">
        <f t="shared" si="61"/>
        <v>25</v>
      </c>
      <c r="AK159">
        <f t="shared" si="62"/>
        <v>0</v>
      </c>
      <c r="AL159">
        <f t="shared" si="63"/>
        <v>0</v>
      </c>
      <c r="AM159">
        <f t="shared" si="64"/>
        <v>0</v>
      </c>
      <c r="AN159">
        <f t="shared" si="65"/>
        <v>0</v>
      </c>
      <c r="AO159">
        <f t="shared" si="66"/>
        <v>0</v>
      </c>
      <c r="AP159">
        <f t="shared" si="67"/>
        <v>0</v>
      </c>
      <c r="AQ159">
        <f t="shared" si="68"/>
        <v>0</v>
      </c>
      <c r="AR159">
        <f t="shared" si="69"/>
        <v>0</v>
      </c>
      <c r="AS159">
        <f t="shared" si="70"/>
        <v>0</v>
      </c>
      <c r="AT159">
        <f t="shared" si="71"/>
        <v>0</v>
      </c>
      <c r="AU159">
        <f t="shared" si="72"/>
        <v>1</v>
      </c>
      <c r="AV159">
        <f t="shared" si="73"/>
        <v>1</v>
      </c>
      <c r="AW159">
        <f t="shared" si="74"/>
        <v>1</v>
      </c>
      <c r="AX159">
        <f t="shared" si="75"/>
        <v>1</v>
      </c>
      <c r="AY159">
        <f t="shared" si="76"/>
        <v>60000</v>
      </c>
      <c r="AZ159">
        <f t="shared" si="77"/>
        <v>60000</v>
      </c>
      <c r="BA159">
        <f t="shared" si="78"/>
        <v>0</v>
      </c>
      <c r="BB159">
        <f t="shared" si="79"/>
        <v>0</v>
      </c>
      <c r="BC159">
        <f t="shared" si="80"/>
        <v>0</v>
      </c>
      <c r="BD159">
        <f t="shared" si="81"/>
        <v>0</v>
      </c>
      <c r="BE159">
        <f t="shared" si="82"/>
        <v>0</v>
      </c>
      <c r="BF159">
        <f t="shared" si="83"/>
        <v>0</v>
      </c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</row>
    <row r="160" spans="1:256" s="201" customFormat="1" ht="14.25" x14ac:dyDescent="0.2">
      <c r="A160" s="10">
        <v>2932</v>
      </c>
      <c r="B160" s="11" t="s">
        <v>688</v>
      </c>
      <c r="C160" s="105" t="s">
        <v>673</v>
      </c>
      <c r="D160" s="11" t="s">
        <v>689</v>
      </c>
      <c r="E160" s="12">
        <v>11841</v>
      </c>
      <c r="F160" s="202">
        <v>21</v>
      </c>
      <c r="G160" s="11">
        <v>55000</v>
      </c>
      <c r="H160" s="116">
        <v>0</v>
      </c>
      <c r="I160" s="192"/>
      <c r="J160" s="204"/>
      <c r="K160" s="193"/>
      <c r="L160" s="193"/>
      <c r="M160" s="193"/>
      <c r="N160" s="203">
        <f t="shared" si="56"/>
        <v>55000</v>
      </c>
      <c r="O160" s="203">
        <f t="shared" si="57"/>
        <v>55000</v>
      </c>
      <c r="P160" s="203">
        <f t="shared" si="58"/>
        <v>55000</v>
      </c>
      <c r="Q160" s="214"/>
      <c r="R160" s="215"/>
      <c r="S160" s="218">
        <v>45638</v>
      </c>
      <c r="T160" s="205"/>
      <c r="U160" s="205"/>
      <c r="V160" s="216"/>
      <c r="W160" s="212"/>
      <c r="X160" s="10">
        <v>7</v>
      </c>
      <c r="Y160" s="10">
        <v>7</v>
      </c>
      <c r="Z160" s="213">
        <f t="shared" si="59"/>
        <v>55000</v>
      </c>
      <c r="AA160" s="62"/>
      <c r="AB160" s="62"/>
      <c r="AC160" s="62"/>
      <c r="AD160" s="62"/>
      <c r="AE160" s="62"/>
      <c r="AF160" s="63"/>
      <c r="AG160" s="64"/>
      <c r="AH160" s="6">
        <v>1</v>
      </c>
      <c r="AI160">
        <f t="shared" si="60"/>
        <v>25</v>
      </c>
      <c r="AJ160">
        <f t="shared" si="61"/>
        <v>25</v>
      </c>
      <c r="AK160">
        <f t="shared" si="62"/>
        <v>0</v>
      </c>
      <c r="AL160">
        <f t="shared" si="63"/>
        <v>0</v>
      </c>
      <c r="AM160">
        <f t="shared" si="64"/>
        <v>0</v>
      </c>
      <c r="AN160">
        <f t="shared" si="65"/>
        <v>0</v>
      </c>
      <c r="AO160">
        <f t="shared" si="66"/>
        <v>0</v>
      </c>
      <c r="AP160">
        <f t="shared" si="67"/>
        <v>0</v>
      </c>
      <c r="AQ160">
        <f t="shared" si="68"/>
        <v>0</v>
      </c>
      <c r="AR160">
        <f t="shared" si="69"/>
        <v>0</v>
      </c>
      <c r="AS160">
        <f t="shared" si="70"/>
        <v>0</v>
      </c>
      <c r="AT160">
        <f t="shared" si="71"/>
        <v>0</v>
      </c>
      <c r="AU160">
        <f t="shared" si="72"/>
        <v>1</v>
      </c>
      <c r="AV160">
        <f t="shared" si="73"/>
        <v>1</v>
      </c>
      <c r="AW160">
        <f t="shared" si="74"/>
        <v>1</v>
      </c>
      <c r="AX160">
        <f t="shared" si="75"/>
        <v>1</v>
      </c>
      <c r="AY160">
        <f t="shared" si="76"/>
        <v>55000</v>
      </c>
      <c r="AZ160">
        <f t="shared" si="77"/>
        <v>55000</v>
      </c>
      <c r="BA160">
        <f t="shared" si="78"/>
        <v>0</v>
      </c>
      <c r="BB160">
        <f t="shared" si="79"/>
        <v>0</v>
      </c>
      <c r="BC160">
        <f t="shared" si="80"/>
        <v>0</v>
      </c>
      <c r="BD160">
        <f t="shared" si="81"/>
        <v>0</v>
      </c>
      <c r="BE160">
        <f t="shared" si="82"/>
        <v>0</v>
      </c>
      <c r="BF160">
        <f t="shared" si="83"/>
        <v>0</v>
      </c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</row>
    <row r="161" spans="1:256" s="201" customFormat="1" ht="14.25" x14ac:dyDescent="0.2">
      <c r="A161" s="10">
        <v>2939</v>
      </c>
      <c r="B161" s="11" t="s">
        <v>376</v>
      </c>
      <c r="C161" s="105" t="s">
        <v>377</v>
      </c>
      <c r="D161" s="11" t="s">
        <v>295</v>
      </c>
      <c r="E161" s="12">
        <v>11863</v>
      </c>
      <c r="F161" s="202">
        <v>21</v>
      </c>
      <c r="G161" s="11">
        <v>30000</v>
      </c>
      <c r="H161" s="116">
        <v>0</v>
      </c>
      <c r="I161" s="192"/>
      <c r="J161" s="204"/>
      <c r="K161" s="193"/>
      <c r="L161" s="193"/>
      <c r="M161" s="193"/>
      <c r="N161" s="203">
        <f t="shared" si="56"/>
        <v>30000</v>
      </c>
      <c r="O161" s="203">
        <f t="shared" si="57"/>
        <v>30000</v>
      </c>
      <c r="P161" s="203">
        <f t="shared" si="58"/>
        <v>30000</v>
      </c>
      <c r="Q161" s="214"/>
      <c r="R161" s="215"/>
      <c r="S161" s="218">
        <v>45656</v>
      </c>
      <c r="T161" s="205"/>
      <c r="U161" s="205"/>
      <c r="V161" s="216"/>
      <c r="W161" s="212"/>
      <c r="X161" s="10">
        <v>7</v>
      </c>
      <c r="Y161" s="10">
        <v>7</v>
      </c>
      <c r="Z161" s="213">
        <f t="shared" si="59"/>
        <v>30000</v>
      </c>
      <c r="AA161" s="62"/>
      <c r="AB161" s="62"/>
      <c r="AC161" s="62"/>
      <c r="AD161" s="62"/>
      <c r="AE161" s="62"/>
      <c r="AF161" s="63"/>
      <c r="AG161" s="64"/>
      <c r="AH161" s="6">
        <v>1</v>
      </c>
      <c r="AI161">
        <f t="shared" si="60"/>
        <v>25</v>
      </c>
      <c r="AJ161">
        <f t="shared" si="61"/>
        <v>25</v>
      </c>
      <c r="AK161">
        <f t="shared" si="62"/>
        <v>0</v>
      </c>
      <c r="AL161">
        <f t="shared" si="63"/>
        <v>0</v>
      </c>
      <c r="AM161">
        <f t="shared" si="64"/>
        <v>0</v>
      </c>
      <c r="AN161">
        <f t="shared" si="65"/>
        <v>0</v>
      </c>
      <c r="AO161">
        <f t="shared" si="66"/>
        <v>0</v>
      </c>
      <c r="AP161">
        <f t="shared" si="67"/>
        <v>0</v>
      </c>
      <c r="AQ161">
        <f t="shared" si="68"/>
        <v>0</v>
      </c>
      <c r="AR161">
        <f t="shared" si="69"/>
        <v>0</v>
      </c>
      <c r="AS161">
        <f t="shared" si="70"/>
        <v>0</v>
      </c>
      <c r="AT161">
        <f t="shared" si="71"/>
        <v>0</v>
      </c>
      <c r="AU161">
        <f t="shared" si="72"/>
        <v>1</v>
      </c>
      <c r="AV161">
        <f t="shared" si="73"/>
        <v>1</v>
      </c>
      <c r="AW161">
        <f t="shared" si="74"/>
        <v>1</v>
      </c>
      <c r="AX161">
        <f t="shared" si="75"/>
        <v>1</v>
      </c>
      <c r="AY161">
        <f t="shared" si="76"/>
        <v>30000</v>
      </c>
      <c r="AZ161">
        <f t="shared" si="77"/>
        <v>30000</v>
      </c>
      <c r="BA161">
        <f t="shared" si="78"/>
        <v>0</v>
      </c>
      <c r="BB161">
        <f t="shared" si="79"/>
        <v>0</v>
      </c>
      <c r="BC161">
        <f t="shared" si="80"/>
        <v>0</v>
      </c>
      <c r="BD161">
        <f t="shared" si="81"/>
        <v>0</v>
      </c>
      <c r="BE161">
        <f t="shared" si="82"/>
        <v>0</v>
      </c>
      <c r="BF161">
        <f t="shared" si="83"/>
        <v>0</v>
      </c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</row>
    <row r="162" spans="1:256" s="201" customFormat="1" ht="14.25" x14ac:dyDescent="0.2">
      <c r="A162" s="10">
        <v>2944</v>
      </c>
      <c r="B162" s="11" t="s">
        <v>690</v>
      </c>
      <c r="C162" s="105" t="s">
        <v>691</v>
      </c>
      <c r="D162" s="11" t="s">
        <v>157</v>
      </c>
      <c r="E162" s="12">
        <v>3848</v>
      </c>
      <c r="F162" s="202">
        <v>20</v>
      </c>
      <c r="G162" s="11">
        <v>60000</v>
      </c>
      <c r="H162" s="116">
        <v>0</v>
      </c>
      <c r="I162" s="192"/>
      <c r="J162" s="204"/>
      <c r="K162" s="193"/>
      <c r="L162" s="193"/>
      <c r="M162" s="193"/>
      <c r="N162" s="203">
        <f t="shared" si="56"/>
        <v>60000</v>
      </c>
      <c r="O162" s="203">
        <f t="shared" si="57"/>
        <v>60000</v>
      </c>
      <c r="P162" s="203">
        <f t="shared" si="58"/>
        <v>60000</v>
      </c>
      <c r="Q162" s="214"/>
      <c r="R162" s="215"/>
      <c r="S162" s="218">
        <v>45635</v>
      </c>
      <c r="T162" s="205"/>
      <c r="U162" s="205"/>
      <c r="V162" s="216"/>
      <c r="W162" s="212"/>
      <c r="X162" s="10">
        <v>7</v>
      </c>
      <c r="Y162" s="10">
        <v>7</v>
      </c>
      <c r="Z162" s="213">
        <f t="shared" si="59"/>
        <v>60000</v>
      </c>
      <c r="AA162" s="62"/>
      <c r="AB162" s="62"/>
      <c r="AC162" s="62"/>
      <c r="AD162" s="62"/>
      <c r="AE162" s="62"/>
      <c r="AF162" s="63"/>
      <c r="AG162" s="64"/>
      <c r="AH162" s="6">
        <v>1</v>
      </c>
      <c r="AI162">
        <f t="shared" si="60"/>
        <v>25</v>
      </c>
      <c r="AJ162">
        <f t="shared" si="61"/>
        <v>25</v>
      </c>
      <c r="AK162">
        <f t="shared" si="62"/>
        <v>0</v>
      </c>
      <c r="AL162">
        <f t="shared" si="63"/>
        <v>0</v>
      </c>
      <c r="AM162">
        <f t="shared" si="64"/>
        <v>0</v>
      </c>
      <c r="AN162">
        <f t="shared" si="65"/>
        <v>0</v>
      </c>
      <c r="AO162">
        <f t="shared" si="66"/>
        <v>0</v>
      </c>
      <c r="AP162">
        <f t="shared" si="67"/>
        <v>0</v>
      </c>
      <c r="AQ162">
        <f t="shared" si="68"/>
        <v>0</v>
      </c>
      <c r="AR162">
        <f t="shared" si="69"/>
        <v>0</v>
      </c>
      <c r="AS162">
        <f t="shared" si="70"/>
        <v>0</v>
      </c>
      <c r="AT162">
        <f t="shared" si="71"/>
        <v>0</v>
      </c>
      <c r="AU162">
        <f t="shared" si="72"/>
        <v>1</v>
      </c>
      <c r="AV162">
        <f t="shared" si="73"/>
        <v>1</v>
      </c>
      <c r="AW162">
        <f t="shared" si="74"/>
        <v>1</v>
      </c>
      <c r="AX162">
        <f t="shared" si="75"/>
        <v>1</v>
      </c>
      <c r="AY162">
        <f t="shared" si="76"/>
        <v>60000</v>
      </c>
      <c r="AZ162">
        <f t="shared" si="77"/>
        <v>60000</v>
      </c>
      <c r="BA162">
        <f t="shared" si="78"/>
        <v>0</v>
      </c>
      <c r="BB162">
        <f t="shared" si="79"/>
        <v>0</v>
      </c>
      <c r="BC162">
        <f t="shared" si="80"/>
        <v>0</v>
      </c>
      <c r="BD162">
        <f t="shared" si="81"/>
        <v>0</v>
      </c>
      <c r="BE162">
        <f t="shared" si="82"/>
        <v>0</v>
      </c>
      <c r="BF162">
        <f t="shared" si="83"/>
        <v>0</v>
      </c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</row>
    <row r="163" spans="1:256" s="201" customFormat="1" ht="14.25" x14ac:dyDescent="0.2">
      <c r="A163" s="10">
        <v>2945</v>
      </c>
      <c r="B163" s="11" t="s">
        <v>378</v>
      </c>
      <c r="C163" s="105" t="s">
        <v>379</v>
      </c>
      <c r="D163" s="11" t="s">
        <v>259</v>
      </c>
      <c r="E163" s="12">
        <v>3953</v>
      </c>
      <c r="F163" s="202">
        <v>20</v>
      </c>
      <c r="G163" s="11">
        <v>15000</v>
      </c>
      <c r="H163" s="116">
        <v>0</v>
      </c>
      <c r="I163" s="192"/>
      <c r="J163" s="204"/>
      <c r="K163" s="193"/>
      <c r="L163" s="193"/>
      <c r="M163" s="193"/>
      <c r="N163" s="203">
        <f t="shared" si="56"/>
        <v>15000</v>
      </c>
      <c r="O163" s="203">
        <f t="shared" si="57"/>
        <v>15000</v>
      </c>
      <c r="P163" s="203">
        <f t="shared" si="58"/>
        <v>15000</v>
      </c>
      <c r="Q163" s="214"/>
      <c r="R163" s="215"/>
      <c r="S163" s="218">
        <v>45635</v>
      </c>
      <c r="T163" s="205"/>
      <c r="U163" s="205"/>
      <c r="V163" s="216"/>
      <c r="W163" s="212"/>
      <c r="X163" s="10">
        <v>7</v>
      </c>
      <c r="Y163" s="10">
        <v>7</v>
      </c>
      <c r="Z163" s="213">
        <f t="shared" si="59"/>
        <v>15000</v>
      </c>
      <c r="AA163" s="62"/>
      <c r="AB163" s="62"/>
      <c r="AC163" s="62"/>
      <c r="AD163" s="62"/>
      <c r="AE163" s="62"/>
      <c r="AF163" s="63"/>
      <c r="AG163" s="64"/>
      <c r="AH163" s="6">
        <v>1</v>
      </c>
      <c r="AI163">
        <f t="shared" si="60"/>
        <v>25</v>
      </c>
      <c r="AJ163">
        <f t="shared" si="61"/>
        <v>25</v>
      </c>
      <c r="AK163">
        <f t="shared" si="62"/>
        <v>0</v>
      </c>
      <c r="AL163">
        <f t="shared" si="63"/>
        <v>0</v>
      </c>
      <c r="AM163">
        <f t="shared" si="64"/>
        <v>0</v>
      </c>
      <c r="AN163">
        <f t="shared" si="65"/>
        <v>0</v>
      </c>
      <c r="AO163">
        <f t="shared" si="66"/>
        <v>0</v>
      </c>
      <c r="AP163">
        <f t="shared" si="67"/>
        <v>0</v>
      </c>
      <c r="AQ163">
        <f t="shared" si="68"/>
        <v>0</v>
      </c>
      <c r="AR163">
        <f t="shared" si="69"/>
        <v>0</v>
      </c>
      <c r="AS163">
        <f t="shared" si="70"/>
        <v>0</v>
      </c>
      <c r="AT163">
        <f t="shared" si="71"/>
        <v>0</v>
      </c>
      <c r="AU163">
        <f t="shared" si="72"/>
        <v>1</v>
      </c>
      <c r="AV163">
        <f t="shared" si="73"/>
        <v>1</v>
      </c>
      <c r="AW163">
        <f t="shared" si="74"/>
        <v>1</v>
      </c>
      <c r="AX163">
        <f t="shared" si="75"/>
        <v>1</v>
      </c>
      <c r="AY163">
        <f t="shared" si="76"/>
        <v>15000</v>
      </c>
      <c r="AZ163">
        <f t="shared" si="77"/>
        <v>15000</v>
      </c>
      <c r="BA163">
        <f t="shared" si="78"/>
        <v>0</v>
      </c>
      <c r="BB163">
        <f t="shared" si="79"/>
        <v>0</v>
      </c>
      <c r="BC163">
        <f t="shared" si="80"/>
        <v>0</v>
      </c>
      <c r="BD163">
        <f t="shared" si="81"/>
        <v>0</v>
      </c>
      <c r="BE163">
        <f t="shared" si="82"/>
        <v>0</v>
      </c>
      <c r="BF163">
        <f t="shared" si="83"/>
        <v>0</v>
      </c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</row>
    <row r="164" spans="1:256" s="201" customFormat="1" ht="14.25" x14ac:dyDescent="0.2">
      <c r="A164" s="10">
        <v>2946</v>
      </c>
      <c r="B164" s="11" t="s">
        <v>380</v>
      </c>
      <c r="C164" s="105" t="s">
        <v>381</v>
      </c>
      <c r="D164" s="11" t="s">
        <v>147</v>
      </c>
      <c r="E164" s="12">
        <v>11821</v>
      </c>
      <c r="F164" s="202">
        <v>20</v>
      </c>
      <c r="G164" s="11">
        <v>25000</v>
      </c>
      <c r="H164" s="116">
        <v>-20000</v>
      </c>
      <c r="I164" s="192"/>
      <c r="J164" s="204"/>
      <c r="K164" s="193"/>
      <c r="L164" s="193"/>
      <c r="M164" s="193"/>
      <c r="N164" s="203">
        <f t="shared" si="56"/>
        <v>25000</v>
      </c>
      <c r="O164" s="203">
        <f t="shared" si="57"/>
        <v>5000</v>
      </c>
      <c r="P164" s="203">
        <f t="shared" si="58"/>
        <v>5000</v>
      </c>
      <c r="Q164" s="214"/>
      <c r="R164" s="215"/>
      <c r="S164" s="218">
        <v>45654</v>
      </c>
      <c r="T164" s="205"/>
      <c r="U164" s="205"/>
      <c r="V164" s="216"/>
      <c r="W164" s="212"/>
      <c r="X164" s="10">
        <v>7</v>
      </c>
      <c r="Y164" s="10">
        <v>7</v>
      </c>
      <c r="Z164" s="213">
        <f t="shared" si="59"/>
        <v>25000</v>
      </c>
      <c r="AA164" s="62"/>
      <c r="AB164" s="62"/>
      <c r="AC164" s="62"/>
      <c r="AD164" s="62"/>
      <c r="AE164" s="62"/>
      <c r="AF164" s="63"/>
      <c r="AG164" s="64"/>
      <c r="AH164" s="6">
        <v>1</v>
      </c>
      <c r="AI164">
        <f t="shared" si="60"/>
        <v>25</v>
      </c>
      <c r="AJ164">
        <f t="shared" si="61"/>
        <v>25</v>
      </c>
      <c r="AK164">
        <f t="shared" si="62"/>
        <v>0</v>
      </c>
      <c r="AL164">
        <f t="shared" si="63"/>
        <v>0</v>
      </c>
      <c r="AM164">
        <f t="shared" si="64"/>
        <v>0</v>
      </c>
      <c r="AN164">
        <f t="shared" si="65"/>
        <v>0</v>
      </c>
      <c r="AO164">
        <f t="shared" si="66"/>
        <v>0</v>
      </c>
      <c r="AP164">
        <f t="shared" si="67"/>
        <v>0</v>
      </c>
      <c r="AQ164">
        <f t="shared" si="68"/>
        <v>0</v>
      </c>
      <c r="AR164">
        <f t="shared" si="69"/>
        <v>0</v>
      </c>
      <c r="AS164">
        <f t="shared" si="70"/>
        <v>0</v>
      </c>
      <c r="AT164">
        <f t="shared" si="71"/>
        <v>0</v>
      </c>
      <c r="AU164">
        <f t="shared" si="72"/>
        <v>1</v>
      </c>
      <c r="AV164">
        <f t="shared" si="73"/>
        <v>1</v>
      </c>
      <c r="AW164">
        <f t="shared" si="74"/>
        <v>1</v>
      </c>
      <c r="AX164">
        <f t="shared" si="75"/>
        <v>1</v>
      </c>
      <c r="AY164">
        <f t="shared" si="76"/>
        <v>5000</v>
      </c>
      <c r="AZ164">
        <f t="shared" si="77"/>
        <v>5000</v>
      </c>
      <c r="BA164">
        <f t="shared" si="78"/>
        <v>0</v>
      </c>
      <c r="BB164">
        <f t="shared" si="79"/>
        <v>0</v>
      </c>
      <c r="BC164">
        <f t="shared" si="80"/>
        <v>0</v>
      </c>
      <c r="BD164">
        <f t="shared" si="81"/>
        <v>0</v>
      </c>
      <c r="BE164">
        <f t="shared" si="82"/>
        <v>0</v>
      </c>
      <c r="BF164">
        <f t="shared" si="83"/>
        <v>0</v>
      </c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</row>
    <row r="165" spans="1:256" s="201" customFormat="1" ht="14.25" x14ac:dyDescent="0.2">
      <c r="A165" s="10">
        <v>2947</v>
      </c>
      <c r="B165" s="11" t="s">
        <v>382</v>
      </c>
      <c r="C165" s="105" t="s">
        <v>383</v>
      </c>
      <c r="D165" s="11" t="s">
        <v>384</v>
      </c>
      <c r="E165" s="12">
        <v>11832</v>
      </c>
      <c r="F165" s="202">
        <v>20</v>
      </c>
      <c r="G165" s="11">
        <v>40000</v>
      </c>
      <c r="H165" s="116">
        <v>0</v>
      </c>
      <c r="I165" s="192"/>
      <c r="J165" s="204"/>
      <c r="K165" s="193"/>
      <c r="L165" s="193"/>
      <c r="M165" s="193"/>
      <c r="N165" s="203">
        <f t="shared" si="56"/>
        <v>40000</v>
      </c>
      <c r="O165" s="203">
        <f t="shared" si="57"/>
        <v>40000</v>
      </c>
      <c r="P165" s="203">
        <f t="shared" si="58"/>
        <v>40000</v>
      </c>
      <c r="Q165" s="214"/>
      <c r="R165" s="215"/>
      <c r="S165" s="218">
        <v>45636</v>
      </c>
      <c r="T165" s="205"/>
      <c r="U165" s="205"/>
      <c r="V165" s="216"/>
      <c r="W165" s="212"/>
      <c r="X165" s="10">
        <v>7</v>
      </c>
      <c r="Y165" s="10">
        <v>7</v>
      </c>
      <c r="Z165" s="213">
        <f t="shared" si="59"/>
        <v>40000</v>
      </c>
      <c r="AA165" s="62"/>
      <c r="AB165" s="62"/>
      <c r="AC165" s="62"/>
      <c r="AD165" s="62"/>
      <c r="AE165" s="62"/>
      <c r="AF165" s="63"/>
      <c r="AG165" s="64"/>
      <c r="AH165" s="6">
        <v>1</v>
      </c>
      <c r="AI165">
        <f t="shared" si="60"/>
        <v>25</v>
      </c>
      <c r="AJ165">
        <f t="shared" si="61"/>
        <v>25</v>
      </c>
      <c r="AK165">
        <f t="shared" si="62"/>
        <v>0</v>
      </c>
      <c r="AL165">
        <f t="shared" si="63"/>
        <v>0</v>
      </c>
      <c r="AM165">
        <f t="shared" si="64"/>
        <v>0</v>
      </c>
      <c r="AN165">
        <f t="shared" si="65"/>
        <v>0</v>
      </c>
      <c r="AO165">
        <f t="shared" si="66"/>
        <v>0</v>
      </c>
      <c r="AP165">
        <f t="shared" si="67"/>
        <v>0</v>
      </c>
      <c r="AQ165">
        <f t="shared" si="68"/>
        <v>0</v>
      </c>
      <c r="AR165">
        <f t="shared" si="69"/>
        <v>0</v>
      </c>
      <c r="AS165">
        <f t="shared" si="70"/>
        <v>0</v>
      </c>
      <c r="AT165">
        <f t="shared" si="71"/>
        <v>0</v>
      </c>
      <c r="AU165">
        <f t="shared" si="72"/>
        <v>1</v>
      </c>
      <c r="AV165">
        <f t="shared" si="73"/>
        <v>1</v>
      </c>
      <c r="AW165">
        <f t="shared" si="74"/>
        <v>1</v>
      </c>
      <c r="AX165">
        <f t="shared" si="75"/>
        <v>1</v>
      </c>
      <c r="AY165">
        <f t="shared" si="76"/>
        <v>40000</v>
      </c>
      <c r="AZ165">
        <f t="shared" si="77"/>
        <v>40000</v>
      </c>
      <c r="BA165">
        <f t="shared" si="78"/>
        <v>0</v>
      </c>
      <c r="BB165">
        <f t="shared" si="79"/>
        <v>0</v>
      </c>
      <c r="BC165">
        <f t="shared" si="80"/>
        <v>0</v>
      </c>
      <c r="BD165">
        <f t="shared" si="81"/>
        <v>0</v>
      </c>
      <c r="BE165">
        <f t="shared" si="82"/>
        <v>0</v>
      </c>
      <c r="BF165">
        <f t="shared" si="83"/>
        <v>0</v>
      </c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</row>
    <row r="166" spans="1:256" s="201" customFormat="1" ht="14.25" x14ac:dyDescent="0.2">
      <c r="A166" s="10">
        <v>2948</v>
      </c>
      <c r="B166" s="11" t="s">
        <v>692</v>
      </c>
      <c r="C166" s="105" t="s">
        <v>693</v>
      </c>
      <c r="D166" s="11" t="s">
        <v>106</v>
      </c>
      <c r="E166" s="12">
        <v>11842</v>
      </c>
      <c r="F166" s="202">
        <v>20</v>
      </c>
      <c r="G166" s="11">
        <v>120000</v>
      </c>
      <c r="H166" s="116">
        <v>0</v>
      </c>
      <c r="I166" s="192"/>
      <c r="J166" s="204"/>
      <c r="K166" s="193"/>
      <c r="L166" s="193"/>
      <c r="M166" s="193"/>
      <c r="N166" s="203">
        <f t="shared" si="56"/>
        <v>120000</v>
      </c>
      <c r="O166" s="203">
        <f t="shared" si="57"/>
        <v>120000</v>
      </c>
      <c r="P166" s="203">
        <f t="shared" si="58"/>
        <v>120000</v>
      </c>
      <c r="Q166" s="214"/>
      <c r="R166" s="215"/>
      <c r="S166" s="218">
        <v>45633</v>
      </c>
      <c r="T166" s="205"/>
      <c r="U166" s="205"/>
      <c r="V166" s="216"/>
      <c r="W166" s="212"/>
      <c r="X166" s="10">
        <v>7</v>
      </c>
      <c r="Y166" s="10">
        <v>7</v>
      </c>
      <c r="Z166" s="213">
        <f t="shared" si="59"/>
        <v>120000</v>
      </c>
      <c r="AA166" s="62"/>
      <c r="AB166" s="62"/>
      <c r="AC166" s="62"/>
      <c r="AD166" s="62"/>
      <c r="AE166" s="62"/>
      <c r="AF166" s="63"/>
      <c r="AG166" s="64"/>
      <c r="AH166" s="6">
        <v>1</v>
      </c>
      <c r="AI166">
        <f t="shared" si="60"/>
        <v>25</v>
      </c>
      <c r="AJ166">
        <f t="shared" si="61"/>
        <v>25</v>
      </c>
      <c r="AK166">
        <f t="shared" si="62"/>
        <v>0</v>
      </c>
      <c r="AL166">
        <f t="shared" si="63"/>
        <v>0</v>
      </c>
      <c r="AM166">
        <f t="shared" si="64"/>
        <v>0</v>
      </c>
      <c r="AN166">
        <f t="shared" si="65"/>
        <v>0</v>
      </c>
      <c r="AO166">
        <f t="shared" si="66"/>
        <v>0</v>
      </c>
      <c r="AP166">
        <f t="shared" si="67"/>
        <v>0</v>
      </c>
      <c r="AQ166">
        <f t="shared" si="68"/>
        <v>0</v>
      </c>
      <c r="AR166">
        <f t="shared" si="69"/>
        <v>0</v>
      </c>
      <c r="AS166">
        <f t="shared" si="70"/>
        <v>0</v>
      </c>
      <c r="AT166">
        <f t="shared" si="71"/>
        <v>0</v>
      </c>
      <c r="AU166">
        <f t="shared" si="72"/>
        <v>1</v>
      </c>
      <c r="AV166">
        <f t="shared" si="73"/>
        <v>1</v>
      </c>
      <c r="AW166">
        <f t="shared" si="74"/>
        <v>1</v>
      </c>
      <c r="AX166">
        <f t="shared" si="75"/>
        <v>1</v>
      </c>
      <c r="AY166">
        <f t="shared" si="76"/>
        <v>120000</v>
      </c>
      <c r="AZ166">
        <f t="shared" si="77"/>
        <v>120000</v>
      </c>
      <c r="BA166">
        <f t="shared" si="78"/>
        <v>0</v>
      </c>
      <c r="BB166">
        <f t="shared" si="79"/>
        <v>0</v>
      </c>
      <c r="BC166">
        <f t="shared" si="80"/>
        <v>0</v>
      </c>
      <c r="BD166">
        <f t="shared" si="81"/>
        <v>0</v>
      </c>
      <c r="BE166">
        <f t="shared" si="82"/>
        <v>0</v>
      </c>
      <c r="BF166">
        <f t="shared" si="83"/>
        <v>0</v>
      </c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</row>
    <row r="167" spans="1:256" s="201" customFormat="1" ht="14.25" x14ac:dyDescent="0.2">
      <c r="A167" s="10">
        <v>2951</v>
      </c>
      <c r="B167" s="11" t="s">
        <v>694</v>
      </c>
      <c r="C167" s="105" t="s">
        <v>695</v>
      </c>
      <c r="D167" s="11" t="s">
        <v>106</v>
      </c>
      <c r="E167" s="12">
        <v>11858</v>
      </c>
      <c r="F167" s="202">
        <v>20</v>
      </c>
      <c r="G167" s="11">
        <v>75000</v>
      </c>
      <c r="H167" s="116">
        <v>0</v>
      </c>
      <c r="I167" s="192"/>
      <c r="J167" s="204"/>
      <c r="K167" s="193"/>
      <c r="L167" s="193"/>
      <c r="M167" s="193"/>
      <c r="N167" s="203">
        <f t="shared" si="56"/>
        <v>75000</v>
      </c>
      <c r="O167" s="203">
        <f t="shared" si="57"/>
        <v>75000</v>
      </c>
      <c r="P167" s="203">
        <f t="shared" si="58"/>
        <v>75000</v>
      </c>
      <c r="Q167" s="214"/>
      <c r="R167" s="215"/>
      <c r="S167" s="218">
        <v>45640</v>
      </c>
      <c r="T167" s="205"/>
      <c r="U167" s="205"/>
      <c r="V167" s="216"/>
      <c r="W167" s="212"/>
      <c r="X167" s="10">
        <v>7</v>
      </c>
      <c r="Y167" s="10">
        <v>7</v>
      </c>
      <c r="Z167" s="213">
        <f t="shared" si="59"/>
        <v>75000</v>
      </c>
      <c r="AA167" s="62"/>
      <c r="AB167" s="62"/>
      <c r="AC167" s="62"/>
      <c r="AD167" s="62"/>
      <c r="AE167" s="62"/>
      <c r="AF167" s="63"/>
      <c r="AG167" s="64"/>
      <c r="AH167" s="6">
        <v>1</v>
      </c>
      <c r="AI167">
        <f t="shared" si="60"/>
        <v>25</v>
      </c>
      <c r="AJ167">
        <f t="shared" si="61"/>
        <v>25</v>
      </c>
      <c r="AK167">
        <f t="shared" si="62"/>
        <v>0</v>
      </c>
      <c r="AL167">
        <f t="shared" si="63"/>
        <v>0</v>
      </c>
      <c r="AM167">
        <f t="shared" si="64"/>
        <v>0</v>
      </c>
      <c r="AN167">
        <f t="shared" si="65"/>
        <v>0</v>
      </c>
      <c r="AO167">
        <f t="shared" si="66"/>
        <v>0</v>
      </c>
      <c r="AP167">
        <f t="shared" si="67"/>
        <v>0</v>
      </c>
      <c r="AQ167">
        <f t="shared" si="68"/>
        <v>0</v>
      </c>
      <c r="AR167">
        <f t="shared" si="69"/>
        <v>0</v>
      </c>
      <c r="AS167">
        <f t="shared" si="70"/>
        <v>0</v>
      </c>
      <c r="AT167">
        <f t="shared" si="71"/>
        <v>0</v>
      </c>
      <c r="AU167">
        <f t="shared" si="72"/>
        <v>1</v>
      </c>
      <c r="AV167">
        <f t="shared" si="73"/>
        <v>1</v>
      </c>
      <c r="AW167">
        <f t="shared" si="74"/>
        <v>1</v>
      </c>
      <c r="AX167">
        <f t="shared" si="75"/>
        <v>1</v>
      </c>
      <c r="AY167">
        <f t="shared" si="76"/>
        <v>75000</v>
      </c>
      <c r="AZ167">
        <f t="shared" si="77"/>
        <v>75000</v>
      </c>
      <c r="BA167">
        <f t="shared" si="78"/>
        <v>0</v>
      </c>
      <c r="BB167">
        <f t="shared" si="79"/>
        <v>0</v>
      </c>
      <c r="BC167">
        <f t="shared" si="80"/>
        <v>0</v>
      </c>
      <c r="BD167">
        <f t="shared" si="81"/>
        <v>0</v>
      </c>
      <c r="BE167">
        <f t="shared" si="82"/>
        <v>0</v>
      </c>
      <c r="BF167">
        <f t="shared" si="83"/>
        <v>0</v>
      </c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</row>
    <row r="168" spans="1:256" s="201" customFormat="1" ht="14.25" x14ac:dyDescent="0.2">
      <c r="A168" s="10">
        <v>2953</v>
      </c>
      <c r="B168" s="11" t="s">
        <v>696</v>
      </c>
      <c r="C168" s="105" t="s">
        <v>697</v>
      </c>
      <c r="D168" s="11" t="s">
        <v>105</v>
      </c>
      <c r="E168" s="12">
        <v>11860</v>
      </c>
      <c r="F168" s="202">
        <v>20</v>
      </c>
      <c r="G168" s="11">
        <v>60000</v>
      </c>
      <c r="H168" s="116">
        <v>0</v>
      </c>
      <c r="I168" s="192"/>
      <c r="J168" s="204"/>
      <c r="K168" s="193"/>
      <c r="L168" s="193"/>
      <c r="M168" s="193"/>
      <c r="N168" s="203">
        <f t="shared" si="56"/>
        <v>60000</v>
      </c>
      <c r="O168" s="203">
        <f t="shared" si="57"/>
        <v>60000</v>
      </c>
      <c r="P168" s="203">
        <f t="shared" si="58"/>
        <v>60000</v>
      </c>
      <c r="Q168" s="214"/>
      <c r="R168" s="215"/>
      <c r="S168" s="218">
        <v>45635</v>
      </c>
      <c r="T168" s="205"/>
      <c r="U168" s="205"/>
      <c r="V168" s="216"/>
      <c r="W168" s="212"/>
      <c r="X168" s="10">
        <v>7</v>
      </c>
      <c r="Y168" s="10">
        <v>7</v>
      </c>
      <c r="Z168" s="213">
        <f t="shared" si="59"/>
        <v>60000</v>
      </c>
      <c r="AA168" s="62"/>
      <c r="AB168" s="62"/>
      <c r="AC168" s="62"/>
      <c r="AD168" s="62"/>
      <c r="AE168" s="62"/>
      <c r="AF168" s="63"/>
      <c r="AG168" s="64"/>
      <c r="AH168" s="6">
        <v>1</v>
      </c>
      <c r="AI168">
        <f t="shared" si="60"/>
        <v>25</v>
      </c>
      <c r="AJ168">
        <f t="shared" si="61"/>
        <v>25</v>
      </c>
      <c r="AK168">
        <f t="shared" si="62"/>
        <v>0</v>
      </c>
      <c r="AL168">
        <f t="shared" si="63"/>
        <v>0</v>
      </c>
      <c r="AM168">
        <f t="shared" si="64"/>
        <v>0</v>
      </c>
      <c r="AN168">
        <f t="shared" si="65"/>
        <v>0</v>
      </c>
      <c r="AO168">
        <f t="shared" si="66"/>
        <v>0</v>
      </c>
      <c r="AP168">
        <f t="shared" si="67"/>
        <v>0</v>
      </c>
      <c r="AQ168">
        <f t="shared" si="68"/>
        <v>0</v>
      </c>
      <c r="AR168">
        <f t="shared" si="69"/>
        <v>0</v>
      </c>
      <c r="AS168">
        <f t="shared" si="70"/>
        <v>0</v>
      </c>
      <c r="AT168">
        <f t="shared" si="71"/>
        <v>0</v>
      </c>
      <c r="AU168">
        <f t="shared" si="72"/>
        <v>1</v>
      </c>
      <c r="AV168">
        <f t="shared" si="73"/>
        <v>1</v>
      </c>
      <c r="AW168">
        <f t="shared" si="74"/>
        <v>1</v>
      </c>
      <c r="AX168">
        <f t="shared" si="75"/>
        <v>1</v>
      </c>
      <c r="AY168">
        <f t="shared" si="76"/>
        <v>60000</v>
      </c>
      <c r="AZ168">
        <f t="shared" si="77"/>
        <v>60000</v>
      </c>
      <c r="BA168">
        <f t="shared" si="78"/>
        <v>0</v>
      </c>
      <c r="BB168">
        <f t="shared" si="79"/>
        <v>0</v>
      </c>
      <c r="BC168">
        <f t="shared" si="80"/>
        <v>0</v>
      </c>
      <c r="BD168">
        <f t="shared" si="81"/>
        <v>0</v>
      </c>
      <c r="BE168">
        <f t="shared" si="82"/>
        <v>0</v>
      </c>
      <c r="BF168">
        <f t="shared" si="83"/>
        <v>0</v>
      </c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</row>
    <row r="169" spans="1:256" s="201" customFormat="1" ht="14.25" x14ac:dyDescent="0.2">
      <c r="A169" s="10">
        <v>2957</v>
      </c>
      <c r="B169" s="11" t="s">
        <v>698</v>
      </c>
      <c r="C169" s="105" t="s">
        <v>699</v>
      </c>
      <c r="D169" s="11" t="s">
        <v>157</v>
      </c>
      <c r="E169" s="12">
        <v>11868</v>
      </c>
      <c r="F169" s="202">
        <v>20</v>
      </c>
      <c r="G169" s="11">
        <v>60000</v>
      </c>
      <c r="H169" s="116">
        <v>-210000</v>
      </c>
      <c r="I169" s="192"/>
      <c r="J169" s="204"/>
      <c r="K169" s="193"/>
      <c r="L169" s="193"/>
      <c r="M169" s="193"/>
      <c r="N169" s="203">
        <f t="shared" si="56"/>
        <v>60000</v>
      </c>
      <c r="O169" s="203">
        <f t="shared" si="57"/>
        <v>-150000</v>
      </c>
      <c r="P169" s="203">
        <f t="shared" si="58"/>
        <v>0</v>
      </c>
      <c r="Q169" s="214"/>
      <c r="R169" s="215"/>
      <c r="S169" s="218">
        <v>45635</v>
      </c>
      <c r="T169" s="205"/>
      <c r="U169" s="205"/>
      <c r="V169" s="216"/>
      <c r="W169" s="212"/>
      <c r="X169" s="10">
        <v>7</v>
      </c>
      <c r="Y169" s="10">
        <v>7</v>
      </c>
      <c r="Z169" s="213">
        <f t="shared" si="59"/>
        <v>60000</v>
      </c>
      <c r="AA169" s="62"/>
      <c r="AB169" s="62"/>
      <c r="AC169" s="62"/>
      <c r="AD169" s="62"/>
      <c r="AE169" s="62"/>
      <c r="AF169" s="63"/>
      <c r="AG169" s="64"/>
      <c r="AH169" s="6">
        <v>1</v>
      </c>
      <c r="AI169">
        <f t="shared" si="60"/>
        <v>25</v>
      </c>
      <c r="AJ169">
        <f t="shared" si="61"/>
        <v>25</v>
      </c>
      <c r="AK169">
        <f t="shared" si="62"/>
        <v>0</v>
      </c>
      <c r="AL169">
        <f t="shared" si="63"/>
        <v>0</v>
      </c>
      <c r="AM169">
        <f t="shared" si="64"/>
        <v>0</v>
      </c>
      <c r="AN169">
        <f t="shared" si="65"/>
        <v>0</v>
      </c>
      <c r="AO169">
        <f t="shared" si="66"/>
        <v>0</v>
      </c>
      <c r="AP169">
        <f t="shared" si="67"/>
        <v>0</v>
      </c>
      <c r="AQ169">
        <f t="shared" si="68"/>
        <v>0</v>
      </c>
      <c r="AR169">
        <f t="shared" si="69"/>
        <v>0</v>
      </c>
      <c r="AS169">
        <f t="shared" si="70"/>
        <v>0</v>
      </c>
      <c r="AT169">
        <f t="shared" si="71"/>
        <v>0</v>
      </c>
      <c r="AU169">
        <f t="shared" si="72"/>
        <v>0</v>
      </c>
      <c r="AV169">
        <f t="shared" si="73"/>
        <v>0</v>
      </c>
      <c r="AW169">
        <f t="shared" si="74"/>
        <v>0</v>
      </c>
      <c r="AX169">
        <f t="shared" si="75"/>
        <v>0</v>
      </c>
      <c r="AY169">
        <f t="shared" si="76"/>
        <v>0</v>
      </c>
      <c r="AZ169">
        <f t="shared" si="77"/>
        <v>0</v>
      </c>
      <c r="BA169">
        <f t="shared" si="78"/>
        <v>0</v>
      </c>
      <c r="BB169">
        <f t="shared" si="79"/>
        <v>0</v>
      </c>
      <c r="BC169">
        <f t="shared" si="80"/>
        <v>0</v>
      </c>
      <c r="BD169">
        <f t="shared" si="81"/>
        <v>0</v>
      </c>
      <c r="BE169">
        <f t="shared" si="82"/>
        <v>0</v>
      </c>
      <c r="BF169">
        <f t="shared" si="83"/>
        <v>0</v>
      </c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</row>
    <row r="170" spans="1:256" s="201" customFormat="1" ht="14.25" x14ac:dyDescent="0.2">
      <c r="A170" s="10">
        <v>2959</v>
      </c>
      <c r="B170" s="11" t="s">
        <v>700</v>
      </c>
      <c r="C170" s="105" t="s">
        <v>701</v>
      </c>
      <c r="D170" s="11" t="s">
        <v>373</v>
      </c>
      <c r="E170" s="12">
        <v>11870</v>
      </c>
      <c r="F170" s="202">
        <v>20</v>
      </c>
      <c r="G170" s="11">
        <v>60000</v>
      </c>
      <c r="H170" s="116">
        <v>0</v>
      </c>
      <c r="I170" s="192"/>
      <c r="J170" s="204"/>
      <c r="K170" s="193"/>
      <c r="L170" s="193"/>
      <c r="M170" s="193"/>
      <c r="N170" s="203">
        <f t="shared" si="56"/>
        <v>60000</v>
      </c>
      <c r="O170" s="203">
        <f t="shared" si="57"/>
        <v>60000</v>
      </c>
      <c r="P170" s="203">
        <f t="shared" si="58"/>
        <v>60000</v>
      </c>
      <c r="Q170" s="214">
        <v>45664</v>
      </c>
      <c r="R170" s="215"/>
      <c r="S170" s="218">
        <v>45632</v>
      </c>
      <c r="T170" s="205"/>
      <c r="U170" s="205"/>
      <c r="V170" s="216" t="s">
        <v>1131</v>
      </c>
      <c r="W170" s="212"/>
      <c r="X170" s="10">
        <v>7</v>
      </c>
      <c r="Y170" s="10">
        <v>7</v>
      </c>
      <c r="Z170" s="213">
        <f t="shared" si="59"/>
        <v>60000</v>
      </c>
      <c r="AA170" s="62"/>
      <c r="AB170" s="62"/>
      <c r="AC170" s="62"/>
      <c r="AD170" s="62"/>
      <c r="AE170" s="62"/>
      <c r="AF170" s="63"/>
      <c r="AG170" s="64"/>
      <c r="AH170" s="6">
        <v>1</v>
      </c>
      <c r="AI170">
        <f t="shared" si="60"/>
        <v>25</v>
      </c>
      <c r="AJ170">
        <f t="shared" si="61"/>
        <v>25</v>
      </c>
      <c r="AK170">
        <f t="shared" si="62"/>
        <v>0</v>
      </c>
      <c r="AL170">
        <f t="shared" si="63"/>
        <v>0</v>
      </c>
      <c r="AM170">
        <f t="shared" si="64"/>
        <v>0</v>
      </c>
      <c r="AN170">
        <f t="shared" si="65"/>
        <v>0</v>
      </c>
      <c r="AO170">
        <f t="shared" si="66"/>
        <v>0</v>
      </c>
      <c r="AP170">
        <f t="shared" si="67"/>
        <v>0</v>
      </c>
      <c r="AQ170">
        <f t="shared" si="68"/>
        <v>0</v>
      </c>
      <c r="AR170">
        <f t="shared" si="69"/>
        <v>0</v>
      </c>
      <c r="AS170">
        <f t="shared" si="70"/>
        <v>0</v>
      </c>
      <c r="AT170">
        <f t="shared" si="71"/>
        <v>0</v>
      </c>
      <c r="AU170">
        <f t="shared" si="72"/>
        <v>1</v>
      </c>
      <c r="AV170">
        <f t="shared" si="73"/>
        <v>1</v>
      </c>
      <c r="AW170">
        <f t="shared" si="74"/>
        <v>1</v>
      </c>
      <c r="AX170">
        <f t="shared" si="75"/>
        <v>1</v>
      </c>
      <c r="AY170">
        <f t="shared" si="76"/>
        <v>60000</v>
      </c>
      <c r="AZ170">
        <f t="shared" si="77"/>
        <v>60000</v>
      </c>
      <c r="BA170">
        <f t="shared" si="78"/>
        <v>0</v>
      </c>
      <c r="BB170">
        <f t="shared" si="79"/>
        <v>0</v>
      </c>
      <c r="BC170">
        <f t="shared" si="80"/>
        <v>0</v>
      </c>
      <c r="BD170">
        <f t="shared" si="81"/>
        <v>0</v>
      </c>
      <c r="BE170">
        <f t="shared" si="82"/>
        <v>0</v>
      </c>
      <c r="BF170">
        <f t="shared" si="83"/>
        <v>0</v>
      </c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</row>
    <row r="171" spans="1:256" s="201" customFormat="1" ht="14.25" x14ac:dyDescent="0.2">
      <c r="A171" s="10">
        <v>2960</v>
      </c>
      <c r="B171" s="11" t="s">
        <v>385</v>
      </c>
      <c r="C171" s="105" t="s">
        <v>386</v>
      </c>
      <c r="D171" s="11" t="s">
        <v>106</v>
      </c>
      <c r="E171" s="12">
        <v>11871</v>
      </c>
      <c r="F171" s="202">
        <v>20</v>
      </c>
      <c r="G171" s="11">
        <v>30000</v>
      </c>
      <c r="H171" s="116">
        <v>0</v>
      </c>
      <c r="I171" s="192"/>
      <c r="J171" s="204"/>
      <c r="K171" s="193"/>
      <c r="L171" s="193"/>
      <c r="M171" s="193"/>
      <c r="N171" s="203">
        <f t="shared" si="56"/>
        <v>30000</v>
      </c>
      <c r="O171" s="203">
        <f t="shared" si="57"/>
        <v>30000</v>
      </c>
      <c r="P171" s="203">
        <f t="shared" si="58"/>
        <v>30000</v>
      </c>
      <c r="Q171" s="214">
        <v>45660</v>
      </c>
      <c r="R171" s="215"/>
      <c r="S171" s="218">
        <v>45630</v>
      </c>
      <c r="T171" s="205"/>
      <c r="U171" s="205"/>
      <c r="V171" s="216" t="s">
        <v>1131</v>
      </c>
      <c r="W171" s="212"/>
      <c r="X171" s="10">
        <v>7</v>
      </c>
      <c r="Y171" s="10">
        <v>7</v>
      </c>
      <c r="Z171" s="213">
        <f t="shared" si="59"/>
        <v>30000</v>
      </c>
      <c r="AA171" s="62"/>
      <c r="AB171" s="62"/>
      <c r="AC171" s="62"/>
      <c r="AD171" s="62"/>
      <c r="AE171" s="62"/>
      <c r="AF171" s="63"/>
      <c r="AG171" s="64"/>
      <c r="AH171" s="6">
        <v>1</v>
      </c>
      <c r="AI171">
        <f t="shared" si="60"/>
        <v>25</v>
      </c>
      <c r="AJ171">
        <f t="shared" si="61"/>
        <v>25</v>
      </c>
      <c r="AK171">
        <f t="shared" si="62"/>
        <v>0</v>
      </c>
      <c r="AL171">
        <f t="shared" si="63"/>
        <v>0</v>
      </c>
      <c r="AM171">
        <f t="shared" si="64"/>
        <v>0</v>
      </c>
      <c r="AN171">
        <f t="shared" si="65"/>
        <v>0</v>
      </c>
      <c r="AO171">
        <f t="shared" si="66"/>
        <v>0</v>
      </c>
      <c r="AP171">
        <f t="shared" si="67"/>
        <v>0</v>
      </c>
      <c r="AQ171">
        <f t="shared" si="68"/>
        <v>0</v>
      </c>
      <c r="AR171">
        <f t="shared" si="69"/>
        <v>0</v>
      </c>
      <c r="AS171">
        <f t="shared" si="70"/>
        <v>0</v>
      </c>
      <c r="AT171">
        <f t="shared" si="71"/>
        <v>0</v>
      </c>
      <c r="AU171">
        <f t="shared" si="72"/>
        <v>1</v>
      </c>
      <c r="AV171">
        <f t="shared" si="73"/>
        <v>1</v>
      </c>
      <c r="AW171">
        <f t="shared" si="74"/>
        <v>1</v>
      </c>
      <c r="AX171">
        <f t="shared" si="75"/>
        <v>1</v>
      </c>
      <c r="AY171">
        <f t="shared" si="76"/>
        <v>30000</v>
      </c>
      <c r="AZ171">
        <f t="shared" si="77"/>
        <v>30000</v>
      </c>
      <c r="BA171">
        <f t="shared" si="78"/>
        <v>0</v>
      </c>
      <c r="BB171">
        <f t="shared" si="79"/>
        <v>0</v>
      </c>
      <c r="BC171">
        <f t="shared" si="80"/>
        <v>0</v>
      </c>
      <c r="BD171">
        <f t="shared" si="81"/>
        <v>0</v>
      </c>
      <c r="BE171">
        <f t="shared" si="82"/>
        <v>0</v>
      </c>
      <c r="BF171">
        <f t="shared" si="83"/>
        <v>0</v>
      </c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</row>
    <row r="172" spans="1:256" s="201" customFormat="1" ht="14.25" x14ac:dyDescent="0.2">
      <c r="A172" s="10">
        <v>2964</v>
      </c>
      <c r="B172" s="11" t="s">
        <v>702</v>
      </c>
      <c r="C172" s="105" t="s">
        <v>703</v>
      </c>
      <c r="D172" s="11" t="s">
        <v>147</v>
      </c>
      <c r="E172" s="12">
        <v>11875</v>
      </c>
      <c r="F172" s="202">
        <v>20</v>
      </c>
      <c r="G172" s="11">
        <v>60000</v>
      </c>
      <c r="H172" s="116">
        <v>0</v>
      </c>
      <c r="I172" s="192"/>
      <c r="J172" s="204"/>
      <c r="K172" s="193"/>
      <c r="L172" s="193"/>
      <c r="M172" s="193"/>
      <c r="N172" s="203">
        <f t="shared" si="56"/>
        <v>60000</v>
      </c>
      <c r="O172" s="203">
        <f t="shared" si="57"/>
        <v>60000</v>
      </c>
      <c r="P172" s="203">
        <f t="shared" si="58"/>
        <v>60000</v>
      </c>
      <c r="Q172" s="214">
        <v>45661</v>
      </c>
      <c r="R172" s="215"/>
      <c r="S172" s="218">
        <v>45633</v>
      </c>
      <c r="T172" s="205"/>
      <c r="U172" s="205"/>
      <c r="V172" s="216" t="s">
        <v>1131</v>
      </c>
      <c r="W172" s="212"/>
      <c r="X172" s="10">
        <v>7</v>
      </c>
      <c r="Y172" s="10">
        <v>7</v>
      </c>
      <c r="Z172" s="213">
        <f t="shared" si="59"/>
        <v>60000</v>
      </c>
      <c r="AA172" s="62"/>
      <c r="AB172" s="62"/>
      <c r="AC172" s="62"/>
      <c r="AD172" s="62"/>
      <c r="AE172" s="62"/>
      <c r="AF172" s="63"/>
      <c r="AG172" s="64"/>
      <c r="AH172" s="6">
        <v>1</v>
      </c>
      <c r="AI172">
        <f t="shared" si="60"/>
        <v>25</v>
      </c>
      <c r="AJ172">
        <f t="shared" si="61"/>
        <v>25</v>
      </c>
      <c r="AK172">
        <f t="shared" si="62"/>
        <v>0</v>
      </c>
      <c r="AL172">
        <f t="shared" si="63"/>
        <v>0</v>
      </c>
      <c r="AM172">
        <f t="shared" si="64"/>
        <v>0</v>
      </c>
      <c r="AN172">
        <f t="shared" si="65"/>
        <v>0</v>
      </c>
      <c r="AO172">
        <f t="shared" si="66"/>
        <v>0</v>
      </c>
      <c r="AP172">
        <f t="shared" si="67"/>
        <v>0</v>
      </c>
      <c r="AQ172">
        <f t="shared" si="68"/>
        <v>0</v>
      </c>
      <c r="AR172">
        <f t="shared" si="69"/>
        <v>0</v>
      </c>
      <c r="AS172">
        <f t="shared" si="70"/>
        <v>0</v>
      </c>
      <c r="AT172">
        <f t="shared" si="71"/>
        <v>0</v>
      </c>
      <c r="AU172">
        <f t="shared" si="72"/>
        <v>1</v>
      </c>
      <c r="AV172">
        <f t="shared" si="73"/>
        <v>1</v>
      </c>
      <c r="AW172">
        <f t="shared" si="74"/>
        <v>1</v>
      </c>
      <c r="AX172">
        <f t="shared" si="75"/>
        <v>1</v>
      </c>
      <c r="AY172">
        <f t="shared" si="76"/>
        <v>60000</v>
      </c>
      <c r="AZ172">
        <f t="shared" si="77"/>
        <v>60000</v>
      </c>
      <c r="BA172">
        <f t="shared" si="78"/>
        <v>0</v>
      </c>
      <c r="BB172">
        <f t="shared" si="79"/>
        <v>0</v>
      </c>
      <c r="BC172">
        <f t="shared" si="80"/>
        <v>0</v>
      </c>
      <c r="BD172">
        <f t="shared" si="81"/>
        <v>0</v>
      </c>
      <c r="BE172">
        <f t="shared" si="82"/>
        <v>0</v>
      </c>
      <c r="BF172">
        <f t="shared" si="83"/>
        <v>0</v>
      </c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</row>
    <row r="173" spans="1:256" s="201" customFormat="1" ht="14.25" x14ac:dyDescent="0.2">
      <c r="A173" s="10">
        <v>2967</v>
      </c>
      <c r="B173" s="11" t="s">
        <v>704</v>
      </c>
      <c r="C173" s="105" t="s">
        <v>705</v>
      </c>
      <c r="D173" s="11" t="s">
        <v>106</v>
      </c>
      <c r="E173" s="12">
        <v>11878</v>
      </c>
      <c r="F173" s="202">
        <v>20</v>
      </c>
      <c r="G173" s="11">
        <v>80000</v>
      </c>
      <c r="H173" s="116">
        <v>-140000</v>
      </c>
      <c r="I173" s="192"/>
      <c r="J173" s="204"/>
      <c r="K173" s="193"/>
      <c r="L173" s="193"/>
      <c r="M173" s="193"/>
      <c r="N173" s="203">
        <f t="shared" si="56"/>
        <v>80000</v>
      </c>
      <c r="O173" s="203">
        <f t="shared" si="57"/>
        <v>-60000</v>
      </c>
      <c r="P173" s="203">
        <f t="shared" si="58"/>
        <v>0</v>
      </c>
      <c r="Q173" s="214"/>
      <c r="R173" s="215"/>
      <c r="S173" s="218">
        <v>45645</v>
      </c>
      <c r="T173" s="205"/>
      <c r="U173" s="205"/>
      <c r="V173" s="216"/>
      <c r="W173" s="212"/>
      <c r="X173" s="10">
        <v>7</v>
      </c>
      <c r="Y173" s="10">
        <v>7</v>
      </c>
      <c r="Z173" s="213">
        <f t="shared" si="59"/>
        <v>80000</v>
      </c>
      <c r="AA173" s="62"/>
      <c r="AB173" s="62"/>
      <c r="AC173" s="62"/>
      <c r="AD173" s="62"/>
      <c r="AE173" s="62"/>
      <c r="AF173" s="63"/>
      <c r="AG173" s="64"/>
      <c r="AH173" s="6">
        <v>1</v>
      </c>
      <c r="AI173">
        <f t="shared" si="60"/>
        <v>25</v>
      </c>
      <c r="AJ173">
        <f t="shared" si="61"/>
        <v>25</v>
      </c>
      <c r="AK173">
        <f t="shared" si="62"/>
        <v>0</v>
      </c>
      <c r="AL173">
        <f t="shared" si="63"/>
        <v>0</v>
      </c>
      <c r="AM173">
        <f t="shared" si="64"/>
        <v>0</v>
      </c>
      <c r="AN173">
        <f t="shared" si="65"/>
        <v>0</v>
      </c>
      <c r="AO173">
        <f t="shared" si="66"/>
        <v>0</v>
      </c>
      <c r="AP173">
        <f t="shared" si="67"/>
        <v>0</v>
      </c>
      <c r="AQ173">
        <f t="shared" si="68"/>
        <v>0</v>
      </c>
      <c r="AR173">
        <f t="shared" si="69"/>
        <v>0</v>
      </c>
      <c r="AS173">
        <f t="shared" si="70"/>
        <v>0</v>
      </c>
      <c r="AT173">
        <f t="shared" si="71"/>
        <v>0</v>
      </c>
      <c r="AU173">
        <f t="shared" si="72"/>
        <v>0</v>
      </c>
      <c r="AV173">
        <f t="shared" si="73"/>
        <v>0</v>
      </c>
      <c r="AW173">
        <f t="shared" si="74"/>
        <v>0</v>
      </c>
      <c r="AX173">
        <f t="shared" si="75"/>
        <v>0</v>
      </c>
      <c r="AY173">
        <f t="shared" si="76"/>
        <v>0</v>
      </c>
      <c r="AZ173">
        <f t="shared" si="77"/>
        <v>0</v>
      </c>
      <c r="BA173">
        <f t="shared" si="78"/>
        <v>0</v>
      </c>
      <c r="BB173">
        <f t="shared" si="79"/>
        <v>0</v>
      </c>
      <c r="BC173">
        <f t="shared" si="80"/>
        <v>0</v>
      </c>
      <c r="BD173">
        <f t="shared" si="81"/>
        <v>0</v>
      </c>
      <c r="BE173">
        <f t="shared" si="82"/>
        <v>0</v>
      </c>
      <c r="BF173">
        <f t="shared" si="83"/>
        <v>0</v>
      </c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</row>
    <row r="174" spans="1:256" s="201" customFormat="1" ht="14.25" x14ac:dyDescent="0.2">
      <c r="A174" s="10">
        <v>2976</v>
      </c>
      <c r="B174" s="11" t="s">
        <v>706</v>
      </c>
      <c r="C174" s="105" t="s">
        <v>707</v>
      </c>
      <c r="D174" s="11" t="s">
        <v>106</v>
      </c>
      <c r="E174" s="12">
        <v>11887</v>
      </c>
      <c r="F174" s="202">
        <v>20</v>
      </c>
      <c r="G174" s="11">
        <v>60000</v>
      </c>
      <c r="H174" s="116">
        <v>0</v>
      </c>
      <c r="I174" s="192"/>
      <c r="J174" s="204"/>
      <c r="K174" s="193"/>
      <c r="L174" s="193"/>
      <c r="M174" s="193"/>
      <c r="N174" s="203">
        <f t="shared" si="56"/>
        <v>60000</v>
      </c>
      <c r="O174" s="203">
        <f t="shared" si="57"/>
        <v>60000</v>
      </c>
      <c r="P174" s="203">
        <f t="shared" si="58"/>
        <v>60000</v>
      </c>
      <c r="Q174" s="214"/>
      <c r="R174" s="215"/>
      <c r="S174" s="218">
        <v>45638</v>
      </c>
      <c r="T174" s="205"/>
      <c r="U174" s="205"/>
      <c r="V174" s="216"/>
      <c r="W174" s="212" t="s">
        <v>1139</v>
      </c>
      <c r="X174" s="10">
        <v>7</v>
      </c>
      <c r="Y174" s="10">
        <v>7</v>
      </c>
      <c r="Z174" s="213">
        <f t="shared" si="59"/>
        <v>60000</v>
      </c>
      <c r="AA174" s="62"/>
      <c r="AB174" s="62"/>
      <c r="AC174" s="62"/>
      <c r="AD174" s="62"/>
      <c r="AE174" s="62"/>
      <c r="AF174" s="63"/>
      <c r="AG174" s="64"/>
      <c r="AH174" s="6">
        <v>1</v>
      </c>
      <c r="AI174">
        <f t="shared" si="60"/>
        <v>25</v>
      </c>
      <c r="AJ174">
        <f t="shared" si="61"/>
        <v>25</v>
      </c>
      <c r="AK174">
        <f t="shared" si="62"/>
        <v>0</v>
      </c>
      <c r="AL174">
        <f t="shared" si="63"/>
        <v>0</v>
      </c>
      <c r="AM174">
        <f t="shared" si="64"/>
        <v>0</v>
      </c>
      <c r="AN174">
        <f t="shared" si="65"/>
        <v>0</v>
      </c>
      <c r="AO174">
        <f t="shared" si="66"/>
        <v>0</v>
      </c>
      <c r="AP174">
        <f t="shared" si="67"/>
        <v>0</v>
      </c>
      <c r="AQ174">
        <f t="shared" si="68"/>
        <v>0</v>
      </c>
      <c r="AR174">
        <f t="shared" si="69"/>
        <v>0</v>
      </c>
      <c r="AS174">
        <f t="shared" si="70"/>
        <v>0</v>
      </c>
      <c r="AT174">
        <f t="shared" si="71"/>
        <v>0</v>
      </c>
      <c r="AU174">
        <f t="shared" si="72"/>
        <v>1</v>
      </c>
      <c r="AV174">
        <f t="shared" si="73"/>
        <v>1</v>
      </c>
      <c r="AW174">
        <f t="shared" si="74"/>
        <v>1</v>
      </c>
      <c r="AX174">
        <f t="shared" si="75"/>
        <v>1</v>
      </c>
      <c r="AY174">
        <f t="shared" si="76"/>
        <v>60000</v>
      </c>
      <c r="AZ174">
        <f t="shared" si="77"/>
        <v>60000</v>
      </c>
      <c r="BA174">
        <f t="shared" si="78"/>
        <v>0</v>
      </c>
      <c r="BB174">
        <f t="shared" si="79"/>
        <v>0</v>
      </c>
      <c r="BC174">
        <f t="shared" si="80"/>
        <v>0</v>
      </c>
      <c r="BD174">
        <f t="shared" si="81"/>
        <v>0</v>
      </c>
      <c r="BE174">
        <f t="shared" si="82"/>
        <v>0</v>
      </c>
      <c r="BF174">
        <f t="shared" si="83"/>
        <v>0</v>
      </c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</row>
    <row r="175" spans="1:256" s="201" customFormat="1" ht="14.25" x14ac:dyDescent="0.2">
      <c r="A175" s="10">
        <v>2977</v>
      </c>
      <c r="B175" s="11" t="s">
        <v>708</v>
      </c>
      <c r="C175" s="105" t="s">
        <v>709</v>
      </c>
      <c r="D175" s="11" t="s">
        <v>106</v>
      </c>
      <c r="E175" s="12">
        <v>11888</v>
      </c>
      <c r="F175" s="202">
        <v>20</v>
      </c>
      <c r="G175" s="11">
        <v>55000</v>
      </c>
      <c r="H175" s="116">
        <v>0</v>
      </c>
      <c r="I175" s="192"/>
      <c r="J175" s="204"/>
      <c r="K175" s="193"/>
      <c r="L175" s="193"/>
      <c r="M175" s="193"/>
      <c r="N175" s="203">
        <f t="shared" si="56"/>
        <v>55000</v>
      </c>
      <c r="O175" s="203">
        <f t="shared" si="57"/>
        <v>55000</v>
      </c>
      <c r="P175" s="203">
        <f t="shared" si="58"/>
        <v>55000</v>
      </c>
      <c r="Q175" s="214"/>
      <c r="R175" s="215"/>
      <c r="S175" s="218">
        <v>45635</v>
      </c>
      <c r="T175" s="205"/>
      <c r="U175" s="205"/>
      <c r="V175" s="216"/>
      <c r="W175" s="212"/>
      <c r="X175" s="10">
        <v>7</v>
      </c>
      <c r="Y175" s="10">
        <v>7</v>
      </c>
      <c r="Z175" s="213">
        <f t="shared" si="59"/>
        <v>55000</v>
      </c>
      <c r="AA175" s="62"/>
      <c r="AB175" s="62"/>
      <c r="AC175" s="62"/>
      <c r="AD175" s="62"/>
      <c r="AE175" s="62"/>
      <c r="AF175" s="63"/>
      <c r="AG175" s="64"/>
      <c r="AH175" s="6">
        <v>1</v>
      </c>
      <c r="AI175">
        <f t="shared" si="60"/>
        <v>25</v>
      </c>
      <c r="AJ175">
        <f t="shared" si="61"/>
        <v>25</v>
      </c>
      <c r="AK175">
        <f t="shared" si="62"/>
        <v>0</v>
      </c>
      <c r="AL175">
        <f t="shared" si="63"/>
        <v>0</v>
      </c>
      <c r="AM175">
        <f t="shared" si="64"/>
        <v>0</v>
      </c>
      <c r="AN175">
        <f t="shared" si="65"/>
        <v>0</v>
      </c>
      <c r="AO175">
        <f t="shared" si="66"/>
        <v>0</v>
      </c>
      <c r="AP175">
        <f t="shared" si="67"/>
        <v>0</v>
      </c>
      <c r="AQ175">
        <f t="shared" si="68"/>
        <v>0</v>
      </c>
      <c r="AR175">
        <f t="shared" si="69"/>
        <v>0</v>
      </c>
      <c r="AS175">
        <f t="shared" si="70"/>
        <v>0</v>
      </c>
      <c r="AT175">
        <f t="shared" si="71"/>
        <v>0</v>
      </c>
      <c r="AU175">
        <f t="shared" si="72"/>
        <v>1</v>
      </c>
      <c r="AV175">
        <f t="shared" si="73"/>
        <v>1</v>
      </c>
      <c r="AW175">
        <f t="shared" si="74"/>
        <v>1</v>
      </c>
      <c r="AX175">
        <f t="shared" si="75"/>
        <v>1</v>
      </c>
      <c r="AY175">
        <f t="shared" si="76"/>
        <v>55000</v>
      </c>
      <c r="AZ175">
        <f t="shared" si="77"/>
        <v>55000</v>
      </c>
      <c r="BA175">
        <f t="shared" si="78"/>
        <v>0</v>
      </c>
      <c r="BB175">
        <f t="shared" si="79"/>
        <v>0</v>
      </c>
      <c r="BC175">
        <f t="shared" si="80"/>
        <v>0</v>
      </c>
      <c r="BD175">
        <f t="shared" si="81"/>
        <v>0</v>
      </c>
      <c r="BE175">
        <f t="shared" si="82"/>
        <v>0</v>
      </c>
      <c r="BF175">
        <f t="shared" si="83"/>
        <v>0</v>
      </c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</row>
    <row r="176" spans="1:256" s="201" customFormat="1" ht="14.25" x14ac:dyDescent="0.2">
      <c r="A176" s="10">
        <v>2978</v>
      </c>
      <c r="B176" s="11" t="s">
        <v>710</v>
      </c>
      <c r="C176" s="105" t="s">
        <v>711</v>
      </c>
      <c r="D176" s="11" t="s">
        <v>106</v>
      </c>
      <c r="E176" s="12">
        <v>11890</v>
      </c>
      <c r="F176" s="202">
        <v>20</v>
      </c>
      <c r="G176" s="11">
        <v>60000</v>
      </c>
      <c r="H176" s="116">
        <v>0</v>
      </c>
      <c r="I176" s="192"/>
      <c r="J176" s="204"/>
      <c r="K176" s="193"/>
      <c r="L176" s="193"/>
      <c r="M176" s="193"/>
      <c r="N176" s="203">
        <f t="shared" si="56"/>
        <v>60000</v>
      </c>
      <c r="O176" s="203">
        <f t="shared" si="57"/>
        <v>60000</v>
      </c>
      <c r="P176" s="203">
        <f t="shared" si="58"/>
        <v>60000</v>
      </c>
      <c r="Q176" s="214"/>
      <c r="R176" s="215"/>
      <c r="S176" s="218">
        <v>45644</v>
      </c>
      <c r="T176" s="205"/>
      <c r="U176" s="205"/>
      <c r="V176" s="216"/>
      <c r="W176" s="212"/>
      <c r="X176" s="10">
        <v>7</v>
      </c>
      <c r="Y176" s="10">
        <v>7</v>
      </c>
      <c r="Z176" s="213">
        <f t="shared" si="59"/>
        <v>60000</v>
      </c>
      <c r="AA176" s="62"/>
      <c r="AB176" s="62"/>
      <c r="AC176" s="62"/>
      <c r="AD176" s="62"/>
      <c r="AE176" s="62"/>
      <c r="AF176" s="63"/>
      <c r="AG176" s="64"/>
      <c r="AH176" s="6">
        <v>1</v>
      </c>
      <c r="AI176">
        <f t="shared" si="60"/>
        <v>25</v>
      </c>
      <c r="AJ176">
        <f t="shared" si="61"/>
        <v>25</v>
      </c>
      <c r="AK176">
        <f t="shared" si="62"/>
        <v>0</v>
      </c>
      <c r="AL176">
        <f t="shared" si="63"/>
        <v>0</v>
      </c>
      <c r="AM176">
        <f t="shared" si="64"/>
        <v>0</v>
      </c>
      <c r="AN176">
        <f t="shared" si="65"/>
        <v>0</v>
      </c>
      <c r="AO176">
        <f t="shared" si="66"/>
        <v>0</v>
      </c>
      <c r="AP176">
        <f t="shared" si="67"/>
        <v>0</v>
      </c>
      <c r="AQ176">
        <f t="shared" si="68"/>
        <v>0</v>
      </c>
      <c r="AR176">
        <f t="shared" si="69"/>
        <v>0</v>
      </c>
      <c r="AS176">
        <f t="shared" si="70"/>
        <v>0</v>
      </c>
      <c r="AT176">
        <f t="shared" si="71"/>
        <v>0</v>
      </c>
      <c r="AU176">
        <f t="shared" si="72"/>
        <v>1</v>
      </c>
      <c r="AV176">
        <f t="shared" si="73"/>
        <v>1</v>
      </c>
      <c r="AW176">
        <f t="shared" si="74"/>
        <v>1</v>
      </c>
      <c r="AX176">
        <f t="shared" si="75"/>
        <v>1</v>
      </c>
      <c r="AY176">
        <f t="shared" si="76"/>
        <v>60000</v>
      </c>
      <c r="AZ176">
        <f t="shared" si="77"/>
        <v>60000</v>
      </c>
      <c r="BA176">
        <f t="shared" si="78"/>
        <v>0</v>
      </c>
      <c r="BB176">
        <f t="shared" si="79"/>
        <v>0</v>
      </c>
      <c r="BC176">
        <f t="shared" si="80"/>
        <v>0</v>
      </c>
      <c r="BD176">
        <f t="shared" si="81"/>
        <v>0</v>
      </c>
      <c r="BE176">
        <f t="shared" si="82"/>
        <v>0</v>
      </c>
      <c r="BF176">
        <f t="shared" si="83"/>
        <v>0</v>
      </c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</row>
    <row r="177" spans="1:256" s="201" customFormat="1" ht="14.25" x14ac:dyDescent="0.2">
      <c r="A177" s="10">
        <v>2980</v>
      </c>
      <c r="B177" s="11" t="s">
        <v>712</v>
      </c>
      <c r="C177" s="105" t="s">
        <v>713</v>
      </c>
      <c r="D177" s="11" t="s">
        <v>147</v>
      </c>
      <c r="E177" s="12">
        <v>11894</v>
      </c>
      <c r="F177" s="202">
        <v>20</v>
      </c>
      <c r="G177" s="11">
        <v>65000</v>
      </c>
      <c r="H177" s="116">
        <v>0</v>
      </c>
      <c r="I177" s="192"/>
      <c r="J177" s="204"/>
      <c r="K177" s="193"/>
      <c r="L177" s="193"/>
      <c r="M177" s="193"/>
      <c r="N177" s="203">
        <f t="shared" si="56"/>
        <v>65000</v>
      </c>
      <c r="O177" s="203">
        <f t="shared" si="57"/>
        <v>65000</v>
      </c>
      <c r="P177" s="203">
        <f t="shared" si="58"/>
        <v>65000</v>
      </c>
      <c r="Q177" s="214">
        <v>45661</v>
      </c>
      <c r="R177" s="215"/>
      <c r="S177" s="218">
        <v>45631</v>
      </c>
      <c r="T177" s="205"/>
      <c r="U177" s="205"/>
      <c r="V177" s="216" t="s">
        <v>1131</v>
      </c>
      <c r="W177" s="212"/>
      <c r="X177" s="10">
        <v>7</v>
      </c>
      <c r="Y177" s="10">
        <v>7</v>
      </c>
      <c r="Z177" s="213">
        <f t="shared" si="59"/>
        <v>65000</v>
      </c>
      <c r="AA177" s="62"/>
      <c r="AB177" s="62"/>
      <c r="AC177" s="62"/>
      <c r="AD177" s="62"/>
      <c r="AE177" s="62"/>
      <c r="AF177" s="63"/>
      <c r="AG177" s="64"/>
      <c r="AH177" s="6">
        <v>1</v>
      </c>
      <c r="AI177">
        <f t="shared" si="60"/>
        <v>25</v>
      </c>
      <c r="AJ177">
        <f t="shared" si="61"/>
        <v>25</v>
      </c>
      <c r="AK177">
        <f t="shared" si="62"/>
        <v>0</v>
      </c>
      <c r="AL177">
        <f t="shared" si="63"/>
        <v>0</v>
      </c>
      <c r="AM177">
        <f t="shared" si="64"/>
        <v>0</v>
      </c>
      <c r="AN177">
        <f t="shared" si="65"/>
        <v>0</v>
      </c>
      <c r="AO177">
        <f t="shared" si="66"/>
        <v>0</v>
      </c>
      <c r="AP177">
        <f t="shared" si="67"/>
        <v>0</v>
      </c>
      <c r="AQ177">
        <f t="shared" si="68"/>
        <v>0</v>
      </c>
      <c r="AR177">
        <f t="shared" si="69"/>
        <v>0</v>
      </c>
      <c r="AS177">
        <f t="shared" si="70"/>
        <v>0</v>
      </c>
      <c r="AT177">
        <f t="shared" si="71"/>
        <v>0</v>
      </c>
      <c r="AU177">
        <f t="shared" si="72"/>
        <v>1</v>
      </c>
      <c r="AV177">
        <f t="shared" si="73"/>
        <v>1</v>
      </c>
      <c r="AW177">
        <f t="shared" si="74"/>
        <v>1</v>
      </c>
      <c r="AX177">
        <f t="shared" si="75"/>
        <v>1</v>
      </c>
      <c r="AY177">
        <f t="shared" si="76"/>
        <v>65000</v>
      </c>
      <c r="AZ177">
        <f t="shared" si="77"/>
        <v>65000</v>
      </c>
      <c r="BA177">
        <f t="shared" si="78"/>
        <v>0</v>
      </c>
      <c r="BB177">
        <f t="shared" si="79"/>
        <v>0</v>
      </c>
      <c r="BC177">
        <f t="shared" si="80"/>
        <v>0</v>
      </c>
      <c r="BD177">
        <f t="shared" si="81"/>
        <v>0</v>
      </c>
      <c r="BE177">
        <f t="shared" si="82"/>
        <v>0</v>
      </c>
      <c r="BF177">
        <f t="shared" si="83"/>
        <v>0</v>
      </c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</row>
    <row r="178" spans="1:256" s="201" customFormat="1" ht="14.25" x14ac:dyDescent="0.2">
      <c r="A178" s="10">
        <v>2981</v>
      </c>
      <c r="B178" s="11" t="s">
        <v>387</v>
      </c>
      <c r="C178" s="105" t="s">
        <v>388</v>
      </c>
      <c r="D178" s="11" t="s">
        <v>218</v>
      </c>
      <c r="E178" s="12">
        <v>10127</v>
      </c>
      <c r="F178" s="202">
        <v>19</v>
      </c>
      <c r="G178" s="11">
        <v>60000</v>
      </c>
      <c r="H178" s="116">
        <v>-30000</v>
      </c>
      <c r="I178" s="192"/>
      <c r="J178" s="204"/>
      <c r="K178" s="193"/>
      <c r="L178" s="193"/>
      <c r="M178" s="193"/>
      <c r="N178" s="203">
        <f t="shared" si="56"/>
        <v>60000</v>
      </c>
      <c r="O178" s="203">
        <f t="shared" si="57"/>
        <v>30000</v>
      </c>
      <c r="P178" s="203">
        <f t="shared" si="58"/>
        <v>30000</v>
      </c>
      <c r="Q178" s="214"/>
      <c r="R178" s="215"/>
      <c r="S178" s="218">
        <v>45637</v>
      </c>
      <c r="T178" s="205"/>
      <c r="U178" s="205"/>
      <c r="V178" s="216"/>
      <c r="W178" s="212"/>
      <c r="X178" s="10">
        <v>7</v>
      </c>
      <c r="Y178" s="10">
        <v>7</v>
      </c>
      <c r="Z178" s="213">
        <f t="shared" si="59"/>
        <v>60000</v>
      </c>
      <c r="AA178" s="62"/>
      <c r="AB178" s="62"/>
      <c r="AC178" s="62"/>
      <c r="AD178" s="62"/>
      <c r="AE178" s="62"/>
      <c r="AF178" s="63"/>
      <c r="AG178" s="64"/>
      <c r="AH178" s="6">
        <v>1</v>
      </c>
      <c r="AI178">
        <f t="shared" si="60"/>
        <v>25</v>
      </c>
      <c r="AJ178">
        <f t="shared" si="61"/>
        <v>25</v>
      </c>
      <c r="AK178">
        <f t="shared" si="62"/>
        <v>0</v>
      </c>
      <c r="AL178">
        <f t="shared" si="63"/>
        <v>0</v>
      </c>
      <c r="AM178">
        <f t="shared" si="64"/>
        <v>0</v>
      </c>
      <c r="AN178">
        <f t="shared" si="65"/>
        <v>0</v>
      </c>
      <c r="AO178">
        <f t="shared" si="66"/>
        <v>0</v>
      </c>
      <c r="AP178">
        <f t="shared" si="67"/>
        <v>0</v>
      </c>
      <c r="AQ178">
        <f t="shared" si="68"/>
        <v>0</v>
      </c>
      <c r="AR178">
        <f t="shared" si="69"/>
        <v>0</v>
      </c>
      <c r="AS178">
        <f t="shared" si="70"/>
        <v>0</v>
      </c>
      <c r="AT178">
        <f t="shared" si="71"/>
        <v>0</v>
      </c>
      <c r="AU178">
        <f t="shared" si="72"/>
        <v>1</v>
      </c>
      <c r="AV178">
        <f t="shared" si="73"/>
        <v>1</v>
      </c>
      <c r="AW178">
        <f t="shared" si="74"/>
        <v>1</v>
      </c>
      <c r="AX178">
        <f t="shared" si="75"/>
        <v>1</v>
      </c>
      <c r="AY178">
        <f t="shared" si="76"/>
        <v>30000</v>
      </c>
      <c r="AZ178">
        <f t="shared" si="77"/>
        <v>30000</v>
      </c>
      <c r="BA178">
        <f t="shared" si="78"/>
        <v>0</v>
      </c>
      <c r="BB178">
        <f t="shared" si="79"/>
        <v>0</v>
      </c>
      <c r="BC178">
        <f t="shared" si="80"/>
        <v>0</v>
      </c>
      <c r="BD178">
        <f t="shared" si="81"/>
        <v>0</v>
      </c>
      <c r="BE178">
        <f t="shared" si="82"/>
        <v>0</v>
      </c>
      <c r="BF178">
        <f t="shared" si="83"/>
        <v>0</v>
      </c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</row>
    <row r="179" spans="1:256" s="201" customFormat="1" ht="14.25" x14ac:dyDescent="0.2">
      <c r="A179" s="10">
        <v>2983</v>
      </c>
      <c r="B179" s="11" t="s">
        <v>389</v>
      </c>
      <c r="C179" s="105" t="s">
        <v>390</v>
      </c>
      <c r="D179" s="11" t="s">
        <v>147</v>
      </c>
      <c r="E179" s="12">
        <v>11757</v>
      </c>
      <c r="F179" s="202">
        <v>19</v>
      </c>
      <c r="G179" s="11">
        <v>25000</v>
      </c>
      <c r="H179" s="116">
        <v>0</v>
      </c>
      <c r="I179" s="192"/>
      <c r="J179" s="204"/>
      <c r="K179" s="193"/>
      <c r="L179" s="193"/>
      <c r="M179" s="193"/>
      <c r="N179" s="203">
        <f t="shared" si="56"/>
        <v>25000</v>
      </c>
      <c r="O179" s="203">
        <f t="shared" si="57"/>
        <v>25000</v>
      </c>
      <c r="P179" s="203">
        <f t="shared" si="58"/>
        <v>25000</v>
      </c>
      <c r="Q179" s="214"/>
      <c r="R179" s="215"/>
      <c r="S179" s="218">
        <v>45653</v>
      </c>
      <c r="T179" s="205"/>
      <c r="U179" s="205"/>
      <c r="V179" s="216"/>
      <c r="W179" s="212"/>
      <c r="X179" s="10">
        <v>7</v>
      </c>
      <c r="Y179" s="10">
        <v>7</v>
      </c>
      <c r="Z179" s="213">
        <f t="shared" si="59"/>
        <v>25000</v>
      </c>
      <c r="AA179" s="62"/>
      <c r="AB179" s="62"/>
      <c r="AC179" s="62"/>
      <c r="AD179" s="62"/>
      <c r="AE179" s="62"/>
      <c r="AF179" s="63"/>
      <c r="AG179" s="64"/>
      <c r="AH179" s="6">
        <v>1</v>
      </c>
      <c r="AI179">
        <f t="shared" si="60"/>
        <v>25</v>
      </c>
      <c r="AJ179">
        <f t="shared" si="61"/>
        <v>25</v>
      </c>
      <c r="AK179">
        <f t="shared" si="62"/>
        <v>0</v>
      </c>
      <c r="AL179">
        <f t="shared" si="63"/>
        <v>0</v>
      </c>
      <c r="AM179">
        <f t="shared" si="64"/>
        <v>0</v>
      </c>
      <c r="AN179">
        <f t="shared" si="65"/>
        <v>0</v>
      </c>
      <c r="AO179">
        <f t="shared" si="66"/>
        <v>0</v>
      </c>
      <c r="AP179">
        <f t="shared" si="67"/>
        <v>0</v>
      </c>
      <c r="AQ179">
        <f t="shared" si="68"/>
        <v>0</v>
      </c>
      <c r="AR179">
        <f t="shared" si="69"/>
        <v>0</v>
      </c>
      <c r="AS179">
        <f t="shared" si="70"/>
        <v>0</v>
      </c>
      <c r="AT179">
        <f t="shared" si="71"/>
        <v>0</v>
      </c>
      <c r="AU179">
        <f t="shared" si="72"/>
        <v>1</v>
      </c>
      <c r="AV179">
        <f t="shared" si="73"/>
        <v>1</v>
      </c>
      <c r="AW179">
        <f t="shared" si="74"/>
        <v>1</v>
      </c>
      <c r="AX179">
        <f t="shared" si="75"/>
        <v>1</v>
      </c>
      <c r="AY179">
        <f t="shared" si="76"/>
        <v>25000</v>
      </c>
      <c r="AZ179">
        <f t="shared" si="77"/>
        <v>25000</v>
      </c>
      <c r="BA179">
        <f t="shared" si="78"/>
        <v>0</v>
      </c>
      <c r="BB179">
        <f t="shared" si="79"/>
        <v>0</v>
      </c>
      <c r="BC179">
        <f t="shared" si="80"/>
        <v>0</v>
      </c>
      <c r="BD179">
        <f t="shared" si="81"/>
        <v>0</v>
      </c>
      <c r="BE179">
        <f t="shared" si="82"/>
        <v>0</v>
      </c>
      <c r="BF179">
        <f t="shared" si="83"/>
        <v>0</v>
      </c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</row>
    <row r="180" spans="1:256" s="201" customFormat="1" ht="14.25" x14ac:dyDescent="0.2">
      <c r="A180" s="10">
        <v>2984</v>
      </c>
      <c r="B180" s="11" t="s">
        <v>714</v>
      </c>
      <c r="C180" s="105" t="s">
        <v>715</v>
      </c>
      <c r="D180" s="11" t="s">
        <v>105</v>
      </c>
      <c r="E180" s="12">
        <v>11758</v>
      </c>
      <c r="F180" s="202">
        <v>19</v>
      </c>
      <c r="G180" s="11">
        <v>60000</v>
      </c>
      <c r="H180" s="116">
        <v>0</v>
      </c>
      <c r="I180" s="192"/>
      <c r="J180" s="204"/>
      <c r="K180" s="193"/>
      <c r="L180" s="193"/>
      <c r="M180" s="193"/>
      <c r="N180" s="203">
        <f t="shared" si="56"/>
        <v>60000</v>
      </c>
      <c r="O180" s="203">
        <f t="shared" si="57"/>
        <v>60000</v>
      </c>
      <c r="P180" s="203">
        <f t="shared" si="58"/>
        <v>60000</v>
      </c>
      <c r="Q180" s="214"/>
      <c r="R180" s="215"/>
      <c r="S180" s="218">
        <v>45636</v>
      </c>
      <c r="T180" s="205"/>
      <c r="U180" s="205"/>
      <c r="V180" s="216"/>
      <c r="W180" s="212"/>
      <c r="X180" s="10">
        <v>7</v>
      </c>
      <c r="Y180" s="10">
        <v>7</v>
      </c>
      <c r="Z180" s="213">
        <f t="shared" si="59"/>
        <v>60000</v>
      </c>
      <c r="AA180" s="62"/>
      <c r="AB180" s="62"/>
      <c r="AC180" s="62"/>
      <c r="AD180" s="62"/>
      <c r="AE180" s="62"/>
      <c r="AF180" s="63"/>
      <c r="AG180" s="64"/>
      <c r="AH180" s="6">
        <v>1</v>
      </c>
      <c r="AI180">
        <f t="shared" si="60"/>
        <v>25</v>
      </c>
      <c r="AJ180">
        <f t="shared" si="61"/>
        <v>25</v>
      </c>
      <c r="AK180">
        <f t="shared" si="62"/>
        <v>0</v>
      </c>
      <c r="AL180">
        <f t="shared" si="63"/>
        <v>0</v>
      </c>
      <c r="AM180">
        <f t="shared" si="64"/>
        <v>0</v>
      </c>
      <c r="AN180">
        <f t="shared" si="65"/>
        <v>0</v>
      </c>
      <c r="AO180">
        <f t="shared" si="66"/>
        <v>0</v>
      </c>
      <c r="AP180">
        <f t="shared" si="67"/>
        <v>0</v>
      </c>
      <c r="AQ180">
        <f t="shared" si="68"/>
        <v>0</v>
      </c>
      <c r="AR180">
        <f t="shared" si="69"/>
        <v>0</v>
      </c>
      <c r="AS180">
        <f t="shared" si="70"/>
        <v>0</v>
      </c>
      <c r="AT180">
        <f t="shared" si="71"/>
        <v>0</v>
      </c>
      <c r="AU180">
        <f t="shared" si="72"/>
        <v>1</v>
      </c>
      <c r="AV180">
        <f t="shared" si="73"/>
        <v>1</v>
      </c>
      <c r="AW180">
        <f t="shared" si="74"/>
        <v>1</v>
      </c>
      <c r="AX180">
        <f t="shared" si="75"/>
        <v>1</v>
      </c>
      <c r="AY180">
        <f t="shared" si="76"/>
        <v>60000</v>
      </c>
      <c r="AZ180">
        <f t="shared" si="77"/>
        <v>60000</v>
      </c>
      <c r="BA180">
        <f t="shared" si="78"/>
        <v>0</v>
      </c>
      <c r="BB180">
        <f t="shared" si="79"/>
        <v>0</v>
      </c>
      <c r="BC180">
        <f t="shared" si="80"/>
        <v>0</v>
      </c>
      <c r="BD180">
        <f t="shared" si="81"/>
        <v>0</v>
      </c>
      <c r="BE180">
        <f t="shared" si="82"/>
        <v>0</v>
      </c>
      <c r="BF180">
        <f t="shared" si="83"/>
        <v>0</v>
      </c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</row>
    <row r="181" spans="1:256" s="201" customFormat="1" ht="14.25" x14ac:dyDescent="0.2">
      <c r="A181" s="10">
        <v>2989</v>
      </c>
      <c r="B181" s="11" t="s">
        <v>391</v>
      </c>
      <c r="C181" s="105" t="s">
        <v>392</v>
      </c>
      <c r="D181" s="11" t="s">
        <v>105</v>
      </c>
      <c r="E181" s="12">
        <v>11830</v>
      </c>
      <c r="F181" s="202">
        <v>19</v>
      </c>
      <c r="G181" s="11">
        <v>50000</v>
      </c>
      <c r="H181" s="116">
        <v>0</v>
      </c>
      <c r="I181" s="192"/>
      <c r="J181" s="204"/>
      <c r="K181" s="193"/>
      <c r="L181" s="193"/>
      <c r="M181" s="193"/>
      <c r="N181" s="203">
        <f t="shared" si="56"/>
        <v>50000</v>
      </c>
      <c r="O181" s="203">
        <f t="shared" si="57"/>
        <v>50000</v>
      </c>
      <c r="P181" s="203">
        <f t="shared" si="58"/>
        <v>50000</v>
      </c>
      <c r="Q181" s="214">
        <v>45659</v>
      </c>
      <c r="R181" s="215"/>
      <c r="S181" s="218">
        <v>45629</v>
      </c>
      <c r="T181" s="205"/>
      <c r="U181" s="205"/>
      <c r="V181" s="216" t="s">
        <v>1131</v>
      </c>
      <c r="W181" s="212"/>
      <c r="X181" s="10">
        <v>7</v>
      </c>
      <c r="Y181" s="10">
        <v>7</v>
      </c>
      <c r="Z181" s="213">
        <f t="shared" si="59"/>
        <v>50000</v>
      </c>
      <c r="AA181" s="62"/>
      <c r="AB181" s="62"/>
      <c r="AC181" s="62"/>
      <c r="AD181" s="62"/>
      <c r="AE181" s="62"/>
      <c r="AF181" s="63"/>
      <c r="AG181" s="64"/>
      <c r="AH181" s="6">
        <v>1</v>
      </c>
      <c r="AI181">
        <f t="shared" si="60"/>
        <v>25</v>
      </c>
      <c r="AJ181">
        <f t="shared" si="61"/>
        <v>25</v>
      </c>
      <c r="AK181">
        <f t="shared" si="62"/>
        <v>0</v>
      </c>
      <c r="AL181">
        <f t="shared" si="63"/>
        <v>0</v>
      </c>
      <c r="AM181">
        <f t="shared" si="64"/>
        <v>0</v>
      </c>
      <c r="AN181">
        <f t="shared" si="65"/>
        <v>0</v>
      </c>
      <c r="AO181">
        <f t="shared" si="66"/>
        <v>0</v>
      </c>
      <c r="AP181">
        <f t="shared" si="67"/>
        <v>0</v>
      </c>
      <c r="AQ181">
        <f t="shared" si="68"/>
        <v>0</v>
      </c>
      <c r="AR181">
        <f t="shared" si="69"/>
        <v>0</v>
      </c>
      <c r="AS181">
        <f t="shared" si="70"/>
        <v>0</v>
      </c>
      <c r="AT181">
        <f t="shared" si="71"/>
        <v>0</v>
      </c>
      <c r="AU181">
        <f t="shared" si="72"/>
        <v>1</v>
      </c>
      <c r="AV181">
        <f t="shared" si="73"/>
        <v>1</v>
      </c>
      <c r="AW181">
        <f t="shared" si="74"/>
        <v>1</v>
      </c>
      <c r="AX181">
        <f t="shared" si="75"/>
        <v>1</v>
      </c>
      <c r="AY181">
        <f t="shared" si="76"/>
        <v>50000</v>
      </c>
      <c r="AZ181">
        <f t="shared" si="77"/>
        <v>50000</v>
      </c>
      <c r="BA181">
        <f t="shared" si="78"/>
        <v>0</v>
      </c>
      <c r="BB181">
        <f t="shared" si="79"/>
        <v>0</v>
      </c>
      <c r="BC181">
        <f t="shared" si="80"/>
        <v>0</v>
      </c>
      <c r="BD181">
        <f t="shared" si="81"/>
        <v>0</v>
      </c>
      <c r="BE181">
        <f t="shared" si="82"/>
        <v>0</v>
      </c>
      <c r="BF181">
        <f t="shared" si="83"/>
        <v>0</v>
      </c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</row>
    <row r="182" spans="1:256" s="201" customFormat="1" ht="14.25" x14ac:dyDescent="0.2">
      <c r="A182" s="10">
        <v>2992</v>
      </c>
      <c r="B182" s="11" t="s">
        <v>287</v>
      </c>
      <c r="C182" s="105" t="s">
        <v>288</v>
      </c>
      <c r="D182" s="11" t="s">
        <v>147</v>
      </c>
      <c r="E182" s="12">
        <v>11891</v>
      </c>
      <c r="F182" s="202">
        <v>19</v>
      </c>
      <c r="G182" s="11">
        <v>36000</v>
      </c>
      <c r="H182" s="116">
        <v>-18000</v>
      </c>
      <c r="I182" s="192"/>
      <c r="J182" s="204"/>
      <c r="K182" s="193"/>
      <c r="L182" s="193"/>
      <c r="M182" s="193"/>
      <c r="N182" s="203">
        <f t="shared" si="56"/>
        <v>36000</v>
      </c>
      <c r="O182" s="203">
        <f t="shared" si="57"/>
        <v>18000</v>
      </c>
      <c r="P182" s="203">
        <f t="shared" si="58"/>
        <v>18000</v>
      </c>
      <c r="Q182" s="214"/>
      <c r="R182" s="215"/>
      <c r="S182" s="218">
        <v>45635</v>
      </c>
      <c r="T182" s="205"/>
      <c r="U182" s="205"/>
      <c r="V182" s="216"/>
      <c r="W182" s="212" t="s">
        <v>1145</v>
      </c>
      <c r="X182" s="10">
        <v>7</v>
      </c>
      <c r="Y182" s="10">
        <v>7</v>
      </c>
      <c r="Z182" s="213">
        <f t="shared" si="59"/>
        <v>36000</v>
      </c>
      <c r="AA182" s="62"/>
      <c r="AB182" s="62"/>
      <c r="AC182" s="62"/>
      <c r="AD182" s="62"/>
      <c r="AE182" s="62"/>
      <c r="AF182" s="63"/>
      <c r="AG182" s="64"/>
      <c r="AH182" s="6">
        <v>1</v>
      </c>
      <c r="AI182">
        <f t="shared" si="60"/>
        <v>25</v>
      </c>
      <c r="AJ182">
        <f t="shared" si="61"/>
        <v>25</v>
      </c>
      <c r="AK182">
        <f t="shared" si="62"/>
        <v>0</v>
      </c>
      <c r="AL182">
        <f t="shared" si="63"/>
        <v>0</v>
      </c>
      <c r="AM182">
        <f t="shared" si="64"/>
        <v>0</v>
      </c>
      <c r="AN182">
        <f t="shared" si="65"/>
        <v>0</v>
      </c>
      <c r="AO182">
        <f t="shared" si="66"/>
        <v>0</v>
      </c>
      <c r="AP182">
        <f t="shared" si="67"/>
        <v>0</v>
      </c>
      <c r="AQ182">
        <f t="shared" si="68"/>
        <v>0</v>
      </c>
      <c r="AR182">
        <f t="shared" si="69"/>
        <v>0</v>
      </c>
      <c r="AS182">
        <f t="shared" si="70"/>
        <v>0</v>
      </c>
      <c r="AT182">
        <f t="shared" si="71"/>
        <v>0</v>
      </c>
      <c r="AU182">
        <f t="shared" si="72"/>
        <v>1</v>
      </c>
      <c r="AV182">
        <f t="shared" si="73"/>
        <v>1</v>
      </c>
      <c r="AW182">
        <f t="shared" si="74"/>
        <v>1</v>
      </c>
      <c r="AX182">
        <f t="shared" si="75"/>
        <v>1</v>
      </c>
      <c r="AY182">
        <f t="shared" si="76"/>
        <v>18000</v>
      </c>
      <c r="AZ182">
        <f t="shared" si="77"/>
        <v>18000</v>
      </c>
      <c r="BA182">
        <f t="shared" si="78"/>
        <v>0</v>
      </c>
      <c r="BB182">
        <f t="shared" si="79"/>
        <v>0</v>
      </c>
      <c r="BC182">
        <f t="shared" si="80"/>
        <v>0</v>
      </c>
      <c r="BD182">
        <f t="shared" si="81"/>
        <v>0</v>
      </c>
      <c r="BE182">
        <f t="shared" si="82"/>
        <v>0</v>
      </c>
      <c r="BF182">
        <f t="shared" si="83"/>
        <v>0</v>
      </c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</row>
    <row r="183" spans="1:256" s="201" customFormat="1" ht="14.25" x14ac:dyDescent="0.2">
      <c r="A183" s="10">
        <v>2998</v>
      </c>
      <c r="B183" s="11" t="s">
        <v>393</v>
      </c>
      <c r="C183" s="105" t="s">
        <v>394</v>
      </c>
      <c r="D183" s="11" t="s">
        <v>157</v>
      </c>
      <c r="E183" s="12">
        <v>11899</v>
      </c>
      <c r="F183" s="202">
        <v>19</v>
      </c>
      <c r="G183" s="11">
        <v>65000</v>
      </c>
      <c r="H183" s="116">
        <v>0</v>
      </c>
      <c r="I183" s="192"/>
      <c r="J183" s="204"/>
      <c r="K183" s="193"/>
      <c r="L183" s="193"/>
      <c r="M183" s="193"/>
      <c r="N183" s="203">
        <f t="shared" si="56"/>
        <v>65000</v>
      </c>
      <c r="O183" s="203">
        <f t="shared" si="57"/>
        <v>65000</v>
      </c>
      <c r="P183" s="203">
        <f t="shared" si="58"/>
        <v>65000</v>
      </c>
      <c r="Q183" s="214"/>
      <c r="R183" s="215"/>
      <c r="S183" s="218">
        <v>45635</v>
      </c>
      <c r="T183" s="205"/>
      <c r="U183" s="205"/>
      <c r="V183" s="216"/>
      <c r="W183" s="212"/>
      <c r="X183" s="10">
        <v>7</v>
      </c>
      <c r="Y183" s="10">
        <v>7</v>
      </c>
      <c r="Z183" s="213">
        <f t="shared" si="59"/>
        <v>65000</v>
      </c>
      <c r="AA183" s="62"/>
      <c r="AB183" s="62"/>
      <c r="AC183" s="62"/>
      <c r="AD183" s="62"/>
      <c r="AE183" s="62"/>
      <c r="AF183" s="63"/>
      <c r="AG183" s="64"/>
      <c r="AH183" s="6">
        <v>1</v>
      </c>
      <c r="AI183">
        <f t="shared" si="60"/>
        <v>25</v>
      </c>
      <c r="AJ183">
        <f t="shared" si="61"/>
        <v>25</v>
      </c>
      <c r="AK183">
        <f t="shared" si="62"/>
        <v>0</v>
      </c>
      <c r="AL183">
        <f t="shared" si="63"/>
        <v>0</v>
      </c>
      <c r="AM183">
        <f t="shared" si="64"/>
        <v>0</v>
      </c>
      <c r="AN183">
        <f t="shared" si="65"/>
        <v>0</v>
      </c>
      <c r="AO183">
        <f t="shared" si="66"/>
        <v>0</v>
      </c>
      <c r="AP183">
        <f t="shared" si="67"/>
        <v>0</v>
      </c>
      <c r="AQ183">
        <f t="shared" si="68"/>
        <v>0</v>
      </c>
      <c r="AR183">
        <f t="shared" si="69"/>
        <v>0</v>
      </c>
      <c r="AS183">
        <f t="shared" si="70"/>
        <v>0</v>
      </c>
      <c r="AT183">
        <f t="shared" si="71"/>
        <v>0</v>
      </c>
      <c r="AU183">
        <f t="shared" si="72"/>
        <v>1</v>
      </c>
      <c r="AV183">
        <f t="shared" si="73"/>
        <v>1</v>
      </c>
      <c r="AW183">
        <f t="shared" si="74"/>
        <v>1</v>
      </c>
      <c r="AX183">
        <f t="shared" si="75"/>
        <v>1</v>
      </c>
      <c r="AY183">
        <f t="shared" si="76"/>
        <v>65000</v>
      </c>
      <c r="AZ183">
        <f t="shared" si="77"/>
        <v>65000</v>
      </c>
      <c r="BA183">
        <f t="shared" si="78"/>
        <v>0</v>
      </c>
      <c r="BB183">
        <f t="shared" si="79"/>
        <v>0</v>
      </c>
      <c r="BC183">
        <f t="shared" si="80"/>
        <v>0</v>
      </c>
      <c r="BD183">
        <f t="shared" si="81"/>
        <v>0</v>
      </c>
      <c r="BE183">
        <f t="shared" si="82"/>
        <v>0</v>
      </c>
      <c r="BF183">
        <f t="shared" si="83"/>
        <v>0</v>
      </c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</row>
    <row r="184" spans="1:256" s="201" customFormat="1" ht="14.25" x14ac:dyDescent="0.2">
      <c r="A184" s="10">
        <v>3003</v>
      </c>
      <c r="B184" s="11" t="s">
        <v>716</v>
      </c>
      <c r="C184" s="105" t="s">
        <v>717</v>
      </c>
      <c r="D184" s="11" t="s">
        <v>157</v>
      </c>
      <c r="E184" s="12">
        <v>10141</v>
      </c>
      <c r="F184" s="202">
        <v>18</v>
      </c>
      <c r="G184" s="11">
        <v>60000</v>
      </c>
      <c r="H184" s="116">
        <v>0</v>
      </c>
      <c r="I184" s="192"/>
      <c r="J184" s="204"/>
      <c r="K184" s="193"/>
      <c r="L184" s="193"/>
      <c r="M184" s="193"/>
      <c r="N184" s="203">
        <f t="shared" si="56"/>
        <v>60000</v>
      </c>
      <c r="O184" s="203">
        <f t="shared" si="57"/>
        <v>60000</v>
      </c>
      <c r="P184" s="203">
        <f t="shared" si="58"/>
        <v>60000</v>
      </c>
      <c r="Q184" s="214">
        <v>45665</v>
      </c>
      <c r="R184" s="215"/>
      <c r="S184" s="218">
        <v>45632</v>
      </c>
      <c r="T184" s="205"/>
      <c r="U184" s="205"/>
      <c r="V184" s="216" t="s">
        <v>1131</v>
      </c>
      <c r="W184" s="212"/>
      <c r="X184" s="10">
        <v>7</v>
      </c>
      <c r="Y184" s="10">
        <v>7</v>
      </c>
      <c r="Z184" s="213">
        <f t="shared" si="59"/>
        <v>60000</v>
      </c>
      <c r="AA184" s="62"/>
      <c r="AB184" s="62"/>
      <c r="AC184" s="62"/>
      <c r="AD184" s="62"/>
      <c r="AE184" s="62"/>
      <c r="AF184" s="63"/>
      <c r="AG184" s="64"/>
      <c r="AH184" s="6">
        <v>1</v>
      </c>
      <c r="AI184">
        <f t="shared" si="60"/>
        <v>25</v>
      </c>
      <c r="AJ184">
        <f t="shared" si="61"/>
        <v>25</v>
      </c>
      <c r="AK184">
        <f t="shared" si="62"/>
        <v>0</v>
      </c>
      <c r="AL184">
        <f t="shared" si="63"/>
        <v>0</v>
      </c>
      <c r="AM184">
        <f t="shared" si="64"/>
        <v>0</v>
      </c>
      <c r="AN184">
        <f t="shared" si="65"/>
        <v>0</v>
      </c>
      <c r="AO184">
        <f t="shared" si="66"/>
        <v>0</v>
      </c>
      <c r="AP184">
        <f t="shared" si="67"/>
        <v>0</v>
      </c>
      <c r="AQ184">
        <f t="shared" si="68"/>
        <v>0</v>
      </c>
      <c r="AR184">
        <f t="shared" si="69"/>
        <v>0</v>
      </c>
      <c r="AS184">
        <f t="shared" si="70"/>
        <v>0</v>
      </c>
      <c r="AT184">
        <f t="shared" si="71"/>
        <v>0</v>
      </c>
      <c r="AU184">
        <f t="shared" si="72"/>
        <v>1</v>
      </c>
      <c r="AV184">
        <f t="shared" si="73"/>
        <v>1</v>
      </c>
      <c r="AW184">
        <f t="shared" si="74"/>
        <v>1</v>
      </c>
      <c r="AX184">
        <f t="shared" si="75"/>
        <v>1</v>
      </c>
      <c r="AY184">
        <f t="shared" si="76"/>
        <v>60000</v>
      </c>
      <c r="AZ184">
        <f t="shared" si="77"/>
        <v>60000</v>
      </c>
      <c r="BA184">
        <f t="shared" si="78"/>
        <v>0</v>
      </c>
      <c r="BB184">
        <f t="shared" si="79"/>
        <v>0</v>
      </c>
      <c r="BC184">
        <f t="shared" si="80"/>
        <v>0</v>
      </c>
      <c r="BD184">
        <f t="shared" si="81"/>
        <v>0</v>
      </c>
      <c r="BE184">
        <f t="shared" si="82"/>
        <v>0</v>
      </c>
      <c r="BF184">
        <f t="shared" si="83"/>
        <v>0</v>
      </c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</row>
    <row r="185" spans="1:256" s="201" customFormat="1" ht="14.25" x14ac:dyDescent="0.2">
      <c r="A185" s="10">
        <v>3006</v>
      </c>
      <c r="B185" s="11" t="s">
        <v>718</v>
      </c>
      <c r="C185" s="105" t="s">
        <v>719</v>
      </c>
      <c r="D185" s="11" t="s">
        <v>157</v>
      </c>
      <c r="E185" s="12">
        <v>10154</v>
      </c>
      <c r="F185" s="202">
        <v>18</v>
      </c>
      <c r="G185" s="11">
        <v>99999.99</v>
      </c>
      <c r="H185" s="116">
        <v>-320000.03000000003</v>
      </c>
      <c r="I185" s="192"/>
      <c r="J185" s="204"/>
      <c r="K185" s="193"/>
      <c r="L185" s="193"/>
      <c r="M185" s="193"/>
      <c r="N185" s="203">
        <f t="shared" si="56"/>
        <v>99999.99</v>
      </c>
      <c r="O185" s="203">
        <f t="shared" si="57"/>
        <v>-220000.04000000004</v>
      </c>
      <c r="P185" s="203">
        <f t="shared" si="58"/>
        <v>0</v>
      </c>
      <c r="Q185" s="214">
        <v>45664</v>
      </c>
      <c r="R185" s="215"/>
      <c r="S185" s="218">
        <v>45629</v>
      </c>
      <c r="T185" s="205"/>
      <c r="U185" s="205"/>
      <c r="V185" s="216" t="s">
        <v>1131</v>
      </c>
      <c r="W185" s="212"/>
      <c r="X185" s="10">
        <v>7</v>
      </c>
      <c r="Y185" s="10">
        <v>7</v>
      </c>
      <c r="Z185" s="213">
        <f t="shared" si="59"/>
        <v>99999.99</v>
      </c>
      <c r="AA185" s="62"/>
      <c r="AB185" s="62"/>
      <c r="AC185" s="62"/>
      <c r="AD185" s="62"/>
      <c r="AE185" s="62"/>
      <c r="AF185" s="63"/>
      <c r="AG185" s="64"/>
      <c r="AH185" s="6">
        <v>1</v>
      </c>
      <c r="AI185">
        <f t="shared" si="60"/>
        <v>25</v>
      </c>
      <c r="AJ185">
        <f t="shared" si="61"/>
        <v>25</v>
      </c>
      <c r="AK185">
        <f t="shared" si="62"/>
        <v>0</v>
      </c>
      <c r="AL185">
        <f t="shared" si="63"/>
        <v>0</v>
      </c>
      <c r="AM185">
        <f t="shared" si="64"/>
        <v>0</v>
      </c>
      <c r="AN185">
        <f t="shared" si="65"/>
        <v>0</v>
      </c>
      <c r="AO185">
        <f t="shared" si="66"/>
        <v>0</v>
      </c>
      <c r="AP185">
        <f t="shared" si="67"/>
        <v>0</v>
      </c>
      <c r="AQ185">
        <f t="shared" si="68"/>
        <v>0</v>
      </c>
      <c r="AR185">
        <f t="shared" si="69"/>
        <v>0</v>
      </c>
      <c r="AS185">
        <f t="shared" si="70"/>
        <v>0</v>
      </c>
      <c r="AT185">
        <f t="shared" si="71"/>
        <v>0</v>
      </c>
      <c r="AU185">
        <f t="shared" si="72"/>
        <v>0</v>
      </c>
      <c r="AV185">
        <f t="shared" si="73"/>
        <v>0</v>
      </c>
      <c r="AW185">
        <f t="shared" si="74"/>
        <v>0</v>
      </c>
      <c r="AX185">
        <f t="shared" si="75"/>
        <v>0</v>
      </c>
      <c r="AY185">
        <f t="shared" si="76"/>
        <v>0</v>
      </c>
      <c r="AZ185">
        <f t="shared" si="77"/>
        <v>0</v>
      </c>
      <c r="BA185">
        <f t="shared" si="78"/>
        <v>0</v>
      </c>
      <c r="BB185">
        <f t="shared" si="79"/>
        <v>0</v>
      </c>
      <c r="BC185">
        <f t="shared" si="80"/>
        <v>0</v>
      </c>
      <c r="BD185">
        <f t="shared" si="81"/>
        <v>0</v>
      </c>
      <c r="BE185">
        <f t="shared" si="82"/>
        <v>0</v>
      </c>
      <c r="BF185">
        <f t="shared" si="83"/>
        <v>0</v>
      </c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</row>
    <row r="186" spans="1:256" s="201" customFormat="1" ht="14.25" x14ac:dyDescent="0.2">
      <c r="A186" s="10">
        <v>3008</v>
      </c>
      <c r="B186" s="11" t="s">
        <v>395</v>
      </c>
      <c r="C186" s="105" t="s">
        <v>396</v>
      </c>
      <c r="D186" s="11" t="s">
        <v>218</v>
      </c>
      <c r="E186" s="12">
        <v>10156</v>
      </c>
      <c r="F186" s="202">
        <v>18</v>
      </c>
      <c r="G186" s="11">
        <v>70000</v>
      </c>
      <c r="H186" s="116">
        <v>0</v>
      </c>
      <c r="I186" s="192"/>
      <c r="J186" s="204"/>
      <c r="K186" s="193"/>
      <c r="L186" s="193"/>
      <c r="M186" s="193"/>
      <c r="N186" s="203">
        <f t="shared" si="56"/>
        <v>70000</v>
      </c>
      <c r="O186" s="203">
        <f t="shared" si="57"/>
        <v>70000</v>
      </c>
      <c r="P186" s="203">
        <f t="shared" si="58"/>
        <v>70000</v>
      </c>
      <c r="Q186" s="214"/>
      <c r="R186" s="215"/>
      <c r="S186" s="218">
        <v>45630</v>
      </c>
      <c r="T186" s="205"/>
      <c r="U186" s="205"/>
      <c r="V186" s="216"/>
      <c r="W186" s="212"/>
      <c r="X186" s="10">
        <v>7</v>
      </c>
      <c r="Y186" s="10">
        <v>7</v>
      </c>
      <c r="Z186" s="213">
        <f t="shared" si="59"/>
        <v>70000</v>
      </c>
      <c r="AA186" s="62"/>
      <c r="AB186" s="62"/>
      <c r="AC186" s="62"/>
      <c r="AD186" s="62"/>
      <c r="AE186" s="62"/>
      <c r="AF186" s="63"/>
      <c r="AG186" s="64"/>
      <c r="AH186" s="6">
        <v>1</v>
      </c>
      <c r="AI186">
        <f t="shared" si="60"/>
        <v>25</v>
      </c>
      <c r="AJ186">
        <f t="shared" si="61"/>
        <v>25</v>
      </c>
      <c r="AK186">
        <f t="shared" si="62"/>
        <v>0</v>
      </c>
      <c r="AL186">
        <f t="shared" si="63"/>
        <v>0</v>
      </c>
      <c r="AM186">
        <f t="shared" si="64"/>
        <v>0</v>
      </c>
      <c r="AN186">
        <f t="shared" si="65"/>
        <v>0</v>
      </c>
      <c r="AO186">
        <f t="shared" si="66"/>
        <v>0</v>
      </c>
      <c r="AP186">
        <f t="shared" si="67"/>
        <v>0</v>
      </c>
      <c r="AQ186">
        <f t="shared" si="68"/>
        <v>0</v>
      </c>
      <c r="AR186">
        <f t="shared" si="69"/>
        <v>0</v>
      </c>
      <c r="AS186">
        <f t="shared" si="70"/>
        <v>0</v>
      </c>
      <c r="AT186">
        <f t="shared" si="71"/>
        <v>0</v>
      </c>
      <c r="AU186">
        <f t="shared" si="72"/>
        <v>1</v>
      </c>
      <c r="AV186">
        <f t="shared" si="73"/>
        <v>1</v>
      </c>
      <c r="AW186">
        <f t="shared" si="74"/>
        <v>1</v>
      </c>
      <c r="AX186">
        <f t="shared" si="75"/>
        <v>1</v>
      </c>
      <c r="AY186">
        <f t="shared" si="76"/>
        <v>70000</v>
      </c>
      <c r="AZ186">
        <f t="shared" si="77"/>
        <v>70000</v>
      </c>
      <c r="BA186">
        <f t="shared" si="78"/>
        <v>0</v>
      </c>
      <c r="BB186">
        <f t="shared" si="79"/>
        <v>0</v>
      </c>
      <c r="BC186">
        <f t="shared" si="80"/>
        <v>0</v>
      </c>
      <c r="BD186">
        <f t="shared" si="81"/>
        <v>0</v>
      </c>
      <c r="BE186">
        <f t="shared" si="82"/>
        <v>0</v>
      </c>
      <c r="BF186">
        <f t="shared" si="83"/>
        <v>0</v>
      </c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</row>
    <row r="187" spans="1:256" s="201" customFormat="1" ht="14.25" x14ac:dyDescent="0.2">
      <c r="A187" s="10">
        <v>3009</v>
      </c>
      <c r="B187" s="11" t="s">
        <v>397</v>
      </c>
      <c r="C187" s="105" t="s">
        <v>398</v>
      </c>
      <c r="D187" s="11" t="s">
        <v>218</v>
      </c>
      <c r="E187" s="12">
        <v>10494</v>
      </c>
      <c r="F187" s="202">
        <v>18</v>
      </c>
      <c r="G187" s="11">
        <v>70000</v>
      </c>
      <c r="H187" s="116">
        <v>0</v>
      </c>
      <c r="I187" s="192"/>
      <c r="J187" s="204"/>
      <c r="K187" s="193"/>
      <c r="L187" s="193"/>
      <c r="M187" s="193"/>
      <c r="N187" s="203">
        <f t="shared" si="56"/>
        <v>70000</v>
      </c>
      <c r="O187" s="203">
        <f t="shared" si="57"/>
        <v>70000</v>
      </c>
      <c r="P187" s="203">
        <f t="shared" si="58"/>
        <v>70000</v>
      </c>
      <c r="Q187" s="214">
        <v>45659</v>
      </c>
      <c r="R187" s="215"/>
      <c r="S187" s="218">
        <v>45630</v>
      </c>
      <c r="T187" s="205"/>
      <c r="U187" s="205"/>
      <c r="V187" s="216" t="s">
        <v>1131</v>
      </c>
      <c r="W187" s="212"/>
      <c r="X187" s="10">
        <v>7</v>
      </c>
      <c r="Y187" s="10">
        <v>7</v>
      </c>
      <c r="Z187" s="213">
        <f t="shared" si="59"/>
        <v>70000</v>
      </c>
      <c r="AA187" s="62"/>
      <c r="AB187" s="62"/>
      <c r="AC187" s="62"/>
      <c r="AD187" s="62"/>
      <c r="AE187" s="62"/>
      <c r="AF187" s="63"/>
      <c r="AG187" s="64"/>
      <c r="AH187" s="6">
        <v>1</v>
      </c>
      <c r="AI187">
        <f t="shared" si="60"/>
        <v>25</v>
      </c>
      <c r="AJ187">
        <f t="shared" si="61"/>
        <v>25</v>
      </c>
      <c r="AK187">
        <f t="shared" si="62"/>
        <v>0</v>
      </c>
      <c r="AL187">
        <f t="shared" si="63"/>
        <v>0</v>
      </c>
      <c r="AM187">
        <f t="shared" si="64"/>
        <v>0</v>
      </c>
      <c r="AN187">
        <f t="shared" si="65"/>
        <v>0</v>
      </c>
      <c r="AO187">
        <f t="shared" si="66"/>
        <v>0</v>
      </c>
      <c r="AP187">
        <f t="shared" si="67"/>
        <v>0</v>
      </c>
      <c r="AQ187">
        <f t="shared" si="68"/>
        <v>0</v>
      </c>
      <c r="AR187">
        <f t="shared" si="69"/>
        <v>0</v>
      </c>
      <c r="AS187">
        <f t="shared" si="70"/>
        <v>0</v>
      </c>
      <c r="AT187">
        <f t="shared" si="71"/>
        <v>0</v>
      </c>
      <c r="AU187">
        <f t="shared" si="72"/>
        <v>1</v>
      </c>
      <c r="AV187">
        <f t="shared" si="73"/>
        <v>1</v>
      </c>
      <c r="AW187">
        <f t="shared" si="74"/>
        <v>1</v>
      </c>
      <c r="AX187">
        <f t="shared" si="75"/>
        <v>1</v>
      </c>
      <c r="AY187">
        <f t="shared" si="76"/>
        <v>70000</v>
      </c>
      <c r="AZ187">
        <f t="shared" si="77"/>
        <v>70000</v>
      </c>
      <c r="BA187">
        <f t="shared" si="78"/>
        <v>0</v>
      </c>
      <c r="BB187">
        <f t="shared" si="79"/>
        <v>0</v>
      </c>
      <c r="BC187">
        <f t="shared" si="80"/>
        <v>0</v>
      </c>
      <c r="BD187">
        <f t="shared" si="81"/>
        <v>0</v>
      </c>
      <c r="BE187">
        <f t="shared" si="82"/>
        <v>0</v>
      </c>
      <c r="BF187">
        <f t="shared" si="83"/>
        <v>0</v>
      </c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</row>
    <row r="188" spans="1:256" s="201" customFormat="1" ht="14.25" x14ac:dyDescent="0.2">
      <c r="A188" s="10">
        <v>3011</v>
      </c>
      <c r="B188" s="11" t="s">
        <v>720</v>
      </c>
      <c r="C188" s="105" t="s">
        <v>721</v>
      </c>
      <c r="D188" s="11" t="s">
        <v>105</v>
      </c>
      <c r="E188" s="12">
        <v>11103</v>
      </c>
      <c r="F188" s="202">
        <v>18</v>
      </c>
      <c r="G188" s="11">
        <v>60000</v>
      </c>
      <c r="H188" s="116">
        <v>0</v>
      </c>
      <c r="I188" s="192"/>
      <c r="J188" s="204"/>
      <c r="K188" s="193"/>
      <c r="L188" s="193"/>
      <c r="M188" s="193"/>
      <c r="N188" s="203">
        <f t="shared" si="56"/>
        <v>60000</v>
      </c>
      <c r="O188" s="203">
        <f t="shared" si="57"/>
        <v>60000</v>
      </c>
      <c r="P188" s="203">
        <f t="shared" si="58"/>
        <v>60000</v>
      </c>
      <c r="Q188" s="214">
        <v>45663</v>
      </c>
      <c r="R188" s="215"/>
      <c r="S188" s="218">
        <v>45631</v>
      </c>
      <c r="T188" s="205"/>
      <c r="U188" s="205"/>
      <c r="V188" s="216" t="s">
        <v>1131</v>
      </c>
      <c r="W188" s="212"/>
      <c r="X188" s="10">
        <v>7</v>
      </c>
      <c r="Y188" s="10">
        <v>7</v>
      </c>
      <c r="Z188" s="213">
        <f t="shared" si="59"/>
        <v>60000</v>
      </c>
      <c r="AA188" s="62"/>
      <c r="AB188" s="62"/>
      <c r="AC188" s="62"/>
      <c r="AD188" s="62"/>
      <c r="AE188" s="62"/>
      <c r="AF188" s="63"/>
      <c r="AG188" s="64"/>
      <c r="AH188" s="6">
        <v>1</v>
      </c>
      <c r="AI188">
        <f t="shared" si="60"/>
        <v>25</v>
      </c>
      <c r="AJ188">
        <f t="shared" si="61"/>
        <v>25</v>
      </c>
      <c r="AK188">
        <f t="shared" si="62"/>
        <v>0</v>
      </c>
      <c r="AL188">
        <f t="shared" si="63"/>
        <v>0</v>
      </c>
      <c r="AM188">
        <f t="shared" si="64"/>
        <v>0</v>
      </c>
      <c r="AN188">
        <f t="shared" si="65"/>
        <v>0</v>
      </c>
      <c r="AO188">
        <f t="shared" si="66"/>
        <v>0</v>
      </c>
      <c r="AP188">
        <f t="shared" si="67"/>
        <v>0</v>
      </c>
      <c r="AQ188">
        <f t="shared" si="68"/>
        <v>0</v>
      </c>
      <c r="AR188">
        <f t="shared" si="69"/>
        <v>0</v>
      </c>
      <c r="AS188">
        <f t="shared" si="70"/>
        <v>0</v>
      </c>
      <c r="AT188">
        <f t="shared" si="71"/>
        <v>0</v>
      </c>
      <c r="AU188">
        <f t="shared" si="72"/>
        <v>1</v>
      </c>
      <c r="AV188">
        <f t="shared" si="73"/>
        <v>1</v>
      </c>
      <c r="AW188">
        <f t="shared" si="74"/>
        <v>1</v>
      </c>
      <c r="AX188">
        <f t="shared" si="75"/>
        <v>1</v>
      </c>
      <c r="AY188">
        <f t="shared" si="76"/>
        <v>60000</v>
      </c>
      <c r="AZ188">
        <f t="shared" si="77"/>
        <v>60000</v>
      </c>
      <c r="BA188">
        <f t="shared" si="78"/>
        <v>0</v>
      </c>
      <c r="BB188">
        <f t="shared" si="79"/>
        <v>0</v>
      </c>
      <c r="BC188">
        <f t="shared" si="80"/>
        <v>0</v>
      </c>
      <c r="BD188">
        <f t="shared" si="81"/>
        <v>0</v>
      </c>
      <c r="BE188">
        <f t="shared" si="82"/>
        <v>0</v>
      </c>
      <c r="BF188">
        <f t="shared" si="83"/>
        <v>0</v>
      </c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</row>
    <row r="189" spans="1:256" s="201" customFormat="1" ht="14.25" x14ac:dyDescent="0.2">
      <c r="A189" s="10">
        <v>3012</v>
      </c>
      <c r="B189" s="11" t="s">
        <v>722</v>
      </c>
      <c r="C189" s="105" t="s">
        <v>723</v>
      </c>
      <c r="D189" s="11" t="s">
        <v>173</v>
      </c>
      <c r="E189" s="12">
        <v>11104</v>
      </c>
      <c r="F189" s="202">
        <v>18</v>
      </c>
      <c r="G189" s="11">
        <v>80000</v>
      </c>
      <c r="H189" s="116">
        <v>0</v>
      </c>
      <c r="I189" s="192"/>
      <c r="J189" s="204"/>
      <c r="K189" s="193"/>
      <c r="L189" s="193"/>
      <c r="M189" s="193"/>
      <c r="N189" s="203">
        <f t="shared" si="56"/>
        <v>80000</v>
      </c>
      <c r="O189" s="203">
        <f t="shared" si="57"/>
        <v>80000</v>
      </c>
      <c r="P189" s="203">
        <f t="shared" si="58"/>
        <v>80000</v>
      </c>
      <c r="Q189" s="214"/>
      <c r="R189" s="215"/>
      <c r="S189" s="218">
        <v>45639</v>
      </c>
      <c r="T189" s="205"/>
      <c r="U189" s="205"/>
      <c r="V189" s="216"/>
      <c r="W189" s="212"/>
      <c r="X189" s="10">
        <v>7</v>
      </c>
      <c r="Y189" s="10">
        <v>7</v>
      </c>
      <c r="Z189" s="213">
        <f t="shared" si="59"/>
        <v>80000</v>
      </c>
      <c r="AA189" s="62"/>
      <c r="AB189" s="62"/>
      <c r="AC189" s="62"/>
      <c r="AD189" s="62"/>
      <c r="AE189" s="62"/>
      <c r="AF189" s="63"/>
      <c r="AG189" s="64"/>
      <c r="AH189" s="6">
        <v>1</v>
      </c>
      <c r="AI189">
        <f t="shared" si="60"/>
        <v>25</v>
      </c>
      <c r="AJ189">
        <f t="shared" si="61"/>
        <v>25</v>
      </c>
      <c r="AK189">
        <f t="shared" si="62"/>
        <v>0</v>
      </c>
      <c r="AL189">
        <f t="shared" si="63"/>
        <v>0</v>
      </c>
      <c r="AM189">
        <f t="shared" si="64"/>
        <v>0</v>
      </c>
      <c r="AN189">
        <f t="shared" si="65"/>
        <v>0</v>
      </c>
      <c r="AO189">
        <f t="shared" si="66"/>
        <v>0</v>
      </c>
      <c r="AP189">
        <f t="shared" si="67"/>
        <v>0</v>
      </c>
      <c r="AQ189">
        <f t="shared" si="68"/>
        <v>0</v>
      </c>
      <c r="AR189">
        <f t="shared" si="69"/>
        <v>0</v>
      </c>
      <c r="AS189">
        <f t="shared" si="70"/>
        <v>0</v>
      </c>
      <c r="AT189">
        <f t="shared" si="71"/>
        <v>0</v>
      </c>
      <c r="AU189">
        <f t="shared" si="72"/>
        <v>1</v>
      </c>
      <c r="AV189">
        <f t="shared" si="73"/>
        <v>1</v>
      </c>
      <c r="AW189">
        <f t="shared" si="74"/>
        <v>1</v>
      </c>
      <c r="AX189">
        <f t="shared" si="75"/>
        <v>1</v>
      </c>
      <c r="AY189">
        <f t="shared" si="76"/>
        <v>80000</v>
      </c>
      <c r="AZ189">
        <f t="shared" si="77"/>
        <v>80000</v>
      </c>
      <c r="BA189">
        <f t="shared" si="78"/>
        <v>0</v>
      </c>
      <c r="BB189">
        <f t="shared" si="79"/>
        <v>0</v>
      </c>
      <c r="BC189">
        <f t="shared" si="80"/>
        <v>0</v>
      </c>
      <c r="BD189">
        <f t="shared" si="81"/>
        <v>0</v>
      </c>
      <c r="BE189">
        <f t="shared" si="82"/>
        <v>0</v>
      </c>
      <c r="BF189">
        <f t="shared" si="83"/>
        <v>0</v>
      </c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</row>
    <row r="190" spans="1:256" s="201" customFormat="1" ht="14.25" x14ac:dyDescent="0.2">
      <c r="A190" s="10">
        <v>3013</v>
      </c>
      <c r="B190" s="11" t="s">
        <v>724</v>
      </c>
      <c r="C190" s="105" t="s">
        <v>725</v>
      </c>
      <c r="D190" s="11" t="s">
        <v>105</v>
      </c>
      <c r="E190" s="12">
        <v>11145</v>
      </c>
      <c r="F190" s="202">
        <v>18</v>
      </c>
      <c r="G190" s="11">
        <v>75000</v>
      </c>
      <c r="H190" s="116">
        <v>0</v>
      </c>
      <c r="I190" s="192"/>
      <c r="J190" s="204"/>
      <c r="K190" s="193"/>
      <c r="L190" s="193"/>
      <c r="M190" s="193"/>
      <c r="N190" s="203">
        <f t="shared" si="56"/>
        <v>75000</v>
      </c>
      <c r="O190" s="203">
        <f t="shared" si="57"/>
        <v>75000</v>
      </c>
      <c r="P190" s="203">
        <f t="shared" si="58"/>
        <v>75000</v>
      </c>
      <c r="Q190" s="214"/>
      <c r="R190" s="215"/>
      <c r="S190" s="218">
        <v>45644</v>
      </c>
      <c r="T190" s="205"/>
      <c r="U190" s="205"/>
      <c r="V190" s="216"/>
      <c r="W190" s="212"/>
      <c r="X190" s="10">
        <v>7</v>
      </c>
      <c r="Y190" s="10">
        <v>7</v>
      </c>
      <c r="Z190" s="213">
        <f t="shared" si="59"/>
        <v>75000</v>
      </c>
      <c r="AA190" s="62"/>
      <c r="AB190" s="62"/>
      <c r="AC190" s="62"/>
      <c r="AD190" s="62"/>
      <c r="AE190" s="62"/>
      <c r="AF190" s="63"/>
      <c r="AG190" s="64"/>
      <c r="AH190" s="6">
        <v>1</v>
      </c>
      <c r="AI190">
        <f t="shared" si="60"/>
        <v>25</v>
      </c>
      <c r="AJ190">
        <f t="shared" si="61"/>
        <v>25</v>
      </c>
      <c r="AK190">
        <f t="shared" si="62"/>
        <v>0</v>
      </c>
      <c r="AL190">
        <f t="shared" si="63"/>
        <v>0</v>
      </c>
      <c r="AM190">
        <f t="shared" si="64"/>
        <v>0</v>
      </c>
      <c r="AN190">
        <f t="shared" si="65"/>
        <v>0</v>
      </c>
      <c r="AO190">
        <f t="shared" si="66"/>
        <v>0</v>
      </c>
      <c r="AP190">
        <f t="shared" si="67"/>
        <v>0</v>
      </c>
      <c r="AQ190">
        <f t="shared" si="68"/>
        <v>0</v>
      </c>
      <c r="AR190">
        <f t="shared" si="69"/>
        <v>0</v>
      </c>
      <c r="AS190">
        <f t="shared" si="70"/>
        <v>0</v>
      </c>
      <c r="AT190">
        <f t="shared" si="71"/>
        <v>0</v>
      </c>
      <c r="AU190">
        <f t="shared" si="72"/>
        <v>1</v>
      </c>
      <c r="AV190">
        <f t="shared" si="73"/>
        <v>1</v>
      </c>
      <c r="AW190">
        <f t="shared" si="74"/>
        <v>1</v>
      </c>
      <c r="AX190">
        <f t="shared" si="75"/>
        <v>1</v>
      </c>
      <c r="AY190">
        <f t="shared" si="76"/>
        <v>75000</v>
      </c>
      <c r="AZ190">
        <f t="shared" si="77"/>
        <v>75000</v>
      </c>
      <c r="BA190">
        <f t="shared" si="78"/>
        <v>0</v>
      </c>
      <c r="BB190">
        <f t="shared" si="79"/>
        <v>0</v>
      </c>
      <c r="BC190">
        <f t="shared" si="80"/>
        <v>0</v>
      </c>
      <c r="BD190">
        <f t="shared" si="81"/>
        <v>0</v>
      </c>
      <c r="BE190">
        <f t="shared" si="82"/>
        <v>0</v>
      </c>
      <c r="BF190">
        <f t="shared" si="83"/>
        <v>0</v>
      </c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</row>
    <row r="191" spans="1:256" s="201" customFormat="1" ht="14.25" x14ac:dyDescent="0.2">
      <c r="A191" s="10">
        <v>3014</v>
      </c>
      <c r="B191" s="11" t="s">
        <v>399</v>
      </c>
      <c r="C191" s="105" t="s">
        <v>400</v>
      </c>
      <c r="D191" s="11" t="s">
        <v>173</v>
      </c>
      <c r="E191" s="12">
        <v>11147</v>
      </c>
      <c r="F191" s="202">
        <v>18</v>
      </c>
      <c r="G191" s="11">
        <v>70000</v>
      </c>
      <c r="H191" s="116">
        <v>0</v>
      </c>
      <c r="I191" s="192"/>
      <c r="J191" s="204"/>
      <c r="K191" s="193"/>
      <c r="L191" s="193"/>
      <c r="M191" s="193"/>
      <c r="N191" s="203">
        <f t="shared" si="56"/>
        <v>70000</v>
      </c>
      <c r="O191" s="203">
        <f t="shared" si="57"/>
        <v>70000</v>
      </c>
      <c r="P191" s="203">
        <f t="shared" si="58"/>
        <v>70000</v>
      </c>
      <c r="Q191" s="214">
        <v>45665</v>
      </c>
      <c r="R191" s="215"/>
      <c r="S191" s="218">
        <v>45635</v>
      </c>
      <c r="T191" s="205"/>
      <c r="U191" s="205"/>
      <c r="V191" s="216" t="s">
        <v>1142</v>
      </c>
      <c r="W191" s="212"/>
      <c r="X191" s="10">
        <v>7</v>
      </c>
      <c r="Y191" s="10">
        <v>7</v>
      </c>
      <c r="Z191" s="213">
        <f t="shared" si="59"/>
        <v>70000</v>
      </c>
      <c r="AA191" s="62"/>
      <c r="AB191" s="62"/>
      <c r="AC191" s="62"/>
      <c r="AD191" s="62"/>
      <c r="AE191" s="62"/>
      <c r="AF191" s="63"/>
      <c r="AG191" s="64"/>
      <c r="AH191" s="6">
        <v>1</v>
      </c>
      <c r="AI191">
        <f t="shared" si="60"/>
        <v>25</v>
      </c>
      <c r="AJ191">
        <f t="shared" si="61"/>
        <v>25</v>
      </c>
      <c r="AK191">
        <f t="shared" si="62"/>
        <v>0</v>
      </c>
      <c r="AL191">
        <f t="shared" si="63"/>
        <v>0</v>
      </c>
      <c r="AM191">
        <f t="shared" si="64"/>
        <v>0</v>
      </c>
      <c r="AN191">
        <f t="shared" si="65"/>
        <v>0</v>
      </c>
      <c r="AO191">
        <f t="shared" si="66"/>
        <v>0</v>
      </c>
      <c r="AP191">
        <f t="shared" si="67"/>
        <v>0</v>
      </c>
      <c r="AQ191">
        <f t="shared" si="68"/>
        <v>0</v>
      </c>
      <c r="AR191">
        <f t="shared" si="69"/>
        <v>0</v>
      </c>
      <c r="AS191">
        <f t="shared" si="70"/>
        <v>0</v>
      </c>
      <c r="AT191">
        <f t="shared" si="71"/>
        <v>0</v>
      </c>
      <c r="AU191">
        <f t="shared" si="72"/>
        <v>1</v>
      </c>
      <c r="AV191">
        <f t="shared" si="73"/>
        <v>1</v>
      </c>
      <c r="AW191">
        <f t="shared" si="74"/>
        <v>1</v>
      </c>
      <c r="AX191">
        <f t="shared" si="75"/>
        <v>1</v>
      </c>
      <c r="AY191">
        <f t="shared" si="76"/>
        <v>70000</v>
      </c>
      <c r="AZ191">
        <f t="shared" si="77"/>
        <v>70000</v>
      </c>
      <c r="BA191">
        <f t="shared" si="78"/>
        <v>0</v>
      </c>
      <c r="BB191">
        <f t="shared" si="79"/>
        <v>0</v>
      </c>
      <c r="BC191">
        <f t="shared" si="80"/>
        <v>0</v>
      </c>
      <c r="BD191">
        <f t="shared" si="81"/>
        <v>0</v>
      </c>
      <c r="BE191">
        <f t="shared" si="82"/>
        <v>0</v>
      </c>
      <c r="BF191">
        <f t="shared" si="83"/>
        <v>0</v>
      </c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</row>
    <row r="192" spans="1:256" s="201" customFormat="1" ht="14.25" x14ac:dyDescent="0.2">
      <c r="A192" s="10">
        <v>3017</v>
      </c>
      <c r="B192" s="11" t="s">
        <v>726</v>
      </c>
      <c r="C192" s="105" t="s">
        <v>727</v>
      </c>
      <c r="D192" s="11" t="s">
        <v>157</v>
      </c>
      <c r="E192" s="12">
        <v>11453</v>
      </c>
      <c r="F192" s="202">
        <v>18</v>
      </c>
      <c r="G192" s="11">
        <v>75000</v>
      </c>
      <c r="H192" s="116">
        <v>0</v>
      </c>
      <c r="I192" s="192"/>
      <c r="J192" s="204"/>
      <c r="K192" s="193"/>
      <c r="L192" s="193"/>
      <c r="M192" s="193"/>
      <c r="N192" s="203">
        <f t="shared" si="56"/>
        <v>75000</v>
      </c>
      <c r="O192" s="203">
        <f t="shared" si="57"/>
        <v>75000</v>
      </c>
      <c r="P192" s="203">
        <f t="shared" si="58"/>
        <v>75000</v>
      </c>
      <c r="Q192" s="214"/>
      <c r="R192" s="215"/>
      <c r="S192" s="218">
        <v>45656</v>
      </c>
      <c r="T192" s="205"/>
      <c r="U192" s="205"/>
      <c r="V192" s="216"/>
      <c r="W192" s="212"/>
      <c r="X192" s="10">
        <v>7</v>
      </c>
      <c r="Y192" s="10">
        <v>7</v>
      </c>
      <c r="Z192" s="213">
        <f t="shared" si="59"/>
        <v>75000</v>
      </c>
      <c r="AA192" s="62"/>
      <c r="AB192" s="62"/>
      <c r="AC192" s="62"/>
      <c r="AD192" s="62"/>
      <c r="AE192" s="62"/>
      <c r="AF192" s="63"/>
      <c r="AG192" s="64"/>
      <c r="AH192" s="6">
        <v>1</v>
      </c>
      <c r="AI192">
        <f t="shared" si="60"/>
        <v>25</v>
      </c>
      <c r="AJ192">
        <f t="shared" si="61"/>
        <v>25</v>
      </c>
      <c r="AK192">
        <f t="shared" si="62"/>
        <v>0</v>
      </c>
      <c r="AL192">
        <f t="shared" si="63"/>
        <v>0</v>
      </c>
      <c r="AM192">
        <f t="shared" si="64"/>
        <v>0</v>
      </c>
      <c r="AN192">
        <f t="shared" si="65"/>
        <v>0</v>
      </c>
      <c r="AO192">
        <f t="shared" si="66"/>
        <v>0</v>
      </c>
      <c r="AP192">
        <f t="shared" si="67"/>
        <v>0</v>
      </c>
      <c r="AQ192">
        <f t="shared" si="68"/>
        <v>0</v>
      </c>
      <c r="AR192">
        <f t="shared" si="69"/>
        <v>0</v>
      </c>
      <c r="AS192">
        <f t="shared" si="70"/>
        <v>0</v>
      </c>
      <c r="AT192">
        <f t="shared" si="71"/>
        <v>0</v>
      </c>
      <c r="AU192">
        <f t="shared" si="72"/>
        <v>1</v>
      </c>
      <c r="AV192">
        <f t="shared" si="73"/>
        <v>1</v>
      </c>
      <c r="AW192">
        <f t="shared" si="74"/>
        <v>1</v>
      </c>
      <c r="AX192">
        <f t="shared" si="75"/>
        <v>1</v>
      </c>
      <c r="AY192">
        <f t="shared" si="76"/>
        <v>75000</v>
      </c>
      <c r="AZ192">
        <f t="shared" si="77"/>
        <v>75000</v>
      </c>
      <c r="BA192">
        <f t="shared" si="78"/>
        <v>0</v>
      </c>
      <c r="BB192">
        <f t="shared" si="79"/>
        <v>0</v>
      </c>
      <c r="BC192">
        <f t="shared" si="80"/>
        <v>0</v>
      </c>
      <c r="BD192">
        <f t="shared" si="81"/>
        <v>0</v>
      </c>
      <c r="BE192">
        <f t="shared" si="82"/>
        <v>0</v>
      </c>
      <c r="BF192">
        <f t="shared" si="83"/>
        <v>0</v>
      </c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</row>
    <row r="193" spans="1:256" s="201" customFormat="1" ht="14.25" x14ac:dyDescent="0.2">
      <c r="A193" s="10">
        <v>3025</v>
      </c>
      <c r="B193" s="11" t="s">
        <v>401</v>
      </c>
      <c r="C193" s="105" t="s">
        <v>402</v>
      </c>
      <c r="D193" s="11" t="s">
        <v>106</v>
      </c>
      <c r="E193" s="12">
        <v>10158</v>
      </c>
      <c r="F193" s="202">
        <v>17</v>
      </c>
      <c r="G193" s="11">
        <v>40000</v>
      </c>
      <c r="H193" s="116">
        <v>0</v>
      </c>
      <c r="I193" s="192"/>
      <c r="J193" s="204"/>
      <c r="K193" s="193"/>
      <c r="L193" s="193"/>
      <c r="M193" s="193"/>
      <c r="N193" s="203">
        <f t="shared" si="56"/>
        <v>40000</v>
      </c>
      <c r="O193" s="203">
        <f t="shared" si="57"/>
        <v>40000</v>
      </c>
      <c r="P193" s="203">
        <f t="shared" si="58"/>
        <v>40000</v>
      </c>
      <c r="Q193" s="214"/>
      <c r="R193" s="215"/>
      <c r="S193" s="218">
        <v>45647</v>
      </c>
      <c r="T193" s="205"/>
      <c r="U193" s="205"/>
      <c r="V193" s="216"/>
      <c r="W193" s="212"/>
      <c r="X193" s="10">
        <v>7</v>
      </c>
      <c r="Y193" s="10">
        <v>7</v>
      </c>
      <c r="Z193" s="213">
        <f t="shared" si="59"/>
        <v>40000</v>
      </c>
      <c r="AA193" s="62"/>
      <c r="AB193" s="62"/>
      <c r="AC193" s="62"/>
      <c r="AD193" s="62"/>
      <c r="AE193" s="62"/>
      <c r="AF193" s="63"/>
      <c r="AG193" s="64"/>
      <c r="AH193" s="6">
        <v>1</v>
      </c>
      <c r="AI193">
        <f t="shared" si="60"/>
        <v>25</v>
      </c>
      <c r="AJ193">
        <f t="shared" si="61"/>
        <v>25</v>
      </c>
      <c r="AK193">
        <f t="shared" si="62"/>
        <v>0</v>
      </c>
      <c r="AL193">
        <f t="shared" si="63"/>
        <v>0</v>
      </c>
      <c r="AM193">
        <f t="shared" si="64"/>
        <v>0</v>
      </c>
      <c r="AN193">
        <f t="shared" si="65"/>
        <v>0</v>
      </c>
      <c r="AO193">
        <f t="shared" si="66"/>
        <v>0</v>
      </c>
      <c r="AP193">
        <f t="shared" si="67"/>
        <v>0</v>
      </c>
      <c r="AQ193">
        <f t="shared" si="68"/>
        <v>0</v>
      </c>
      <c r="AR193">
        <f t="shared" si="69"/>
        <v>0</v>
      </c>
      <c r="AS193">
        <f t="shared" si="70"/>
        <v>0</v>
      </c>
      <c r="AT193">
        <f t="shared" si="71"/>
        <v>0</v>
      </c>
      <c r="AU193">
        <f t="shared" si="72"/>
        <v>1</v>
      </c>
      <c r="AV193">
        <f t="shared" si="73"/>
        <v>1</v>
      </c>
      <c r="AW193">
        <f t="shared" si="74"/>
        <v>1</v>
      </c>
      <c r="AX193">
        <f t="shared" si="75"/>
        <v>1</v>
      </c>
      <c r="AY193">
        <f t="shared" si="76"/>
        <v>40000</v>
      </c>
      <c r="AZ193">
        <f t="shared" si="77"/>
        <v>40000</v>
      </c>
      <c r="BA193">
        <f t="shared" si="78"/>
        <v>0</v>
      </c>
      <c r="BB193">
        <f t="shared" si="79"/>
        <v>0</v>
      </c>
      <c r="BC193">
        <f t="shared" si="80"/>
        <v>0</v>
      </c>
      <c r="BD193">
        <f t="shared" si="81"/>
        <v>0</v>
      </c>
      <c r="BE193">
        <f t="shared" si="82"/>
        <v>0</v>
      </c>
      <c r="BF193">
        <f t="shared" si="83"/>
        <v>0</v>
      </c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</row>
    <row r="194" spans="1:256" s="201" customFormat="1" ht="14.25" x14ac:dyDescent="0.2">
      <c r="A194" s="10">
        <v>3026</v>
      </c>
      <c r="B194" s="11" t="s">
        <v>728</v>
      </c>
      <c r="C194" s="105" t="s">
        <v>729</v>
      </c>
      <c r="D194" s="11" t="s">
        <v>157</v>
      </c>
      <c r="E194" s="12">
        <v>10160</v>
      </c>
      <c r="F194" s="202">
        <v>17</v>
      </c>
      <c r="G194" s="11">
        <v>60000</v>
      </c>
      <c r="H194" s="116">
        <v>0</v>
      </c>
      <c r="I194" s="192"/>
      <c r="J194" s="204"/>
      <c r="K194" s="193"/>
      <c r="L194" s="193"/>
      <c r="M194" s="193"/>
      <c r="N194" s="203">
        <f t="shared" si="56"/>
        <v>60000</v>
      </c>
      <c r="O194" s="203">
        <f t="shared" si="57"/>
        <v>60000</v>
      </c>
      <c r="P194" s="203">
        <f t="shared" si="58"/>
        <v>60000</v>
      </c>
      <c r="Q194" s="214"/>
      <c r="R194" s="215"/>
      <c r="S194" s="218">
        <v>45637</v>
      </c>
      <c r="T194" s="205"/>
      <c r="U194" s="205"/>
      <c r="V194" s="216"/>
      <c r="W194" s="212"/>
      <c r="X194" s="10">
        <v>7</v>
      </c>
      <c r="Y194" s="10">
        <v>7</v>
      </c>
      <c r="Z194" s="213">
        <f t="shared" si="59"/>
        <v>60000</v>
      </c>
      <c r="AA194" s="62"/>
      <c r="AB194" s="62"/>
      <c r="AC194" s="62"/>
      <c r="AD194" s="62"/>
      <c r="AE194" s="62"/>
      <c r="AF194" s="63"/>
      <c r="AG194" s="64"/>
      <c r="AH194" s="6">
        <v>1</v>
      </c>
      <c r="AI194">
        <f t="shared" si="60"/>
        <v>25</v>
      </c>
      <c r="AJ194">
        <f t="shared" si="61"/>
        <v>25</v>
      </c>
      <c r="AK194">
        <f t="shared" si="62"/>
        <v>0</v>
      </c>
      <c r="AL194">
        <f t="shared" si="63"/>
        <v>0</v>
      </c>
      <c r="AM194">
        <f t="shared" si="64"/>
        <v>0</v>
      </c>
      <c r="AN194">
        <f t="shared" si="65"/>
        <v>0</v>
      </c>
      <c r="AO194">
        <f t="shared" si="66"/>
        <v>0</v>
      </c>
      <c r="AP194">
        <f t="shared" si="67"/>
        <v>0</v>
      </c>
      <c r="AQ194">
        <f t="shared" si="68"/>
        <v>0</v>
      </c>
      <c r="AR194">
        <f t="shared" si="69"/>
        <v>0</v>
      </c>
      <c r="AS194">
        <f t="shared" si="70"/>
        <v>0</v>
      </c>
      <c r="AT194">
        <f t="shared" si="71"/>
        <v>0</v>
      </c>
      <c r="AU194">
        <f t="shared" si="72"/>
        <v>1</v>
      </c>
      <c r="AV194">
        <f t="shared" si="73"/>
        <v>1</v>
      </c>
      <c r="AW194">
        <f t="shared" si="74"/>
        <v>1</v>
      </c>
      <c r="AX194">
        <f t="shared" si="75"/>
        <v>1</v>
      </c>
      <c r="AY194">
        <f t="shared" si="76"/>
        <v>60000</v>
      </c>
      <c r="AZ194">
        <f t="shared" si="77"/>
        <v>60000</v>
      </c>
      <c r="BA194">
        <f t="shared" si="78"/>
        <v>0</v>
      </c>
      <c r="BB194">
        <f t="shared" si="79"/>
        <v>0</v>
      </c>
      <c r="BC194">
        <f t="shared" si="80"/>
        <v>0</v>
      </c>
      <c r="BD194">
        <f t="shared" si="81"/>
        <v>0</v>
      </c>
      <c r="BE194">
        <f t="shared" si="82"/>
        <v>0</v>
      </c>
      <c r="BF194">
        <f t="shared" si="83"/>
        <v>0</v>
      </c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</row>
    <row r="195" spans="1:256" s="201" customFormat="1" ht="14.25" x14ac:dyDescent="0.2">
      <c r="A195" s="10">
        <v>3027</v>
      </c>
      <c r="B195" s="11" t="s">
        <v>730</v>
      </c>
      <c r="C195" s="105" t="s">
        <v>731</v>
      </c>
      <c r="D195" s="11" t="s">
        <v>157</v>
      </c>
      <c r="E195" s="12">
        <v>10161</v>
      </c>
      <c r="F195" s="202">
        <v>17</v>
      </c>
      <c r="G195" s="11">
        <v>60000</v>
      </c>
      <c r="H195" s="116">
        <v>-30000</v>
      </c>
      <c r="I195" s="192"/>
      <c r="J195" s="204"/>
      <c r="K195" s="193"/>
      <c r="L195" s="193"/>
      <c r="M195" s="193"/>
      <c r="N195" s="203">
        <f t="shared" si="56"/>
        <v>60000</v>
      </c>
      <c r="O195" s="203">
        <f t="shared" si="57"/>
        <v>30000</v>
      </c>
      <c r="P195" s="203">
        <f t="shared" si="58"/>
        <v>30000</v>
      </c>
      <c r="Q195" s="214"/>
      <c r="R195" s="215"/>
      <c r="S195" s="218">
        <v>45638</v>
      </c>
      <c r="T195" s="205"/>
      <c r="U195" s="205"/>
      <c r="V195" s="216"/>
      <c r="W195" s="212"/>
      <c r="X195" s="10">
        <v>7</v>
      </c>
      <c r="Y195" s="10">
        <v>7</v>
      </c>
      <c r="Z195" s="213">
        <f t="shared" si="59"/>
        <v>60000</v>
      </c>
      <c r="AA195" s="62"/>
      <c r="AB195" s="62"/>
      <c r="AC195" s="62"/>
      <c r="AD195" s="62"/>
      <c r="AE195" s="62"/>
      <c r="AF195" s="63"/>
      <c r="AG195" s="64"/>
      <c r="AH195" s="6">
        <v>1</v>
      </c>
      <c r="AI195">
        <f t="shared" si="60"/>
        <v>25</v>
      </c>
      <c r="AJ195">
        <f t="shared" si="61"/>
        <v>25</v>
      </c>
      <c r="AK195">
        <f t="shared" si="62"/>
        <v>0</v>
      </c>
      <c r="AL195">
        <f t="shared" si="63"/>
        <v>0</v>
      </c>
      <c r="AM195">
        <f t="shared" si="64"/>
        <v>0</v>
      </c>
      <c r="AN195">
        <f t="shared" si="65"/>
        <v>0</v>
      </c>
      <c r="AO195">
        <f t="shared" si="66"/>
        <v>0</v>
      </c>
      <c r="AP195">
        <f t="shared" si="67"/>
        <v>0</v>
      </c>
      <c r="AQ195">
        <f t="shared" si="68"/>
        <v>0</v>
      </c>
      <c r="AR195">
        <f t="shared" si="69"/>
        <v>0</v>
      </c>
      <c r="AS195">
        <f t="shared" si="70"/>
        <v>0</v>
      </c>
      <c r="AT195">
        <f t="shared" si="71"/>
        <v>0</v>
      </c>
      <c r="AU195">
        <f t="shared" si="72"/>
        <v>1</v>
      </c>
      <c r="AV195">
        <f t="shared" si="73"/>
        <v>1</v>
      </c>
      <c r="AW195">
        <f t="shared" si="74"/>
        <v>1</v>
      </c>
      <c r="AX195">
        <f t="shared" si="75"/>
        <v>1</v>
      </c>
      <c r="AY195">
        <f t="shared" si="76"/>
        <v>30000</v>
      </c>
      <c r="AZ195">
        <f t="shared" si="77"/>
        <v>30000</v>
      </c>
      <c r="BA195">
        <f t="shared" si="78"/>
        <v>0</v>
      </c>
      <c r="BB195">
        <f t="shared" si="79"/>
        <v>0</v>
      </c>
      <c r="BC195">
        <f t="shared" si="80"/>
        <v>0</v>
      </c>
      <c r="BD195">
        <f t="shared" si="81"/>
        <v>0</v>
      </c>
      <c r="BE195">
        <f t="shared" si="82"/>
        <v>0</v>
      </c>
      <c r="BF195">
        <f t="shared" si="83"/>
        <v>0</v>
      </c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</row>
    <row r="196" spans="1:256" s="201" customFormat="1" ht="14.25" x14ac:dyDescent="0.2">
      <c r="A196" s="10">
        <v>3030</v>
      </c>
      <c r="B196" s="11" t="s">
        <v>732</v>
      </c>
      <c r="C196" s="105" t="s">
        <v>733</v>
      </c>
      <c r="D196" s="11" t="s">
        <v>105</v>
      </c>
      <c r="E196" s="12">
        <v>10165</v>
      </c>
      <c r="F196" s="202">
        <v>17</v>
      </c>
      <c r="G196" s="11">
        <v>60000</v>
      </c>
      <c r="H196" s="116">
        <v>-10000</v>
      </c>
      <c r="I196" s="192"/>
      <c r="J196" s="204"/>
      <c r="K196" s="193"/>
      <c r="L196" s="193"/>
      <c r="M196" s="193"/>
      <c r="N196" s="203">
        <f t="shared" ref="N196:N259" si="84">IF(H196&gt;0,G196+H196-I196-J196-K196-L196-M196,G196-I196-J196-K196-L196-M196)</f>
        <v>60000</v>
      </c>
      <c r="O196" s="203">
        <f t="shared" ref="O196:O259" si="85">G196+H196-J196-I196-K196-L196-M196</f>
        <v>50000</v>
      </c>
      <c r="P196" s="203">
        <f t="shared" ref="P196:P259" si="86">IF(G196+H196&lt;0,0,G196+H196)</f>
        <v>50000</v>
      </c>
      <c r="Q196" s="214">
        <v>45659</v>
      </c>
      <c r="R196" s="215"/>
      <c r="S196" s="218">
        <v>45630</v>
      </c>
      <c r="T196" s="205"/>
      <c r="U196" s="205"/>
      <c r="V196" s="216" t="s">
        <v>1131</v>
      </c>
      <c r="W196" s="212"/>
      <c r="X196" s="10">
        <v>7</v>
      </c>
      <c r="Y196" s="10">
        <v>7</v>
      </c>
      <c r="Z196" s="213">
        <f t="shared" ref="Z196:Z259" si="87">IF(N196&lt;0,0,N196)</f>
        <v>60000</v>
      </c>
      <c r="AA196" s="62"/>
      <c r="AB196" s="62"/>
      <c r="AC196" s="62"/>
      <c r="AD196" s="62"/>
      <c r="AE196" s="62"/>
      <c r="AF196" s="63"/>
      <c r="AG196" s="64"/>
      <c r="AH196" s="6">
        <v>1</v>
      </c>
      <c r="AI196">
        <f t="shared" ref="AI196:AI259" si="88">IF(F196&lt;=6,15,25)</f>
        <v>25</v>
      </c>
      <c r="AJ196">
        <f t="shared" ref="AJ196:AJ259" si="89">IF(O196&lt;&gt;0,25,15)</f>
        <v>25</v>
      </c>
      <c r="AK196">
        <f t="shared" ref="AK196:AK259" si="90">IF(AI196-T196=24,1,0)</f>
        <v>0</v>
      </c>
      <c r="AL196">
        <f t="shared" ref="AL196:AL259" si="91">IF(AH196-AK196=AH196,0,AH196)</f>
        <v>0</v>
      </c>
      <c r="AM196">
        <f t="shared" ref="AM196:AM259" si="92">IF(AK196&lt;&gt;0,U196,0)</f>
        <v>0</v>
      </c>
      <c r="AN196">
        <f t="shared" ref="AN196:AN259" si="93">IF(AK196=1,O196,0)</f>
        <v>0</v>
      </c>
      <c r="AO196">
        <f t="shared" ref="AO196:AO259" si="94">IF(AI196-T196=14,1,0)</f>
        <v>0</v>
      </c>
      <c r="AP196">
        <f t="shared" ref="AP196:AP259" si="95">IF(AH196-AO196=AH196,0,AH196)</f>
        <v>0</v>
      </c>
      <c r="AQ196">
        <f t="shared" ref="AQ196:AQ259" si="96">IF(AO196&lt;&gt;0,U196,0)</f>
        <v>0</v>
      </c>
      <c r="AR196">
        <f t="shared" ref="AR196:AR259" si="97">IF(AO196=1,O196,0)</f>
        <v>0</v>
      </c>
      <c r="AS196">
        <f t="shared" ref="AS196:AS259" si="98">IF(SUM(I196:M196)&lt;&gt;0,1,0)</f>
        <v>0</v>
      </c>
      <c r="AT196">
        <f t="shared" ref="AT196:AT259" si="99">AS196</f>
        <v>0</v>
      </c>
      <c r="AU196">
        <f t="shared" ref="AU196:AU259" si="100">IF(O196&gt;0,1,0)</f>
        <v>1</v>
      </c>
      <c r="AV196">
        <f t="shared" ref="AV196:AV259" si="101">IF(AK196+AO196+AU196=1,AU196,0)</f>
        <v>1</v>
      </c>
      <c r="AW196">
        <f t="shared" ref="AW196:AW259" si="102">IF(AI196-AV196=24,1,0)</f>
        <v>1</v>
      </c>
      <c r="AX196">
        <f t="shared" ref="AX196:AX259" si="103">IF(AH196-AW196=AH196,0,AH196)</f>
        <v>1</v>
      </c>
      <c r="AY196">
        <f t="shared" ref="AY196:AY259" si="104">IF(AW196=1,O196,0)</f>
        <v>50000</v>
      </c>
      <c r="AZ196">
        <f t="shared" ref="AZ196:AZ259" si="105">IF(AY196-BA196&lt;&gt;0,AY196,0)</f>
        <v>50000</v>
      </c>
      <c r="BA196">
        <f t="shared" ref="BA196:BA259" si="106">IF(AY196&lt;0,AY196,0)</f>
        <v>0</v>
      </c>
      <c r="BB196">
        <f t="shared" ref="BB196:BB259" si="107">IF(AI196-AV196=14,1,0)</f>
        <v>0</v>
      </c>
      <c r="BC196">
        <f t="shared" ref="BC196:BC259" si="108">IF(AH196-BB196=AH196,0,AH196)</f>
        <v>0</v>
      </c>
      <c r="BD196">
        <f t="shared" ref="BD196:BD259" si="109">IF(BB196=1,O196,0)</f>
        <v>0</v>
      </c>
      <c r="BE196">
        <f t="shared" ref="BE196:BE259" si="110">IF(BD196&lt;0,BD196,0)</f>
        <v>0</v>
      </c>
      <c r="BF196">
        <f t="shared" ref="BF196:BF259" si="111">IF(BD196-BE196&lt;&gt;0,BD196,0)</f>
        <v>0</v>
      </c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</row>
    <row r="197" spans="1:256" s="201" customFormat="1" ht="14.25" x14ac:dyDescent="0.2">
      <c r="A197" s="10">
        <v>3031</v>
      </c>
      <c r="B197" s="11" t="s">
        <v>734</v>
      </c>
      <c r="C197" s="105" t="s">
        <v>735</v>
      </c>
      <c r="D197" s="11" t="s">
        <v>106</v>
      </c>
      <c r="E197" s="12">
        <v>10168</v>
      </c>
      <c r="F197" s="202">
        <v>17</v>
      </c>
      <c r="G197" s="11">
        <v>75000</v>
      </c>
      <c r="H197" s="116">
        <v>-50000</v>
      </c>
      <c r="I197" s="192"/>
      <c r="J197" s="204"/>
      <c r="K197" s="193"/>
      <c r="L197" s="193"/>
      <c r="M197" s="193"/>
      <c r="N197" s="203">
        <f t="shared" si="84"/>
        <v>75000</v>
      </c>
      <c r="O197" s="203">
        <f t="shared" si="85"/>
        <v>25000</v>
      </c>
      <c r="P197" s="203">
        <f t="shared" si="86"/>
        <v>25000</v>
      </c>
      <c r="Q197" s="214"/>
      <c r="R197" s="215"/>
      <c r="S197" s="218">
        <v>45636</v>
      </c>
      <c r="T197" s="205"/>
      <c r="U197" s="205"/>
      <c r="V197" s="216"/>
      <c r="W197" s="212"/>
      <c r="X197" s="10">
        <v>7</v>
      </c>
      <c r="Y197" s="10">
        <v>7</v>
      </c>
      <c r="Z197" s="213">
        <f t="shared" si="87"/>
        <v>75000</v>
      </c>
      <c r="AA197" s="62"/>
      <c r="AB197" s="62"/>
      <c r="AC197" s="62"/>
      <c r="AD197" s="62"/>
      <c r="AE197" s="62"/>
      <c r="AF197" s="63"/>
      <c r="AG197" s="64"/>
      <c r="AH197" s="6">
        <v>1</v>
      </c>
      <c r="AI197">
        <f t="shared" si="88"/>
        <v>25</v>
      </c>
      <c r="AJ197">
        <f t="shared" si="89"/>
        <v>25</v>
      </c>
      <c r="AK197">
        <f t="shared" si="90"/>
        <v>0</v>
      </c>
      <c r="AL197">
        <f t="shared" si="91"/>
        <v>0</v>
      </c>
      <c r="AM197">
        <f t="shared" si="92"/>
        <v>0</v>
      </c>
      <c r="AN197">
        <f t="shared" si="93"/>
        <v>0</v>
      </c>
      <c r="AO197">
        <f t="shared" si="94"/>
        <v>0</v>
      </c>
      <c r="AP197">
        <f t="shared" si="95"/>
        <v>0</v>
      </c>
      <c r="AQ197">
        <f t="shared" si="96"/>
        <v>0</v>
      </c>
      <c r="AR197">
        <f t="shared" si="97"/>
        <v>0</v>
      </c>
      <c r="AS197">
        <f t="shared" si="98"/>
        <v>0</v>
      </c>
      <c r="AT197">
        <f t="shared" si="99"/>
        <v>0</v>
      </c>
      <c r="AU197">
        <f t="shared" si="100"/>
        <v>1</v>
      </c>
      <c r="AV197">
        <f t="shared" si="101"/>
        <v>1</v>
      </c>
      <c r="AW197">
        <f t="shared" si="102"/>
        <v>1</v>
      </c>
      <c r="AX197">
        <f t="shared" si="103"/>
        <v>1</v>
      </c>
      <c r="AY197">
        <f t="shared" si="104"/>
        <v>25000</v>
      </c>
      <c r="AZ197">
        <f t="shared" si="105"/>
        <v>25000</v>
      </c>
      <c r="BA197">
        <f t="shared" si="106"/>
        <v>0</v>
      </c>
      <c r="BB197">
        <f t="shared" si="107"/>
        <v>0</v>
      </c>
      <c r="BC197">
        <f t="shared" si="108"/>
        <v>0</v>
      </c>
      <c r="BD197">
        <f t="shared" si="109"/>
        <v>0</v>
      </c>
      <c r="BE197">
        <f t="shared" si="110"/>
        <v>0</v>
      </c>
      <c r="BF197">
        <f t="shared" si="111"/>
        <v>0</v>
      </c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</row>
    <row r="198" spans="1:256" s="201" customFormat="1" ht="14.25" x14ac:dyDescent="0.2">
      <c r="A198" s="10">
        <v>3034</v>
      </c>
      <c r="B198" s="11" t="s">
        <v>736</v>
      </c>
      <c r="C198" s="105" t="s">
        <v>737</v>
      </c>
      <c r="D198" s="11" t="s">
        <v>105</v>
      </c>
      <c r="E198" s="12">
        <v>10172</v>
      </c>
      <c r="F198" s="202">
        <v>17</v>
      </c>
      <c r="G198" s="11">
        <v>65000</v>
      </c>
      <c r="H198" s="116">
        <v>65000</v>
      </c>
      <c r="I198" s="192"/>
      <c r="J198" s="204"/>
      <c r="K198" s="193"/>
      <c r="L198" s="193"/>
      <c r="M198" s="193"/>
      <c r="N198" s="203">
        <f t="shared" si="84"/>
        <v>130000</v>
      </c>
      <c r="O198" s="203">
        <f t="shared" si="85"/>
        <v>130000</v>
      </c>
      <c r="P198" s="203">
        <f t="shared" si="86"/>
        <v>130000</v>
      </c>
      <c r="Q198" s="214"/>
      <c r="R198" s="215"/>
      <c r="S198" s="218">
        <v>45624</v>
      </c>
      <c r="T198" s="205"/>
      <c r="U198" s="205"/>
      <c r="V198" s="216"/>
      <c r="W198" s="212"/>
      <c r="X198" s="10">
        <v>7</v>
      </c>
      <c r="Y198" s="10">
        <v>7</v>
      </c>
      <c r="Z198" s="213">
        <f t="shared" si="87"/>
        <v>130000</v>
      </c>
      <c r="AA198" s="62"/>
      <c r="AB198" s="62"/>
      <c r="AC198" s="62"/>
      <c r="AD198" s="62"/>
      <c r="AE198" s="62"/>
      <c r="AF198" s="63"/>
      <c r="AG198" s="64"/>
      <c r="AH198" s="6">
        <v>1</v>
      </c>
      <c r="AI198">
        <f t="shared" si="88"/>
        <v>25</v>
      </c>
      <c r="AJ198">
        <f t="shared" si="89"/>
        <v>25</v>
      </c>
      <c r="AK198">
        <f t="shared" si="90"/>
        <v>0</v>
      </c>
      <c r="AL198">
        <f t="shared" si="91"/>
        <v>0</v>
      </c>
      <c r="AM198">
        <f t="shared" si="92"/>
        <v>0</v>
      </c>
      <c r="AN198">
        <f t="shared" si="93"/>
        <v>0</v>
      </c>
      <c r="AO198">
        <f t="shared" si="94"/>
        <v>0</v>
      </c>
      <c r="AP198">
        <f t="shared" si="95"/>
        <v>0</v>
      </c>
      <c r="AQ198">
        <f t="shared" si="96"/>
        <v>0</v>
      </c>
      <c r="AR198">
        <f t="shared" si="97"/>
        <v>0</v>
      </c>
      <c r="AS198">
        <f t="shared" si="98"/>
        <v>0</v>
      </c>
      <c r="AT198">
        <f t="shared" si="99"/>
        <v>0</v>
      </c>
      <c r="AU198">
        <f t="shared" si="100"/>
        <v>1</v>
      </c>
      <c r="AV198">
        <f t="shared" si="101"/>
        <v>1</v>
      </c>
      <c r="AW198">
        <f t="shared" si="102"/>
        <v>1</v>
      </c>
      <c r="AX198">
        <f t="shared" si="103"/>
        <v>1</v>
      </c>
      <c r="AY198">
        <f t="shared" si="104"/>
        <v>130000</v>
      </c>
      <c r="AZ198">
        <f t="shared" si="105"/>
        <v>130000</v>
      </c>
      <c r="BA198">
        <f t="shared" si="106"/>
        <v>0</v>
      </c>
      <c r="BB198">
        <f t="shared" si="107"/>
        <v>0</v>
      </c>
      <c r="BC198">
        <f t="shared" si="108"/>
        <v>0</v>
      </c>
      <c r="BD198">
        <f t="shared" si="109"/>
        <v>0</v>
      </c>
      <c r="BE198">
        <f t="shared" si="110"/>
        <v>0</v>
      </c>
      <c r="BF198">
        <f t="shared" si="111"/>
        <v>0</v>
      </c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</row>
    <row r="199" spans="1:256" s="201" customFormat="1" ht="14.25" x14ac:dyDescent="0.2">
      <c r="A199" s="10">
        <v>3036</v>
      </c>
      <c r="B199" s="11" t="s">
        <v>738</v>
      </c>
      <c r="C199" s="105" t="s">
        <v>739</v>
      </c>
      <c r="D199" s="11" t="s">
        <v>157</v>
      </c>
      <c r="E199" s="12">
        <v>10489</v>
      </c>
      <c r="F199" s="202">
        <v>17</v>
      </c>
      <c r="G199" s="11">
        <v>100000</v>
      </c>
      <c r="H199" s="116">
        <v>0</v>
      </c>
      <c r="I199" s="192"/>
      <c r="J199" s="204"/>
      <c r="K199" s="193"/>
      <c r="L199" s="193"/>
      <c r="M199" s="193"/>
      <c r="N199" s="203">
        <f t="shared" si="84"/>
        <v>100000</v>
      </c>
      <c r="O199" s="203">
        <f t="shared" si="85"/>
        <v>100000</v>
      </c>
      <c r="P199" s="203">
        <f t="shared" si="86"/>
        <v>100000</v>
      </c>
      <c r="Q199" s="214"/>
      <c r="R199" s="215"/>
      <c r="S199" s="218">
        <v>45635</v>
      </c>
      <c r="T199" s="205"/>
      <c r="U199" s="205"/>
      <c r="V199" s="216"/>
      <c r="W199" s="212"/>
      <c r="X199" s="10">
        <v>7</v>
      </c>
      <c r="Y199" s="10">
        <v>7</v>
      </c>
      <c r="Z199" s="213">
        <f t="shared" si="87"/>
        <v>100000</v>
      </c>
      <c r="AA199" s="62"/>
      <c r="AB199" s="62"/>
      <c r="AC199" s="62"/>
      <c r="AD199" s="62"/>
      <c r="AE199" s="62"/>
      <c r="AF199" s="63"/>
      <c r="AG199" s="64"/>
      <c r="AH199" s="6">
        <v>1</v>
      </c>
      <c r="AI199">
        <f t="shared" si="88"/>
        <v>25</v>
      </c>
      <c r="AJ199">
        <f t="shared" si="89"/>
        <v>25</v>
      </c>
      <c r="AK199">
        <f t="shared" si="90"/>
        <v>0</v>
      </c>
      <c r="AL199">
        <f t="shared" si="91"/>
        <v>0</v>
      </c>
      <c r="AM199">
        <f t="shared" si="92"/>
        <v>0</v>
      </c>
      <c r="AN199">
        <f t="shared" si="93"/>
        <v>0</v>
      </c>
      <c r="AO199">
        <f t="shared" si="94"/>
        <v>0</v>
      </c>
      <c r="AP199">
        <f t="shared" si="95"/>
        <v>0</v>
      </c>
      <c r="AQ199">
        <f t="shared" si="96"/>
        <v>0</v>
      </c>
      <c r="AR199">
        <f t="shared" si="97"/>
        <v>0</v>
      </c>
      <c r="AS199">
        <f t="shared" si="98"/>
        <v>0</v>
      </c>
      <c r="AT199">
        <f t="shared" si="99"/>
        <v>0</v>
      </c>
      <c r="AU199">
        <f t="shared" si="100"/>
        <v>1</v>
      </c>
      <c r="AV199">
        <f t="shared" si="101"/>
        <v>1</v>
      </c>
      <c r="AW199">
        <f t="shared" si="102"/>
        <v>1</v>
      </c>
      <c r="AX199">
        <f t="shared" si="103"/>
        <v>1</v>
      </c>
      <c r="AY199">
        <f t="shared" si="104"/>
        <v>100000</v>
      </c>
      <c r="AZ199">
        <f t="shared" si="105"/>
        <v>100000</v>
      </c>
      <c r="BA199">
        <f t="shared" si="106"/>
        <v>0</v>
      </c>
      <c r="BB199">
        <f t="shared" si="107"/>
        <v>0</v>
      </c>
      <c r="BC199">
        <f t="shared" si="108"/>
        <v>0</v>
      </c>
      <c r="BD199">
        <f t="shared" si="109"/>
        <v>0</v>
      </c>
      <c r="BE199">
        <f t="shared" si="110"/>
        <v>0</v>
      </c>
      <c r="BF199">
        <f t="shared" si="111"/>
        <v>0</v>
      </c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</row>
    <row r="200" spans="1:256" s="201" customFormat="1" ht="14.25" x14ac:dyDescent="0.2">
      <c r="A200" s="10">
        <v>3037</v>
      </c>
      <c r="B200" s="11" t="s">
        <v>403</v>
      </c>
      <c r="C200" s="105" t="s">
        <v>404</v>
      </c>
      <c r="D200" s="11" t="s">
        <v>106</v>
      </c>
      <c r="E200" s="12">
        <v>10496</v>
      </c>
      <c r="F200" s="202">
        <v>17</v>
      </c>
      <c r="G200" s="11">
        <v>60000</v>
      </c>
      <c r="H200" s="116">
        <v>-60000</v>
      </c>
      <c r="I200" s="192"/>
      <c r="J200" s="204"/>
      <c r="K200" s="193"/>
      <c r="L200" s="193"/>
      <c r="M200" s="193"/>
      <c r="N200" s="203">
        <f t="shared" si="84"/>
        <v>60000</v>
      </c>
      <c r="O200" s="203">
        <f t="shared" si="85"/>
        <v>0</v>
      </c>
      <c r="P200" s="203">
        <f t="shared" si="86"/>
        <v>0</v>
      </c>
      <c r="Q200" s="214"/>
      <c r="R200" s="215"/>
      <c r="S200" s="218">
        <v>45635</v>
      </c>
      <c r="T200" s="205"/>
      <c r="U200" s="205"/>
      <c r="V200" s="216"/>
      <c r="W200" s="212"/>
      <c r="X200" s="10">
        <v>7</v>
      </c>
      <c r="Y200" s="10">
        <v>7</v>
      </c>
      <c r="Z200" s="213">
        <f t="shared" si="87"/>
        <v>60000</v>
      </c>
      <c r="AA200" s="62"/>
      <c r="AB200" s="62"/>
      <c r="AC200" s="62"/>
      <c r="AD200" s="62"/>
      <c r="AE200" s="62"/>
      <c r="AF200" s="63"/>
      <c r="AG200" s="64"/>
      <c r="AH200" s="6">
        <v>1</v>
      </c>
      <c r="AI200">
        <f t="shared" si="88"/>
        <v>25</v>
      </c>
      <c r="AJ200">
        <f t="shared" si="89"/>
        <v>15</v>
      </c>
      <c r="AK200">
        <f t="shared" si="90"/>
        <v>0</v>
      </c>
      <c r="AL200">
        <f t="shared" si="91"/>
        <v>0</v>
      </c>
      <c r="AM200">
        <f t="shared" si="92"/>
        <v>0</v>
      </c>
      <c r="AN200">
        <f t="shared" si="93"/>
        <v>0</v>
      </c>
      <c r="AO200">
        <f t="shared" si="94"/>
        <v>0</v>
      </c>
      <c r="AP200">
        <f t="shared" si="95"/>
        <v>0</v>
      </c>
      <c r="AQ200">
        <f t="shared" si="96"/>
        <v>0</v>
      </c>
      <c r="AR200">
        <f t="shared" si="97"/>
        <v>0</v>
      </c>
      <c r="AS200">
        <f t="shared" si="98"/>
        <v>0</v>
      </c>
      <c r="AT200">
        <f t="shared" si="99"/>
        <v>0</v>
      </c>
      <c r="AU200">
        <f t="shared" si="100"/>
        <v>0</v>
      </c>
      <c r="AV200">
        <f t="shared" si="101"/>
        <v>0</v>
      </c>
      <c r="AW200">
        <f t="shared" si="102"/>
        <v>0</v>
      </c>
      <c r="AX200">
        <f t="shared" si="103"/>
        <v>0</v>
      </c>
      <c r="AY200">
        <f t="shared" si="104"/>
        <v>0</v>
      </c>
      <c r="AZ200">
        <f t="shared" si="105"/>
        <v>0</v>
      </c>
      <c r="BA200">
        <f t="shared" si="106"/>
        <v>0</v>
      </c>
      <c r="BB200">
        <f t="shared" si="107"/>
        <v>0</v>
      </c>
      <c r="BC200">
        <f t="shared" si="108"/>
        <v>0</v>
      </c>
      <c r="BD200">
        <f t="shared" si="109"/>
        <v>0</v>
      </c>
      <c r="BE200">
        <f t="shared" si="110"/>
        <v>0</v>
      </c>
      <c r="BF200">
        <f t="shared" si="111"/>
        <v>0</v>
      </c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</row>
    <row r="201" spans="1:256" s="201" customFormat="1" ht="14.25" x14ac:dyDescent="0.2">
      <c r="A201" s="10">
        <v>3044</v>
      </c>
      <c r="B201" s="11" t="s">
        <v>740</v>
      </c>
      <c r="C201" s="105" t="s">
        <v>741</v>
      </c>
      <c r="D201" s="11" t="s">
        <v>106</v>
      </c>
      <c r="E201" s="12">
        <v>11131</v>
      </c>
      <c r="F201" s="202">
        <v>17</v>
      </c>
      <c r="G201" s="11">
        <v>65000</v>
      </c>
      <c r="H201" s="116">
        <v>0</v>
      </c>
      <c r="I201" s="192"/>
      <c r="J201" s="204"/>
      <c r="K201" s="193"/>
      <c r="L201" s="193"/>
      <c r="M201" s="193"/>
      <c r="N201" s="203">
        <f t="shared" si="84"/>
        <v>65000</v>
      </c>
      <c r="O201" s="203">
        <f t="shared" si="85"/>
        <v>65000</v>
      </c>
      <c r="P201" s="203">
        <f t="shared" si="86"/>
        <v>65000</v>
      </c>
      <c r="Q201" s="214"/>
      <c r="R201" s="215"/>
      <c r="S201" s="218">
        <v>45638</v>
      </c>
      <c r="T201" s="205"/>
      <c r="U201" s="205"/>
      <c r="V201" s="216"/>
      <c r="W201" s="212"/>
      <c r="X201" s="10">
        <v>7</v>
      </c>
      <c r="Y201" s="10">
        <v>7</v>
      </c>
      <c r="Z201" s="213">
        <f t="shared" si="87"/>
        <v>65000</v>
      </c>
      <c r="AA201" s="62"/>
      <c r="AB201" s="62"/>
      <c r="AC201" s="62"/>
      <c r="AD201" s="62"/>
      <c r="AE201" s="62"/>
      <c r="AF201" s="63"/>
      <c r="AG201" s="64"/>
      <c r="AH201" s="6">
        <v>1</v>
      </c>
      <c r="AI201">
        <f t="shared" si="88"/>
        <v>25</v>
      </c>
      <c r="AJ201">
        <f t="shared" si="89"/>
        <v>25</v>
      </c>
      <c r="AK201">
        <f t="shared" si="90"/>
        <v>0</v>
      </c>
      <c r="AL201">
        <f t="shared" si="91"/>
        <v>0</v>
      </c>
      <c r="AM201">
        <f t="shared" si="92"/>
        <v>0</v>
      </c>
      <c r="AN201">
        <f t="shared" si="93"/>
        <v>0</v>
      </c>
      <c r="AO201">
        <f t="shared" si="94"/>
        <v>0</v>
      </c>
      <c r="AP201">
        <f t="shared" si="95"/>
        <v>0</v>
      </c>
      <c r="AQ201">
        <f t="shared" si="96"/>
        <v>0</v>
      </c>
      <c r="AR201">
        <f t="shared" si="97"/>
        <v>0</v>
      </c>
      <c r="AS201">
        <f t="shared" si="98"/>
        <v>0</v>
      </c>
      <c r="AT201">
        <f t="shared" si="99"/>
        <v>0</v>
      </c>
      <c r="AU201">
        <f t="shared" si="100"/>
        <v>1</v>
      </c>
      <c r="AV201">
        <f t="shared" si="101"/>
        <v>1</v>
      </c>
      <c r="AW201">
        <f t="shared" si="102"/>
        <v>1</v>
      </c>
      <c r="AX201">
        <f t="shared" si="103"/>
        <v>1</v>
      </c>
      <c r="AY201">
        <f t="shared" si="104"/>
        <v>65000</v>
      </c>
      <c r="AZ201">
        <f t="shared" si="105"/>
        <v>65000</v>
      </c>
      <c r="BA201">
        <f t="shared" si="106"/>
        <v>0</v>
      </c>
      <c r="BB201">
        <f t="shared" si="107"/>
        <v>0</v>
      </c>
      <c r="BC201">
        <f t="shared" si="108"/>
        <v>0</v>
      </c>
      <c r="BD201">
        <f t="shared" si="109"/>
        <v>0</v>
      </c>
      <c r="BE201">
        <f t="shared" si="110"/>
        <v>0</v>
      </c>
      <c r="BF201">
        <f t="shared" si="111"/>
        <v>0</v>
      </c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</row>
    <row r="202" spans="1:256" s="201" customFormat="1" ht="14.25" x14ac:dyDescent="0.2">
      <c r="A202" s="10">
        <v>3045</v>
      </c>
      <c r="B202" s="11" t="s">
        <v>742</v>
      </c>
      <c r="C202" s="105" t="s">
        <v>743</v>
      </c>
      <c r="D202" s="11" t="s">
        <v>105</v>
      </c>
      <c r="E202" s="12">
        <v>11134</v>
      </c>
      <c r="F202" s="202">
        <v>17</v>
      </c>
      <c r="G202" s="11">
        <v>60000</v>
      </c>
      <c r="H202" s="116">
        <v>0</v>
      </c>
      <c r="I202" s="192"/>
      <c r="J202" s="204"/>
      <c r="K202" s="193"/>
      <c r="L202" s="193"/>
      <c r="M202" s="193"/>
      <c r="N202" s="203">
        <f t="shared" si="84"/>
        <v>60000</v>
      </c>
      <c r="O202" s="203">
        <f t="shared" si="85"/>
        <v>60000</v>
      </c>
      <c r="P202" s="203">
        <f t="shared" si="86"/>
        <v>60000</v>
      </c>
      <c r="Q202" s="214"/>
      <c r="R202" s="215"/>
      <c r="S202" s="218">
        <v>45647</v>
      </c>
      <c r="T202" s="205"/>
      <c r="U202" s="205"/>
      <c r="V202" s="216"/>
      <c r="W202" s="212"/>
      <c r="X202" s="10">
        <v>7</v>
      </c>
      <c r="Y202" s="10">
        <v>7</v>
      </c>
      <c r="Z202" s="213">
        <f t="shared" si="87"/>
        <v>60000</v>
      </c>
      <c r="AA202" s="62"/>
      <c r="AB202" s="62"/>
      <c r="AC202" s="62"/>
      <c r="AD202" s="62"/>
      <c r="AE202" s="62"/>
      <c r="AF202" s="63"/>
      <c r="AG202" s="64"/>
      <c r="AH202" s="6">
        <v>1</v>
      </c>
      <c r="AI202">
        <f t="shared" si="88"/>
        <v>25</v>
      </c>
      <c r="AJ202">
        <f t="shared" si="89"/>
        <v>25</v>
      </c>
      <c r="AK202">
        <f t="shared" si="90"/>
        <v>0</v>
      </c>
      <c r="AL202">
        <f t="shared" si="91"/>
        <v>0</v>
      </c>
      <c r="AM202">
        <f t="shared" si="92"/>
        <v>0</v>
      </c>
      <c r="AN202">
        <f t="shared" si="93"/>
        <v>0</v>
      </c>
      <c r="AO202">
        <f t="shared" si="94"/>
        <v>0</v>
      </c>
      <c r="AP202">
        <f t="shared" si="95"/>
        <v>0</v>
      </c>
      <c r="AQ202">
        <f t="shared" si="96"/>
        <v>0</v>
      </c>
      <c r="AR202">
        <f t="shared" si="97"/>
        <v>0</v>
      </c>
      <c r="AS202">
        <f t="shared" si="98"/>
        <v>0</v>
      </c>
      <c r="AT202">
        <f t="shared" si="99"/>
        <v>0</v>
      </c>
      <c r="AU202">
        <f t="shared" si="100"/>
        <v>1</v>
      </c>
      <c r="AV202">
        <f t="shared" si="101"/>
        <v>1</v>
      </c>
      <c r="AW202">
        <f t="shared" si="102"/>
        <v>1</v>
      </c>
      <c r="AX202">
        <f t="shared" si="103"/>
        <v>1</v>
      </c>
      <c r="AY202">
        <f t="shared" si="104"/>
        <v>60000</v>
      </c>
      <c r="AZ202">
        <f t="shared" si="105"/>
        <v>60000</v>
      </c>
      <c r="BA202">
        <f t="shared" si="106"/>
        <v>0</v>
      </c>
      <c r="BB202">
        <f t="shared" si="107"/>
        <v>0</v>
      </c>
      <c r="BC202">
        <f t="shared" si="108"/>
        <v>0</v>
      </c>
      <c r="BD202">
        <f t="shared" si="109"/>
        <v>0</v>
      </c>
      <c r="BE202">
        <f t="shared" si="110"/>
        <v>0</v>
      </c>
      <c r="BF202">
        <f t="shared" si="111"/>
        <v>0</v>
      </c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</row>
    <row r="203" spans="1:256" s="201" customFormat="1" ht="14.25" x14ac:dyDescent="0.2">
      <c r="A203" s="10">
        <v>3046</v>
      </c>
      <c r="B203" s="11" t="s">
        <v>744</v>
      </c>
      <c r="C203" s="105" t="s">
        <v>745</v>
      </c>
      <c r="D203" s="11" t="s">
        <v>259</v>
      </c>
      <c r="E203" s="12">
        <v>11135</v>
      </c>
      <c r="F203" s="202">
        <v>17</v>
      </c>
      <c r="G203" s="11">
        <v>60000</v>
      </c>
      <c r="H203" s="116">
        <v>0</v>
      </c>
      <c r="I203" s="192"/>
      <c r="J203" s="204"/>
      <c r="K203" s="193"/>
      <c r="L203" s="193"/>
      <c r="M203" s="193"/>
      <c r="N203" s="203">
        <f t="shared" si="84"/>
        <v>60000</v>
      </c>
      <c r="O203" s="203">
        <f t="shared" si="85"/>
        <v>60000</v>
      </c>
      <c r="P203" s="203">
        <f t="shared" si="86"/>
        <v>60000</v>
      </c>
      <c r="Q203" s="214"/>
      <c r="R203" s="215"/>
      <c r="S203" s="218">
        <v>45635</v>
      </c>
      <c r="T203" s="205"/>
      <c r="U203" s="205"/>
      <c r="V203" s="216"/>
      <c r="W203" s="212"/>
      <c r="X203" s="10">
        <v>7</v>
      </c>
      <c r="Y203" s="10">
        <v>7</v>
      </c>
      <c r="Z203" s="213">
        <f t="shared" si="87"/>
        <v>60000</v>
      </c>
      <c r="AA203" s="62"/>
      <c r="AB203" s="62"/>
      <c r="AC203" s="62"/>
      <c r="AD203" s="62"/>
      <c r="AE203" s="62"/>
      <c r="AF203" s="63"/>
      <c r="AG203" s="64"/>
      <c r="AH203" s="6">
        <v>1</v>
      </c>
      <c r="AI203">
        <f t="shared" si="88"/>
        <v>25</v>
      </c>
      <c r="AJ203">
        <f t="shared" si="89"/>
        <v>25</v>
      </c>
      <c r="AK203">
        <f t="shared" si="90"/>
        <v>0</v>
      </c>
      <c r="AL203">
        <f t="shared" si="91"/>
        <v>0</v>
      </c>
      <c r="AM203">
        <f t="shared" si="92"/>
        <v>0</v>
      </c>
      <c r="AN203">
        <f t="shared" si="93"/>
        <v>0</v>
      </c>
      <c r="AO203">
        <f t="shared" si="94"/>
        <v>0</v>
      </c>
      <c r="AP203">
        <f t="shared" si="95"/>
        <v>0</v>
      </c>
      <c r="AQ203">
        <f t="shared" si="96"/>
        <v>0</v>
      </c>
      <c r="AR203">
        <f t="shared" si="97"/>
        <v>0</v>
      </c>
      <c r="AS203">
        <f t="shared" si="98"/>
        <v>0</v>
      </c>
      <c r="AT203">
        <f t="shared" si="99"/>
        <v>0</v>
      </c>
      <c r="AU203">
        <f t="shared" si="100"/>
        <v>1</v>
      </c>
      <c r="AV203">
        <f t="shared" si="101"/>
        <v>1</v>
      </c>
      <c r="AW203">
        <f t="shared" si="102"/>
        <v>1</v>
      </c>
      <c r="AX203">
        <f t="shared" si="103"/>
        <v>1</v>
      </c>
      <c r="AY203">
        <f t="shared" si="104"/>
        <v>60000</v>
      </c>
      <c r="AZ203">
        <f t="shared" si="105"/>
        <v>60000</v>
      </c>
      <c r="BA203">
        <f t="shared" si="106"/>
        <v>0</v>
      </c>
      <c r="BB203">
        <f t="shared" si="107"/>
        <v>0</v>
      </c>
      <c r="BC203">
        <f t="shared" si="108"/>
        <v>0</v>
      </c>
      <c r="BD203">
        <f t="shared" si="109"/>
        <v>0</v>
      </c>
      <c r="BE203">
        <f t="shared" si="110"/>
        <v>0</v>
      </c>
      <c r="BF203">
        <f t="shared" si="111"/>
        <v>0</v>
      </c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</row>
    <row r="204" spans="1:256" s="201" customFormat="1" ht="14.25" x14ac:dyDescent="0.2">
      <c r="A204" s="10">
        <v>3047</v>
      </c>
      <c r="B204" s="11" t="s">
        <v>746</v>
      </c>
      <c r="C204" s="105" t="s">
        <v>747</v>
      </c>
      <c r="D204" s="11" t="s">
        <v>105</v>
      </c>
      <c r="E204" s="12">
        <v>11136</v>
      </c>
      <c r="F204" s="202">
        <v>17</v>
      </c>
      <c r="G204" s="11">
        <v>60000</v>
      </c>
      <c r="H204" s="116">
        <v>-40000</v>
      </c>
      <c r="I204" s="192"/>
      <c r="J204" s="204"/>
      <c r="K204" s="193"/>
      <c r="L204" s="193"/>
      <c r="M204" s="193"/>
      <c r="N204" s="203">
        <f t="shared" si="84"/>
        <v>60000</v>
      </c>
      <c r="O204" s="203">
        <f t="shared" si="85"/>
        <v>20000</v>
      </c>
      <c r="P204" s="203">
        <f t="shared" si="86"/>
        <v>20000</v>
      </c>
      <c r="Q204" s="214"/>
      <c r="R204" s="215"/>
      <c r="S204" s="218">
        <v>45644</v>
      </c>
      <c r="T204" s="205"/>
      <c r="U204" s="205"/>
      <c r="V204" s="216"/>
      <c r="W204" s="212"/>
      <c r="X204" s="10">
        <v>7</v>
      </c>
      <c r="Y204" s="10">
        <v>7</v>
      </c>
      <c r="Z204" s="213">
        <f t="shared" si="87"/>
        <v>60000</v>
      </c>
      <c r="AA204" s="62"/>
      <c r="AB204" s="62"/>
      <c r="AC204" s="62"/>
      <c r="AD204" s="62"/>
      <c r="AE204" s="62"/>
      <c r="AF204" s="63"/>
      <c r="AG204" s="64"/>
      <c r="AH204" s="6">
        <v>1</v>
      </c>
      <c r="AI204">
        <f t="shared" si="88"/>
        <v>25</v>
      </c>
      <c r="AJ204">
        <f t="shared" si="89"/>
        <v>25</v>
      </c>
      <c r="AK204">
        <f t="shared" si="90"/>
        <v>0</v>
      </c>
      <c r="AL204">
        <f t="shared" si="91"/>
        <v>0</v>
      </c>
      <c r="AM204">
        <f t="shared" si="92"/>
        <v>0</v>
      </c>
      <c r="AN204">
        <f t="shared" si="93"/>
        <v>0</v>
      </c>
      <c r="AO204">
        <f t="shared" si="94"/>
        <v>0</v>
      </c>
      <c r="AP204">
        <f t="shared" si="95"/>
        <v>0</v>
      </c>
      <c r="AQ204">
        <f t="shared" si="96"/>
        <v>0</v>
      </c>
      <c r="AR204">
        <f t="shared" si="97"/>
        <v>0</v>
      </c>
      <c r="AS204">
        <f t="shared" si="98"/>
        <v>0</v>
      </c>
      <c r="AT204">
        <f t="shared" si="99"/>
        <v>0</v>
      </c>
      <c r="AU204">
        <f t="shared" si="100"/>
        <v>1</v>
      </c>
      <c r="AV204">
        <f t="shared" si="101"/>
        <v>1</v>
      </c>
      <c r="AW204">
        <f t="shared" si="102"/>
        <v>1</v>
      </c>
      <c r="AX204">
        <f t="shared" si="103"/>
        <v>1</v>
      </c>
      <c r="AY204">
        <f t="shared" si="104"/>
        <v>20000</v>
      </c>
      <c r="AZ204">
        <f t="shared" si="105"/>
        <v>20000</v>
      </c>
      <c r="BA204">
        <f t="shared" si="106"/>
        <v>0</v>
      </c>
      <c r="BB204">
        <f t="shared" si="107"/>
        <v>0</v>
      </c>
      <c r="BC204">
        <f t="shared" si="108"/>
        <v>0</v>
      </c>
      <c r="BD204">
        <f t="shared" si="109"/>
        <v>0</v>
      </c>
      <c r="BE204">
        <f t="shared" si="110"/>
        <v>0</v>
      </c>
      <c r="BF204">
        <f t="shared" si="111"/>
        <v>0</v>
      </c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</row>
    <row r="205" spans="1:256" s="201" customFormat="1" ht="14.25" x14ac:dyDescent="0.2">
      <c r="A205" s="10">
        <v>3048</v>
      </c>
      <c r="B205" s="11" t="s">
        <v>748</v>
      </c>
      <c r="C205" s="105" t="s">
        <v>749</v>
      </c>
      <c r="D205" s="11" t="s">
        <v>157</v>
      </c>
      <c r="E205" s="12">
        <v>11137</v>
      </c>
      <c r="F205" s="202">
        <v>17</v>
      </c>
      <c r="G205" s="11">
        <v>60000</v>
      </c>
      <c r="H205" s="116">
        <v>-50000</v>
      </c>
      <c r="I205" s="192"/>
      <c r="J205" s="204"/>
      <c r="K205" s="193"/>
      <c r="L205" s="193"/>
      <c r="M205" s="193"/>
      <c r="N205" s="203">
        <f t="shared" si="84"/>
        <v>60000</v>
      </c>
      <c r="O205" s="203">
        <f t="shared" si="85"/>
        <v>10000</v>
      </c>
      <c r="P205" s="203">
        <f t="shared" si="86"/>
        <v>10000</v>
      </c>
      <c r="Q205" s="214"/>
      <c r="R205" s="215"/>
      <c r="S205" s="218">
        <v>45636</v>
      </c>
      <c r="T205" s="205"/>
      <c r="U205" s="205"/>
      <c r="V205" s="216"/>
      <c r="W205" s="212"/>
      <c r="X205" s="10">
        <v>7</v>
      </c>
      <c r="Y205" s="10">
        <v>7</v>
      </c>
      <c r="Z205" s="213">
        <f t="shared" si="87"/>
        <v>60000</v>
      </c>
      <c r="AA205" s="62"/>
      <c r="AB205" s="62"/>
      <c r="AC205" s="62"/>
      <c r="AD205" s="62"/>
      <c r="AE205" s="62"/>
      <c r="AF205" s="63"/>
      <c r="AG205" s="64"/>
      <c r="AH205" s="6">
        <v>1</v>
      </c>
      <c r="AI205">
        <f t="shared" si="88"/>
        <v>25</v>
      </c>
      <c r="AJ205">
        <f t="shared" si="89"/>
        <v>25</v>
      </c>
      <c r="AK205">
        <f t="shared" si="90"/>
        <v>0</v>
      </c>
      <c r="AL205">
        <f t="shared" si="91"/>
        <v>0</v>
      </c>
      <c r="AM205">
        <f t="shared" si="92"/>
        <v>0</v>
      </c>
      <c r="AN205">
        <f t="shared" si="93"/>
        <v>0</v>
      </c>
      <c r="AO205">
        <f t="shared" si="94"/>
        <v>0</v>
      </c>
      <c r="AP205">
        <f t="shared" si="95"/>
        <v>0</v>
      </c>
      <c r="AQ205">
        <f t="shared" si="96"/>
        <v>0</v>
      </c>
      <c r="AR205">
        <f t="shared" si="97"/>
        <v>0</v>
      </c>
      <c r="AS205">
        <f t="shared" si="98"/>
        <v>0</v>
      </c>
      <c r="AT205">
        <f t="shared" si="99"/>
        <v>0</v>
      </c>
      <c r="AU205">
        <f t="shared" si="100"/>
        <v>1</v>
      </c>
      <c r="AV205">
        <f t="shared" si="101"/>
        <v>1</v>
      </c>
      <c r="AW205">
        <f t="shared" si="102"/>
        <v>1</v>
      </c>
      <c r="AX205">
        <f t="shared" si="103"/>
        <v>1</v>
      </c>
      <c r="AY205">
        <f t="shared" si="104"/>
        <v>10000</v>
      </c>
      <c r="AZ205">
        <f t="shared" si="105"/>
        <v>10000</v>
      </c>
      <c r="BA205">
        <f t="shared" si="106"/>
        <v>0</v>
      </c>
      <c r="BB205">
        <f t="shared" si="107"/>
        <v>0</v>
      </c>
      <c r="BC205">
        <f t="shared" si="108"/>
        <v>0</v>
      </c>
      <c r="BD205">
        <f t="shared" si="109"/>
        <v>0</v>
      </c>
      <c r="BE205">
        <f t="shared" si="110"/>
        <v>0</v>
      </c>
      <c r="BF205">
        <f t="shared" si="111"/>
        <v>0</v>
      </c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</row>
    <row r="206" spans="1:256" s="201" customFormat="1" ht="14.25" x14ac:dyDescent="0.2">
      <c r="A206" s="10">
        <v>3053</v>
      </c>
      <c r="B206" s="11" t="s">
        <v>750</v>
      </c>
      <c r="C206" s="105" t="s">
        <v>751</v>
      </c>
      <c r="D206" s="11" t="s">
        <v>106</v>
      </c>
      <c r="E206" s="12">
        <v>11140</v>
      </c>
      <c r="F206" s="202">
        <v>16</v>
      </c>
      <c r="G206" s="11">
        <v>60000</v>
      </c>
      <c r="H206" s="116">
        <v>0</v>
      </c>
      <c r="I206" s="192"/>
      <c r="J206" s="204"/>
      <c r="K206" s="193"/>
      <c r="L206" s="193"/>
      <c r="M206" s="193"/>
      <c r="N206" s="203">
        <f t="shared" si="84"/>
        <v>60000</v>
      </c>
      <c r="O206" s="203">
        <f t="shared" si="85"/>
        <v>60000</v>
      </c>
      <c r="P206" s="203">
        <f t="shared" si="86"/>
        <v>60000</v>
      </c>
      <c r="Q206" s="214">
        <v>45665</v>
      </c>
      <c r="R206" s="215"/>
      <c r="S206" s="218">
        <v>45635</v>
      </c>
      <c r="T206" s="205"/>
      <c r="U206" s="205"/>
      <c r="V206" s="216" t="s">
        <v>1131</v>
      </c>
      <c r="W206" s="212"/>
      <c r="X206" s="10">
        <v>7</v>
      </c>
      <c r="Y206" s="10">
        <v>7</v>
      </c>
      <c r="Z206" s="213">
        <f t="shared" si="87"/>
        <v>60000</v>
      </c>
      <c r="AA206" s="62"/>
      <c r="AB206" s="62"/>
      <c r="AC206" s="62"/>
      <c r="AD206" s="62"/>
      <c r="AE206" s="62"/>
      <c r="AF206" s="63"/>
      <c r="AG206" s="64"/>
      <c r="AH206" s="6">
        <v>1</v>
      </c>
      <c r="AI206">
        <f t="shared" si="88"/>
        <v>25</v>
      </c>
      <c r="AJ206">
        <f t="shared" si="89"/>
        <v>25</v>
      </c>
      <c r="AK206">
        <f t="shared" si="90"/>
        <v>0</v>
      </c>
      <c r="AL206">
        <f t="shared" si="91"/>
        <v>0</v>
      </c>
      <c r="AM206">
        <f t="shared" si="92"/>
        <v>0</v>
      </c>
      <c r="AN206">
        <f t="shared" si="93"/>
        <v>0</v>
      </c>
      <c r="AO206">
        <f t="shared" si="94"/>
        <v>0</v>
      </c>
      <c r="AP206">
        <f t="shared" si="95"/>
        <v>0</v>
      </c>
      <c r="AQ206">
        <f t="shared" si="96"/>
        <v>0</v>
      </c>
      <c r="AR206">
        <f t="shared" si="97"/>
        <v>0</v>
      </c>
      <c r="AS206">
        <f t="shared" si="98"/>
        <v>0</v>
      </c>
      <c r="AT206">
        <f t="shared" si="99"/>
        <v>0</v>
      </c>
      <c r="AU206">
        <f t="shared" si="100"/>
        <v>1</v>
      </c>
      <c r="AV206">
        <f t="shared" si="101"/>
        <v>1</v>
      </c>
      <c r="AW206">
        <f t="shared" si="102"/>
        <v>1</v>
      </c>
      <c r="AX206">
        <f t="shared" si="103"/>
        <v>1</v>
      </c>
      <c r="AY206">
        <f t="shared" si="104"/>
        <v>60000</v>
      </c>
      <c r="AZ206">
        <f t="shared" si="105"/>
        <v>60000</v>
      </c>
      <c r="BA206">
        <f t="shared" si="106"/>
        <v>0</v>
      </c>
      <c r="BB206">
        <f t="shared" si="107"/>
        <v>0</v>
      </c>
      <c r="BC206">
        <f t="shared" si="108"/>
        <v>0</v>
      </c>
      <c r="BD206">
        <f t="shared" si="109"/>
        <v>0</v>
      </c>
      <c r="BE206">
        <f t="shared" si="110"/>
        <v>0</v>
      </c>
      <c r="BF206">
        <f t="shared" si="111"/>
        <v>0</v>
      </c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</row>
    <row r="207" spans="1:256" s="201" customFormat="1" ht="14.25" x14ac:dyDescent="0.2">
      <c r="A207" s="10">
        <v>3056</v>
      </c>
      <c r="B207" s="11" t="s">
        <v>752</v>
      </c>
      <c r="C207" s="105" t="s">
        <v>753</v>
      </c>
      <c r="D207" s="11" t="s">
        <v>147</v>
      </c>
      <c r="E207" s="12">
        <v>10167</v>
      </c>
      <c r="F207" s="202">
        <v>16</v>
      </c>
      <c r="G207" s="11">
        <v>60000</v>
      </c>
      <c r="H207" s="116">
        <v>0</v>
      </c>
      <c r="I207" s="192"/>
      <c r="J207" s="204"/>
      <c r="K207" s="193"/>
      <c r="L207" s="193"/>
      <c r="M207" s="193"/>
      <c r="N207" s="203">
        <f t="shared" si="84"/>
        <v>60000</v>
      </c>
      <c r="O207" s="203">
        <f t="shared" si="85"/>
        <v>60000</v>
      </c>
      <c r="P207" s="203">
        <f t="shared" si="86"/>
        <v>60000</v>
      </c>
      <c r="Q207" s="214">
        <v>45659</v>
      </c>
      <c r="R207" s="215"/>
      <c r="S207" s="218">
        <v>45628</v>
      </c>
      <c r="T207" s="205"/>
      <c r="U207" s="205"/>
      <c r="V207" s="216" t="s">
        <v>1131</v>
      </c>
      <c r="W207" s="212"/>
      <c r="X207" s="10">
        <v>7</v>
      </c>
      <c r="Y207" s="10">
        <v>7</v>
      </c>
      <c r="Z207" s="213">
        <f t="shared" si="87"/>
        <v>60000</v>
      </c>
      <c r="AA207" s="62"/>
      <c r="AB207" s="62"/>
      <c r="AC207" s="62"/>
      <c r="AD207" s="62"/>
      <c r="AE207" s="62"/>
      <c r="AF207" s="63"/>
      <c r="AG207" s="64"/>
      <c r="AH207" s="6">
        <v>1</v>
      </c>
      <c r="AI207">
        <f t="shared" si="88"/>
        <v>25</v>
      </c>
      <c r="AJ207">
        <f t="shared" si="89"/>
        <v>25</v>
      </c>
      <c r="AK207">
        <f t="shared" si="90"/>
        <v>0</v>
      </c>
      <c r="AL207">
        <f t="shared" si="91"/>
        <v>0</v>
      </c>
      <c r="AM207">
        <f t="shared" si="92"/>
        <v>0</v>
      </c>
      <c r="AN207">
        <f t="shared" si="93"/>
        <v>0</v>
      </c>
      <c r="AO207">
        <f t="shared" si="94"/>
        <v>0</v>
      </c>
      <c r="AP207">
        <f t="shared" si="95"/>
        <v>0</v>
      </c>
      <c r="AQ207">
        <f t="shared" si="96"/>
        <v>0</v>
      </c>
      <c r="AR207">
        <f t="shared" si="97"/>
        <v>0</v>
      </c>
      <c r="AS207">
        <f t="shared" si="98"/>
        <v>0</v>
      </c>
      <c r="AT207">
        <f t="shared" si="99"/>
        <v>0</v>
      </c>
      <c r="AU207">
        <f t="shared" si="100"/>
        <v>1</v>
      </c>
      <c r="AV207">
        <f t="shared" si="101"/>
        <v>1</v>
      </c>
      <c r="AW207">
        <f t="shared" si="102"/>
        <v>1</v>
      </c>
      <c r="AX207">
        <f t="shared" si="103"/>
        <v>1</v>
      </c>
      <c r="AY207">
        <f t="shared" si="104"/>
        <v>60000</v>
      </c>
      <c r="AZ207">
        <f t="shared" si="105"/>
        <v>60000</v>
      </c>
      <c r="BA207">
        <f t="shared" si="106"/>
        <v>0</v>
      </c>
      <c r="BB207">
        <f t="shared" si="107"/>
        <v>0</v>
      </c>
      <c r="BC207">
        <f t="shared" si="108"/>
        <v>0</v>
      </c>
      <c r="BD207">
        <f t="shared" si="109"/>
        <v>0</v>
      </c>
      <c r="BE207">
        <f t="shared" si="110"/>
        <v>0</v>
      </c>
      <c r="BF207">
        <f t="shared" si="111"/>
        <v>0</v>
      </c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</row>
    <row r="208" spans="1:256" s="201" customFormat="1" ht="14.25" x14ac:dyDescent="0.2">
      <c r="A208" s="10">
        <v>3058</v>
      </c>
      <c r="B208" s="11" t="s">
        <v>754</v>
      </c>
      <c r="C208" s="105" t="s">
        <v>755</v>
      </c>
      <c r="D208" s="11" t="s">
        <v>157</v>
      </c>
      <c r="E208" s="12">
        <v>11130</v>
      </c>
      <c r="F208" s="202">
        <v>16</v>
      </c>
      <c r="G208" s="11">
        <v>60000</v>
      </c>
      <c r="H208" s="116">
        <v>0</v>
      </c>
      <c r="I208" s="192"/>
      <c r="J208" s="204"/>
      <c r="K208" s="193"/>
      <c r="L208" s="193"/>
      <c r="M208" s="193"/>
      <c r="N208" s="203">
        <f t="shared" si="84"/>
        <v>60000</v>
      </c>
      <c r="O208" s="203">
        <f t="shared" si="85"/>
        <v>60000</v>
      </c>
      <c r="P208" s="203">
        <f t="shared" si="86"/>
        <v>60000</v>
      </c>
      <c r="Q208" s="214">
        <v>45663</v>
      </c>
      <c r="R208" s="215"/>
      <c r="S208" s="218">
        <v>45633</v>
      </c>
      <c r="T208" s="205"/>
      <c r="U208" s="205"/>
      <c r="V208" s="216" t="s">
        <v>1131</v>
      </c>
      <c r="W208" s="212"/>
      <c r="X208" s="10">
        <v>7</v>
      </c>
      <c r="Y208" s="10">
        <v>7</v>
      </c>
      <c r="Z208" s="213">
        <f t="shared" si="87"/>
        <v>60000</v>
      </c>
      <c r="AA208" s="62"/>
      <c r="AB208" s="62"/>
      <c r="AC208" s="62"/>
      <c r="AD208" s="62"/>
      <c r="AE208" s="62"/>
      <c r="AF208" s="63"/>
      <c r="AG208" s="64"/>
      <c r="AH208" s="6">
        <v>1</v>
      </c>
      <c r="AI208">
        <f t="shared" si="88"/>
        <v>25</v>
      </c>
      <c r="AJ208">
        <f t="shared" si="89"/>
        <v>25</v>
      </c>
      <c r="AK208">
        <f t="shared" si="90"/>
        <v>0</v>
      </c>
      <c r="AL208">
        <f t="shared" si="91"/>
        <v>0</v>
      </c>
      <c r="AM208">
        <f t="shared" si="92"/>
        <v>0</v>
      </c>
      <c r="AN208">
        <f t="shared" si="93"/>
        <v>0</v>
      </c>
      <c r="AO208">
        <f t="shared" si="94"/>
        <v>0</v>
      </c>
      <c r="AP208">
        <f t="shared" si="95"/>
        <v>0</v>
      </c>
      <c r="AQ208">
        <f t="shared" si="96"/>
        <v>0</v>
      </c>
      <c r="AR208">
        <f t="shared" si="97"/>
        <v>0</v>
      </c>
      <c r="AS208">
        <f t="shared" si="98"/>
        <v>0</v>
      </c>
      <c r="AT208">
        <f t="shared" si="99"/>
        <v>0</v>
      </c>
      <c r="AU208">
        <f t="shared" si="100"/>
        <v>1</v>
      </c>
      <c r="AV208">
        <f t="shared" si="101"/>
        <v>1</v>
      </c>
      <c r="AW208">
        <f t="shared" si="102"/>
        <v>1</v>
      </c>
      <c r="AX208">
        <f t="shared" si="103"/>
        <v>1</v>
      </c>
      <c r="AY208">
        <f t="shared" si="104"/>
        <v>60000</v>
      </c>
      <c r="AZ208">
        <f t="shared" si="105"/>
        <v>60000</v>
      </c>
      <c r="BA208">
        <f t="shared" si="106"/>
        <v>0</v>
      </c>
      <c r="BB208">
        <f t="shared" si="107"/>
        <v>0</v>
      </c>
      <c r="BC208">
        <f t="shared" si="108"/>
        <v>0</v>
      </c>
      <c r="BD208">
        <f t="shared" si="109"/>
        <v>0</v>
      </c>
      <c r="BE208">
        <f t="shared" si="110"/>
        <v>0</v>
      </c>
      <c r="BF208">
        <f t="shared" si="111"/>
        <v>0</v>
      </c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</row>
    <row r="209" spans="1:256" s="201" customFormat="1" ht="14.25" x14ac:dyDescent="0.2">
      <c r="A209" s="10">
        <v>3062</v>
      </c>
      <c r="B209" s="11" t="s">
        <v>756</v>
      </c>
      <c r="C209" s="105" t="s">
        <v>757</v>
      </c>
      <c r="D209" s="11" t="s">
        <v>233</v>
      </c>
      <c r="E209" s="12">
        <v>11925</v>
      </c>
      <c r="F209" s="202">
        <v>16</v>
      </c>
      <c r="G209" s="11">
        <v>60000</v>
      </c>
      <c r="H209" s="116">
        <v>-80000</v>
      </c>
      <c r="I209" s="192"/>
      <c r="J209" s="204"/>
      <c r="K209" s="193"/>
      <c r="L209" s="193"/>
      <c r="M209" s="193"/>
      <c r="N209" s="203">
        <f t="shared" si="84"/>
        <v>60000</v>
      </c>
      <c r="O209" s="203">
        <f t="shared" si="85"/>
        <v>-20000</v>
      </c>
      <c r="P209" s="203">
        <f t="shared" si="86"/>
        <v>0</v>
      </c>
      <c r="Q209" s="214"/>
      <c r="R209" s="215"/>
      <c r="S209" s="218">
        <v>45633</v>
      </c>
      <c r="T209" s="205"/>
      <c r="U209" s="205"/>
      <c r="V209" s="216"/>
      <c r="W209" s="212"/>
      <c r="X209" s="10">
        <v>7</v>
      </c>
      <c r="Y209" s="10">
        <v>7</v>
      </c>
      <c r="Z209" s="213">
        <f t="shared" si="87"/>
        <v>60000</v>
      </c>
      <c r="AA209" s="62"/>
      <c r="AB209" s="62"/>
      <c r="AC209" s="62"/>
      <c r="AD209" s="62"/>
      <c r="AE209" s="62"/>
      <c r="AF209" s="63"/>
      <c r="AG209" s="64"/>
      <c r="AH209" s="6">
        <v>1</v>
      </c>
      <c r="AI209">
        <f t="shared" si="88"/>
        <v>25</v>
      </c>
      <c r="AJ209">
        <f t="shared" si="89"/>
        <v>25</v>
      </c>
      <c r="AK209">
        <f t="shared" si="90"/>
        <v>0</v>
      </c>
      <c r="AL209">
        <f t="shared" si="91"/>
        <v>0</v>
      </c>
      <c r="AM209">
        <f t="shared" si="92"/>
        <v>0</v>
      </c>
      <c r="AN209">
        <f t="shared" si="93"/>
        <v>0</v>
      </c>
      <c r="AO209">
        <f t="shared" si="94"/>
        <v>0</v>
      </c>
      <c r="AP209">
        <f t="shared" si="95"/>
        <v>0</v>
      </c>
      <c r="AQ209">
        <f t="shared" si="96"/>
        <v>0</v>
      </c>
      <c r="AR209">
        <f t="shared" si="97"/>
        <v>0</v>
      </c>
      <c r="AS209">
        <f t="shared" si="98"/>
        <v>0</v>
      </c>
      <c r="AT209">
        <f t="shared" si="99"/>
        <v>0</v>
      </c>
      <c r="AU209">
        <f t="shared" si="100"/>
        <v>0</v>
      </c>
      <c r="AV209">
        <f t="shared" si="101"/>
        <v>0</v>
      </c>
      <c r="AW209">
        <f t="shared" si="102"/>
        <v>0</v>
      </c>
      <c r="AX209">
        <f t="shared" si="103"/>
        <v>0</v>
      </c>
      <c r="AY209">
        <f t="shared" si="104"/>
        <v>0</v>
      </c>
      <c r="AZ209">
        <f t="shared" si="105"/>
        <v>0</v>
      </c>
      <c r="BA209">
        <f t="shared" si="106"/>
        <v>0</v>
      </c>
      <c r="BB209">
        <f t="shared" si="107"/>
        <v>0</v>
      </c>
      <c r="BC209">
        <f t="shared" si="108"/>
        <v>0</v>
      </c>
      <c r="BD209">
        <f t="shared" si="109"/>
        <v>0</v>
      </c>
      <c r="BE209">
        <f t="shared" si="110"/>
        <v>0</v>
      </c>
      <c r="BF209">
        <f t="shared" si="111"/>
        <v>0</v>
      </c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</row>
    <row r="210" spans="1:256" s="201" customFormat="1" ht="14.25" x14ac:dyDescent="0.2">
      <c r="A210" s="10">
        <v>3065</v>
      </c>
      <c r="B210" s="11" t="s">
        <v>405</v>
      </c>
      <c r="C210" s="105" t="s">
        <v>406</v>
      </c>
      <c r="D210" s="11" t="s">
        <v>259</v>
      </c>
      <c r="E210" s="12">
        <v>11999</v>
      </c>
      <c r="F210" s="202">
        <v>16</v>
      </c>
      <c r="G210" s="11">
        <v>30000</v>
      </c>
      <c r="H210" s="116">
        <v>0</v>
      </c>
      <c r="I210" s="192"/>
      <c r="J210" s="204"/>
      <c r="K210" s="193"/>
      <c r="L210" s="193"/>
      <c r="M210" s="193"/>
      <c r="N210" s="203">
        <f t="shared" si="84"/>
        <v>30000</v>
      </c>
      <c r="O210" s="203">
        <f t="shared" si="85"/>
        <v>30000</v>
      </c>
      <c r="P210" s="203">
        <f t="shared" si="86"/>
        <v>30000</v>
      </c>
      <c r="Q210" s="214"/>
      <c r="R210" s="215"/>
      <c r="S210" s="218">
        <v>45647</v>
      </c>
      <c r="T210" s="205"/>
      <c r="U210" s="205"/>
      <c r="V210" s="216"/>
      <c r="W210" s="212"/>
      <c r="X210" s="10">
        <v>7</v>
      </c>
      <c r="Y210" s="10">
        <v>7</v>
      </c>
      <c r="Z210" s="213">
        <f t="shared" si="87"/>
        <v>30000</v>
      </c>
      <c r="AA210" s="62"/>
      <c r="AB210" s="62"/>
      <c r="AC210" s="62"/>
      <c r="AD210" s="62"/>
      <c r="AE210" s="62"/>
      <c r="AF210" s="63"/>
      <c r="AG210" s="64"/>
      <c r="AH210" s="6">
        <v>1</v>
      </c>
      <c r="AI210">
        <f t="shared" si="88"/>
        <v>25</v>
      </c>
      <c r="AJ210">
        <f t="shared" si="89"/>
        <v>25</v>
      </c>
      <c r="AK210">
        <f t="shared" si="90"/>
        <v>0</v>
      </c>
      <c r="AL210">
        <f t="shared" si="91"/>
        <v>0</v>
      </c>
      <c r="AM210">
        <f t="shared" si="92"/>
        <v>0</v>
      </c>
      <c r="AN210">
        <f t="shared" si="93"/>
        <v>0</v>
      </c>
      <c r="AO210">
        <f t="shared" si="94"/>
        <v>0</v>
      </c>
      <c r="AP210">
        <f t="shared" si="95"/>
        <v>0</v>
      </c>
      <c r="AQ210">
        <f t="shared" si="96"/>
        <v>0</v>
      </c>
      <c r="AR210">
        <f t="shared" si="97"/>
        <v>0</v>
      </c>
      <c r="AS210">
        <f t="shared" si="98"/>
        <v>0</v>
      </c>
      <c r="AT210">
        <f t="shared" si="99"/>
        <v>0</v>
      </c>
      <c r="AU210">
        <f t="shared" si="100"/>
        <v>1</v>
      </c>
      <c r="AV210">
        <f t="shared" si="101"/>
        <v>1</v>
      </c>
      <c r="AW210">
        <f t="shared" si="102"/>
        <v>1</v>
      </c>
      <c r="AX210">
        <f t="shared" si="103"/>
        <v>1</v>
      </c>
      <c r="AY210">
        <f t="shared" si="104"/>
        <v>30000</v>
      </c>
      <c r="AZ210">
        <f t="shared" si="105"/>
        <v>30000</v>
      </c>
      <c r="BA210">
        <f t="shared" si="106"/>
        <v>0</v>
      </c>
      <c r="BB210">
        <f t="shared" si="107"/>
        <v>0</v>
      </c>
      <c r="BC210">
        <f t="shared" si="108"/>
        <v>0</v>
      </c>
      <c r="BD210">
        <f t="shared" si="109"/>
        <v>0</v>
      </c>
      <c r="BE210">
        <f t="shared" si="110"/>
        <v>0</v>
      </c>
      <c r="BF210">
        <f t="shared" si="111"/>
        <v>0</v>
      </c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</row>
    <row r="211" spans="1:256" s="201" customFormat="1" ht="14.25" x14ac:dyDescent="0.2">
      <c r="A211" s="10">
        <v>3067</v>
      </c>
      <c r="B211" s="11" t="s">
        <v>758</v>
      </c>
      <c r="C211" s="105" t="s">
        <v>759</v>
      </c>
      <c r="D211" s="11" t="s">
        <v>105</v>
      </c>
      <c r="E211" s="12">
        <v>11950</v>
      </c>
      <c r="F211" s="202">
        <v>16</v>
      </c>
      <c r="G211" s="11">
        <v>65000</v>
      </c>
      <c r="H211" s="116">
        <v>-40000</v>
      </c>
      <c r="I211" s="192"/>
      <c r="J211" s="204"/>
      <c r="K211" s="193"/>
      <c r="L211" s="193"/>
      <c r="M211" s="193"/>
      <c r="N211" s="203">
        <f t="shared" si="84"/>
        <v>65000</v>
      </c>
      <c r="O211" s="203">
        <f t="shared" si="85"/>
        <v>25000</v>
      </c>
      <c r="P211" s="203">
        <f t="shared" si="86"/>
        <v>25000</v>
      </c>
      <c r="Q211" s="214"/>
      <c r="R211" s="215"/>
      <c r="S211" s="218">
        <v>45642</v>
      </c>
      <c r="T211" s="205"/>
      <c r="U211" s="205"/>
      <c r="V211" s="216"/>
      <c r="W211" s="212"/>
      <c r="X211" s="10">
        <v>7</v>
      </c>
      <c r="Y211" s="10">
        <v>7</v>
      </c>
      <c r="Z211" s="213">
        <f t="shared" si="87"/>
        <v>65000</v>
      </c>
      <c r="AA211" s="62"/>
      <c r="AB211" s="62"/>
      <c r="AC211" s="62"/>
      <c r="AD211" s="62"/>
      <c r="AE211" s="62"/>
      <c r="AF211" s="63"/>
      <c r="AG211" s="64"/>
      <c r="AH211" s="6">
        <v>1</v>
      </c>
      <c r="AI211">
        <f t="shared" si="88"/>
        <v>25</v>
      </c>
      <c r="AJ211">
        <f t="shared" si="89"/>
        <v>25</v>
      </c>
      <c r="AK211">
        <f t="shared" si="90"/>
        <v>0</v>
      </c>
      <c r="AL211">
        <f t="shared" si="91"/>
        <v>0</v>
      </c>
      <c r="AM211">
        <f t="shared" si="92"/>
        <v>0</v>
      </c>
      <c r="AN211">
        <f t="shared" si="93"/>
        <v>0</v>
      </c>
      <c r="AO211">
        <f t="shared" si="94"/>
        <v>0</v>
      </c>
      <c r="AP211">
        <f t="shared" si="95"/>
        <v>0</v>
      </c>
      <c r="AQ211">
        <f t="shared" si="96"/>
        <v>0</v>
      </c>
      <c r="AR211">
        <f t="shared" si="97"/>
        <v>0</v>
      </c>
      <c r="AS211">
        <f t="shared" si="98"/>
        <v>0</v>
      </c>
      <c r="AT211">
        <f t="shared" si="99"/>
        <v>0</v>
      </c>
      <c r="AU211">
        <f t="shared" si="100"/>
        <v>1</v>
      </c>
      <c r="AV211">
        <f t="shared" si="101"/>
        <v>1</v>
      </c>
      <c r="AW211">
        <f t="shared" si="102"/>
        <v>1</v>
      </c>
      <c r="AX211">
        <f t="shared" si="103"/>
        <v>1</v>
      </c>
      <c r="AY211">
        <f t="shared" si="104"/>
        <v>25000</v>
      </c>
      <c r="AZ211">
        <f t="shared" si="105"/>
        <v>25000</v>
      </c>
      <c r="BA211">
        <f t="shared" si="106"/>
        <v>0</v>
      </c>
      <c r="BB211">
        <f t="shared" si="107"/>
        <v>0</v>
      </c>
      <c r="BC211">
        <f t="shared" si="108"/>
        <v>0</v>
      </c>
      <c r="BD211">
        <f t="shared" si="109"/>
        <v>0</v>
      </c>
      <c r="BE211">
        <f t="shared" si="110"/>
        <v>0</v>
      </c>
      <c r="BF211">
        <f t="shared" si="111"/>
        <v>0</v>
      </c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</row>
    <row r="212" spans="1:256" s="201" customFormat="1" ht="14.25" x14ac:dyDescent="0.2">
      <c r="A212" s="10">
        <v>3073</v>
      </c>
      <c r="B212" s="11" t="s">
        <v>760</v>
      </c>
      <c r="C212" s="105" t="s">
        <v>761</v>
      </c>
      <c r="D212" s="11" t="s">
        <v>173</v>
      </c>
      <c r="E212" s="12">
        <v>11460</v>
      </c>
      <c r="F212" s="202">
        <v>16</v>
      </c>
      <c r="G212" s="11">
        <v>60000</v>
      </c>
      <c r="H212" s="116">
        <v>-50000</v>
      </c>
      <c r="I212" s="192"/>
      <c r="J212" s="204"/>
      <c r="K212" s="193"/>
      <c r="L212" s="193"/>
      <c r="M212" s="193"/>
      <c r="N212" s="203">
        <f t="shared" si="84"/>
        <v>60000</v>
      </c>
      <c r="O212" s="203">
        <f t="shared" si="85"/>
        <v>10000</v>
      </c>
      <c r="P212" s="203">
        <f t="shared" si="86"/>
        <v>10000</v>
      </c>
      <c r="Q212" s="214"/>
      <c r="R212" s="215"/>
      <c r="S212" s="218">
        <v>45630</v>
      </c>
      <c r="T212" s="205"/>
      <c r="U212" s="205"/>
      <c r="V212" s="216"/>
      <c r="W212" s="212"/>
      <c r="X212" s="10">
        <v>7</v>
      </c>
      <c r="Y212" s="10">
        <v>7</v>
      </c>
      <c r="Z212" s="213">
        <f t="shared" si="87"/>
        <v>60000</v>
      </c>
      <c r="AA212" s="62"/>
      <c r="AB212" s="62"/>
      <c r="AC212" s="62"/>
      <c r="AD212" s="62"/>
      <c r="AE212" s="62"/>
      <c r="AF212" s="63"/>
      <c r="AG212" s="64"/>
      <c r="AH212" s="6">
        <v>1</v>
      </c>
      <c r="AI212">
        <f t="shared" si="88"/>
        <v>25</v>
      </c>
      <c r="AJ212">
        <f t="shared" si="89"/>
        <v>25</v>
      </c>
      <c r="AK212">
        <f t="shared" si="90"/>
        <v>0</v>
      </c>
      <c r="AL212">
        <f t="shared" si="91"/>
        <v>0</v>
      </c>
      <c r="AM212">
        <f t="shared" si="92"/>
        <v>0</v>
      </c>
      <c r="AN212">
        <f t="shared" si="93"/>
        <v>0</v>
      </c>
      <c r="AO212">
        <f t="shared" si="94"/>
        <v>0</v>
      </c>
      <c r="AP212">
        <f t="shared" si="95"/>
        <v>0</v>
      </c>
      <c r="AQ212">
        <f t="shared" si="96"/>
        <v>0</v>
      </c>
      <c r="AR212">
        <f t="shared" si="97"/>
        <v>0</v>
      </c>
      <c r="AS212">
        <f t="shared" si="98"/>
        <v>0</v>
      </c>
      <c r="AT212">
        <f t="shared" si="99"/>
        <v>0</v>
      </c>
      <c r="AU212">
        <f t="shared" si="100"/>
        <v>1</v>
      </c>
      <c r="AV212">
        <f t="shared" si="101"/>
        <v>1</v>
      </c>
      <c r="AW212">
        <f t="shared" si="102"/>
        <v>1</v>
      </c>
      <c r="AX212">
        <f t="shared" si="103"/>
        <v>1</v>
      </c>
      <c r="AY212">
        <f t="shared" si="104"/>
        <v>10000</v>
      </c>
      <c r="AZ212">
        <f t="shared" si="105"/>
        <v>10000</v>
      </c>
      <c r="BA212">
        <f t="shared" si="106"/>
        <v>0</v>
      </c>
      <c r="BB212">
        <f t="shared" si="107"/>
        <v>0</v>
      </c>
      <c r="BC212">
        <f t="shared" si="108"/>
        <v>0</v>
      </c>
      <c r="BD212">
        <f t="shared" si="109"/>
        <v>0</v>
      </c>
      <c r="BE212">
        <f t="shared" si="110"/>
        <v>0</v>
      </c>
      <c r="BF212">
        <f t="shared" si="111"/>
        <v>0</v>
      </c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</row>
    <row r="213" spans="1:256" s="201" customFormat="1" ht="14.25" x14ac:dyDescent="0.2">
      <c r="A213" s="10">
        <v>3074</v>
      </c>
      <c r="B213" s="11" t="s">
        <v>762</v>
      </c>
      <c r="C213" s="105" t="s">
        <v>763</v>
      </c>
      <c r="D213" s="11" t="s">
        <v>173</v>
      </c>
      <c r="E213" s="12">
        <v>11457</v>
      </c>
      <c r="F213" s="202">
        <v>16</v>
      </c>
      <c r="G213" s="11">
        <v>90000</v>
      </c>
      <c r="H213" s="116">
        <v>0</v>
      </c>
      <c r="I213" s="192"/>
      <c r="J213" s="204"/>
      <c r="K213" s="193"/>
      <c r="L213" s="193"/>
      <c r="M213" s="193"/>
      <c r="N213" s="203">
        <f t="shared" si="84"/>
        <v>90000</v>
      </c>
      <c r="O213" s="203">
        <f t="shared" si="85"/>
        <v>90000</v>
      </c>
      <c r="P213" s="203">
        <f t="shared" si="86"/>
        <v>90000</v>
      </c>
      <c r="Q213" s="214"/>
      <c r="R213" s="215"/>
      <c r="S213" s="218">
        <v>45642</v>
      </c>
      <c r="T213" s="205"/>
      <c r="U213" s="205"/>
      <c r="V213" s="216"/>
      <c r="W213" s="212"/>
      <c r="X213" s="10">
        <v>7</v>
      </c>
      <c r="Y213" s="10">
        <v>7</v>
      </c>
      <c r="Z213" s="213">
        <f t="shared" si="87"/>
        <v>90000</v>
      </c>
      <c r="AA213" s="62"/>
      <c r="AB213" s="62"/>
      <c r="AC213" s="62"/>
      <c r="AD213" s="62"/>
      <c r="AE213" s="62"/>
      <c r="AF213" s="63"/>
      <c r="AG213" s="64"/>
      <c r="AH213" s="6">
        <v>1</v>
      </c>
      <c r="AI213">
        <f t="shared" si="88"/>
        <v>25</v>
      </c>
      <c r="AJ213">
        <f t="shared" si="89"/>
        <v>25</v>
      </c>
      <c r="AK213">
        <f t="shared" si="90"/>
        <v>0</v>
      </c>
      <c r="AL213">
        <f t="shared" si="91"/>
        <v>0</v>
      </c>
      <c r="AM213">
        <f t="shared" si="92"/>
        <v>0</v>
      </c>
      <c r="AN213">
        <f t="shared" si="93"/>
        <v>0</v>
      </c>
      <c r="AO213">
        <f t="shared" si="94"/>
        <v>0</v>
      </c>
      <c r="AP213">
        <f t="shared" si="95"/>
        <v>0</v>
      </c>
      <c r="AQ213">
        <f t="shared" si="96"/>
        <v>0</v>
      </c>
      <c r="AR213">
        <f t="shared" si="97"/>
        <v>0</v>
      </c>
      <c r="AS213">
        <f t="shared" si="98"/>
        <v>0</v>
      </c>
      <c r="AT213">
        <f t="shared" si="99"/>
        <v>0</v>
      </c>
      <c r="AU213">
        <f t="shared" si="100"/>
        <v>1</v>
      </c>
      <c r="AV213">
        <f t="shared" si="101"/>
        <v>1</v>
      </c>
      <c r="AW213">
        <f t="shared" si="102"/>
        <v>1</v>
      </c>
      <c r="AX213">
        <f t="shared" si="103"/>
        <v>1</v>
      </c>
      <c r="AY213">
        <f t="shared" si="104"/>
        <v>90000</v>
      </c>
      <c r="AZ213">
        <f t="shared" si="105"/>
        <v>90000</v>
      </c>
      <c r="BA213">
        <f t="shared" si="106"/>
        <v>0</v>
      </c>
      <c r="BB213">
        <f t="shared" si="107"/>
        <v>0</v>
      </c>
      <c r="BC213">
        <f t="shared" si="108"/>
        <v>0</v>
      </c>
      <c r="BD213">
        <f t="shared" si="109"/>
        <v>0</v>
      </c>
      <c r="BE213">
        <f t="shared" si="110"/>
        <v>0</v>
      </c>
      <c r="BF213">
        <f t="shared" si="111"/>
        <v>0</v>
      </c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</row>
    <row r="214" spans="1:256" s="201" customFormat="1" ht="14.25" x14ac:dyDescent="0.2">
      <c r="A214" s="10">
        <v>3077</v>
      </c>
      <c r="B214" s="11" t="s">
        <v>764</v>
      </c>
      <c r="C214" s="105" t="s">
        <v>765</v>
      </c>
      <c r="D214" s="11" t="s">
        <v>105</v>
      </c>
      <c r="E214" s="12">
        <v>11932</v>
      </c>
      <c r="F214" s="202">
        <v>16</v>
      </c>
      <c r="G214" s="11">
        <v>60000</v>
      </c>
      <c r="H214" s="116">
        <v>0</v>
      </c>
      <c r="I214" s="192"/>
      <c r="J214" s="204"/>
      <c r="K214" s="193"/>
      <c r="L214" s="193"/>
      <c r="M214" s="193"/>
      <c r="N214" s="203">
        <f t="shared" si="84"/>
        <v>60000</v>
      </c>
      <c r="O214" s="203">
        <f t="shared" si="85"/>
        <v>60000</v>
      </c>
      <c r="P214" s="203">
        <f t="shared" si="86"/>
        <v>60000</v>
      </c>
      <c r="Q214" s="214"/>
      <c r="R214" s="215"/>
      <c r="S214" s="218">
        <v>45632</v>
      </c>
      <c r="T214" s="205"/>
      <c r="U214" s="205"/>
      <c r="V214" s="216"/>
      <c r="W214" s="212"/>
      <c r="X214" s="10">
        <v>7</v>
      </c>
      <c r="Y214" s="10">
        <v>7</v>
      </c>
      <c r="Z214" s="213">
        <f t="shared" si="87"/>
        <v>60000</v>
      </c>
      <c r="AA214" s="62"/>
      <c r="AB214" s="62"/>
      <c r="AC214" s="62"/>
      <c r="AD214" s="62"/>
      <c r="AE214" s="62"/>
      <c r="AF214" s="63"/>
      <c r="AG214" s="64"/>
      <c r="AH214" s="6">
        <v>1</v>
      </c>
      <c r="AI214">
        <f t="shared" si="88"/>
        <v>25</v>
      </c>
      <c r="AJ214">
        <f t="shared" si="89"/>
        <v>25</v>
      </c>
      <c r="AK214">
        <f t="shared" si="90"/>
        <v>0</v>
      </c>
      <c r="AL214">
        <f t="shared" si="91"/>
        <v>0</v>
      </c>
      <c r="AM214">
        <f t="shared" si="92"/>
        <v>0</v>
      </c>
      <c r="AN214">
        <f t="shared" si="93"/>
        <v>0</v>
      </c>
      <c r="AO214">
        <f t="shared" si="94"/>
        <v>0</v>
      </c>
      <c r="AP214">
        <f t="shared" si="95"/>
        <v>0</v>
      </c>
      <c r="AQ214">
        <f t="shared" si="96"/>
        <v>0</v>
      </c>
      <c r="AR214">
        <f t="shared" si="97"/>
        <v>0</v>
      </c>
      <c r="AS214">
        <f t="shared" si="98"/>
        <v>0</v>
      </c>
      <c r="AT214">
        <f t="shared" si="99"/>
        <v>0</v>
      </c>
      <c r="AU214">
        <f t="shared" si="100"/>
        <v>1</v>
      </c>
      <c r="AV214">
        <f t="shared" si="101"/>
        <v>1</v>
      </c>
      <c r="AW214">
        <f t="shared" si="102"/>
        <v>1</v>
      </c>
      <c r="AX214">
        <f t="shared" si="103"/>
        <v>1</v>
      </c>
      <c r="AY214">
        <f t="shared" si="104"/>
        <v>60000</v>
      </c>
      <c r="AZ214">
        <f t="shared" si="105"/>
        <v>60000</v>
      </c>
      <c r="BA214">
        <f t="shared" si="106"/>
        <v>0</v>
      </c>
      <c r="BB214">
        <f t="shared" si="107"/>
        <v>0</v>
      </c>
      <c r="BC214">
        <f t="shared" si="108"/>
        <v>0</v>
      </c>
      <c r="BD214">
        <f t="shared" si="109"/>
        <v>0</v>
      </c>
      <c r="BE214">
        <f t="shared" si="110"/>
        <v>0</v>
      </c>
      <c r="BF214">
        <f t="shared" si="111"/>
        <v>0</v>
      </c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</row>
    <row r="215" spans="1:256" s="201" customFormat="1" ht="14.25" x14ac:dyDescent="0.2">
      <c r="A215" s="10">
        <v>3080</v>
      </c>
      <c r="B215" s="11" t="s">
        <v>766</v>
      </c>
      <c r="C215" s="105" t="s">
        <v>767</v>
      </c>
      <c r="D215" s="11" t="s">
        <v>106</v>
      </c>
      <c r="E215" s="12">
        <v>11937</v>
      </c>
      <c r="F215" s="202">
        <v>16</v>
      </c>
      <c r="G215" s="11">
        <v>60000</v>
      </c>
      <c r="H215" s="116">
        <v>0</v>
      </c>
      <c r="I215" s="192"/>
      <c r="J215" s="204"/>
      <c r="K215" s="193"/>
      <c r="L215" s="193"/>
      <c r="M215" s="193"/>
      <c r="N215" s="203">
        <f t="shared" si="84"/>
        <v>60000</v>
      </c>
      <c r="O215" s="203">
        <f t="shared" si="85"/>
        <v>60000</v>
      </c>
      <c r="P215" s="203">
        <f t="shared" si="86"/>
        <v>60000</v>
      </c>
      <c r="Q215" s="214">
        <v>45659</v>
      </c>
      <c r="R215" s="215"/>
      <c r="S215" s="218">
        <v>45629</v>
      </c>
      <c r="T215" s="205"/>
      <c r="U215" s="205"/>
      <c r="V215" s="216" t="s">
        <v>1131</v>
      </c>
      <c r="W215" s="212"/>
      <c r="X215" s="10">
        <v>7</v>
      </c>
      <c r="Y215" s="10">
        <v>7</v>
      </c>
      <c r="Z215" s="213">
        <f t="shared" si="87"/>
        <v>60000</v>
      </c>
      <c r="AA215" s="62"/>
      <c r="AB215" s="62"/>
      <c r="AC215" s="62"/>
      <c r="AD215" s="62"/>
      <c r="AE215" s="62"/>
      <c r="AF215" s="63"/>
      <c r="AG215" s="64"/>
      <c r="AH215" s="6">
        <v>1</v>
      </c>
      <c r="AI215">
        <f t="shared" si="88"/>
        <v>25</v>
      </c>
      <c r="AJ215">
        <f t="shared" si="89"/>
        <v>25</v>
      </c>
      <c r="AK215">
        <f t="shared" si="90"/>
        <v>0</v>
      </c>
      <c r="AL215">
        <f t="shared" si="91"/>
        <v>0</v>
      </c>
      <c r="AM215">
        <f t="shared" si="92"/>
        <v>0</v>
      </c>
      <c r="AN215">
        <f t="shared" si="93"/>
        <v>0</v>
      </c>
      <c r="AO215">
        <f t="shared" si="94"/>
        <v>0</v>
      </c>
      <c r="AP215">
        <f t="shared" si="95"/>
        <v>0</v>
      </c>
      <c r="AQ215">
        <f t="shared" si="96"/>
        <v>0</v>
      </c>
      <c r="AR215">
        <f t="shared" si="97"/>
        <v>0</v>
      </c>
      <c r="AS215">
        <f t="shared" si="98"/>
        <v>0</v>
      </c>
      <c r="AT215">
        <f t="shared" si="99"/>
        <v>0</v>
      </c>
      <c r="AU215">
        <f t="shared" si="100"/>
        <v>1</v>
      </c>
      <c r="AV215">
        <f t="shared" si="101"/>
        <v>1</v>
      </c>
      <c r="AW215">
        <f t="shared" si="102"/>
        <v>1</v>
      </c>
      <c r="AX215">
        <f t="shared" si="103"/>
        <v>1</v>
      </c>
      <c r="AY215">
        <f t="shared" si="104"/>
        <v>60000</v>
      </c>
      <c r="AZ215">
        <f t="shared" si="105"/>
        <v>60000</v>
      </c>
      <c r="BA215">
        <f t="shared" si="106"/>
        <v>0</v>
      </c>
      <c r="BB215">
        <f t="shared" si="107"/>
        <v>0</v>
      </c>
      <c r="BC215">
        <f t="shared" si="108"/>
        <v>0</v>
      </c>
      <c r="BD215">
        <f t="shared" si="109"/>
        <v>0</v>
      </c>
      <c r="BE215">
        <f t="shared" si="110"/>
        <v>0</v>
      </c>
      <c r="BF215">
        <f t="shared" si="111"/>
        <v>0</v>
      </c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</row>
    <row r="216" spans="1:256" s="201" customFormat="1" ht="14.25" x14ac:dyDescent="0.2">
      <c r="A216" s="10">
        <v>3082</v>
      </c>
      <c r="B216" s="11" t="s">
        <v>768</v>
      </c>
      <c r="C216" s="105" t="s">
        <v>769</v>
      </c>
      <c r="D216" s="11" t="s">
        <v>105</v>
      </c>
      <c r="E216" s="12">
        <v>11935</v>
      </c>
      <c r="F216" s="202">
        <v>16</v>
      </c>
      <c r="G216" s="11">
        <v>60000</v>
      </c>
      <c r="H216" s="116">
        <v>0</v>
      </c>
      <c r="I216" s="192"/>
      <c r="J216" s="204"/>
      <c r="K216" s="193"/>
      <c r="L216" s="193"/>
      <c r="M216" s="193"/>
      <c r="N216" s="203">
        <f t="shared" si="84"/>
        <v>60000</v>
      </c>
      <c r="O216" s="203">
        <f t="shared" si="85"/>
        <v>60000</v>
      </c>
      <c r="P216" s="203">
        <f t="shared" si="86"/>
        <v>60000</v>
      </c>
      <c r="Q216" s="214"/>
      <c r="R216" s="215"/>
      <c r="S216" s="218">
        <v>45635</v>
      </c>
      <c r="T216" s="205"/>
      <c r="U216" s="205"/>
      <c r="V216" s="216"/>
      <c r="W216" s="212"/>
      <c r="X216" s="10">
        <v>7</v>
      </c>
      <c r="Y216" s="10">
        <v>7</v>
      </c>
      <c r="Z216" s="213">
        <f t="shared" si="87"/>
        <v>60000</v>
      </c>
      <c r="AA216" s="62"/>
      <c r="AB216" s="62"/>
      <c r="AC216" s="62"/>
      <c r="AD216" s="62"/>
      <c r="AE216" s="62"/>
      <c r="AF216" s="63"/>
      <c r="AG216" s="64"/>
      <c r="AH216" s="6">
        <v>1</v>
      </c>
      <c r="AI216">
        <f t="shared" si="88"/>
        <v>25</v>
      </c>
      <c r="AJ216">
        <f t="shared" si="89"/>
        <v>25</v>
      </c>
      <c r="AK216">
        <f t="shared" si="90"/>
        <v>0</v>
      </c>
      <c r="AL216">
        <f t="shared" si="91"/>
        <v>0</v>
      </c>
      <c r="AM216">
        <f t="shared" si="92"/>
        <v>0</v>
      </c>
      <c r="AN216">
        <f t="shared" si="93"/>
        <v>0</v>
      </c>
      <c r="AO216">
        <f t="shared" si="94"/>
        <v>0</v>
      </c>
      <c r="AP216">
        <f t="shared" si="95"/>
        <v>0</v>
      </c>
      <c r="AQ216">
        <f t="shared" si="96"/>
        <v>0</v>
      </c>
      <c r="AR216">
        <f t="shared" si="97"/>
        <v>0</v>
      </c>
      <c r="AS216">
        <f t="shared" si="98"/>
        <v>0</v>
      </c>
      <c r="AT216">
        <f t="shared" si="99"/>
        <v>0</v>
      </c>
      <c r="AU216">
        <f t="shared" si="100"/>
        <v>1</v>
      </c>
      <c r="AV216">
        <f t="shared" si="101"/>
        <v>1</v>
      </c>
      <c r="AW216">
        <f t="shared" si="102"/>
        <v>1</v>
      </c>
      <c r="AX216">
        <f t="shared" si="103"/>
        <v>1</v>
      </c>
      <c r="AY216">
        <f t="shared" si="104"/>
        <v>60000</v>
      </c>
      <c r="AZ216">
        <f t="shared" si="105"/>
        <v>60000</v>
      </c>
      <c r="BA216">
        <f t="shared" si="106"/>
        <v>0</v>
      </c>
      <c r="BB216">
        <f t="shared" si="107"/>
        <v>0</v>
      </c>
      <c r="BC216">
        <f t="shared" si="108"/>
        <v>0</v>
      </c>
      <c r="BD216">
        <f t="shared" si="109"/>
        <v>0</v>
      </c>
      <c r="BE216">
        <f t="shared" si="110"/>
        <v>0</v>
      </c>
      <c r="BF216">
        <f t="shared" si="111"/>
        <v>0</v>
      </c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</row>
    <row r="217" spans="1:256" s="201" customFormat="1" ht="14.25" x14ac:dyDescent="0.2">
      <c r="A217" s="10">
        <v>3083</v>
      </c>
      <c r="B217" s="11" t="s">
        <v>304</v>
      </c>
      <c r="C217" s="105" t="s">
        <v>305</v>
      </c>
      <c r="D217" s="11" t="s">
        <v>173</v>
      </c>
      <c r="E217" s="12">
        <v>11991</v>
      </c>
      <c r="F217" s="202">
        <v>16</v>
      </c>
      <c r="G217" s="11">
        <v>30000</v>
      </c>
      <c r="H217" s="116">
        <v>0</v>
      </c>
      <c r="I217" s="192"/>
      <c r="J217" s="204"/>
      <c r="K217" s="193"/>
      <c r="L217" s="193"/>
      <c r="M217" s="193"/>
      <c r="N217" s="203">
        <f t="shared" si="84"/>
        <v>30000</v>
      </c>
      <c r="O217" s="203">
        <f t="shared" si="85"/>
        <v>30000</v>
      </c>
      <c r="P217" s="203">
        <f t="shared" si="86"/>
        <v>30000</v>
      </c>
      <c r="Q217" s="214"/>
      <c r="R217" s="215"/>
      <c r="S217" s="218">
        <v>45642</v>
      </c>
      <c r="T217" s="205"/>
      <c r="U217" s="205"/>
      <c r="V217" s="216"/>
      <c r="W217" s="212"/>
      <c r="X217" s="10">
        <v>7</v>
      </c>
      <c r="Y217" s="10">
        <v>7</v>
      </c>
      <c r="Z217" s="213">
        <f t="shared" si="87"/>
        <v>30000</v>
      </c>
      <c r="AA217" s="62"/>
      <c r="AB217" s="62"/>
      <c r="AC217" s="62"/>
      <c r="AD217" s="62"/>
      <c r="AE217" s="62"/>
      <c r="AF217" s="63"/>
      <c r="AG217" s="64"/>
      <c r="AH217" s="6">
        <v>1</v>
      </c>
      <c r="AI217">
        <f t="shared" si="88"/>
        <v>25</v>
      </c>
      <c r="AJ217">
        <f t="shared" si="89"/>
        <v>25</v>
      </c>
      <c r="AK217">
        <f t="shared" si="90"/>
        <v>0</v>
      </c>
      <c r="AL217">
        <f t="shared" si="91"/>
        <v>0</v>
      </c>
      <c r="AM217">
        <f t="shared" si="92"/>
        <v>0</v>
      </c>
      <c r="AN217">
        <f t="shared" si="93"/>
        <v>0</v>
      </c>
      <c r="AO217">
        <f t="shared" si="94"/>
        <v>0</v>
      </c>
      <c r="AP217">
        <f t="shared" si="95"/>
        <v>0</v>
      </c>
      <c r="AQ217">
        <f t="shared" si="96"/>
        <v>0</v>
      </c>
      <c r="AR217">
        <f t="shared" si="97"/>
        <v>0</v>
      </c>
      <c r="AS217">
        <f t="shared" si="98"/>
        <v>0</v>
      </c>
      <c r="AT217">
        <f t="shared" si="99"/>
        <v>0</v>
      </c>
      <c r="AU217">
        <f t="shared" si="100"/>
        <v>1</v>
      </c>
      <c r="AV217">
        <f t="shared" si="101"/>
        <v>1</v>
      </c>
      <c r="AW217">
        <f t="shared" si="102"/>
        <v>1</v>
      </c>
      <c r="AX217">
        <f t="shared" si="103"/>
        <v>1</v>
      </c>
      <c r="AY217">
        <f t="shared" si="104"/>
        <v>30000</v>
      </c>
      <c r="AZ217">
        <f t="shared" si="105"/>
        <v>30000</v>
      </c>
      <c r="BA217">
        <f t="shared" si="106"/>
        <v>0</v>
      </c>
      <c r="BB217">
        <f t="shared" si="107"/>
        <v>0</v>
      </c>
      <c r="BC217">
        <f t="shared" si="108"/>
        <v>0</v>
      </c>
      <c r="BD217">
        <f t="shared" si="109"/>
        <v>0</v>
      </c>
      <c r="BE217">
        <f t="shared" si="110"/>
        <v>0</v>
      </c>
      <c r="BF217">
        <f t="shared" si="111"/>
        <v>0</v>
      </c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</row>
    <row r="218" spans="1:256" s="201" customFormat="1" ht="14.25" x14ac:dyDescent="0.2">
      <c r="A218" s="10">
        <v>3084</v>
      </c>
      <c r="B218" s="11" t="s">
        <v>770</v>
      </c>
      <c r="C218" s="105" t="s">
        <v>771</v>
      </c>
      <c r="D218" s="11" t="s">
        <v>259</v>
      </c>
      <c r="E218" s="12">
        <v>11992</v>
      </c>
      <c r="F218" s="202">
        <v>16</v>
      </c>
      <c r="G218" s="11">
        <v>60000</v>
      </c>
      <c r="H218" s="116">
        <v>0</v>
      </c>
      <c r="I218" s="192"/>
      <c r="J218" s="204"/>
      <c r="K218" s="193"/>
      <c r="L218" s="193"/>
      <c r="M218" s="193"/>
      <c r="N218" s="203">
        <f t="shared" si="84"/>
        <v>60000</v>
      </c>
      <c r="O218" s="203">
        <f t="shared" si="85"/>
        <v>60000</v>
      </c>
      <c r="P218" s="203">
        <f t="shared" si="86"/>
        <v>60000</v>
      </c>
      <c r="Q218" s="214"/>
      <c r="R218" s="215"/>
      <c r="S218" s="218">
        <v>45636</v>
      </c>
      <c r="T218" s="205"/>
      <c r="U218" s="205"/>
      <c r="V218" s="216"/>
      <c r="W218" s="212"/>
      <c r="X218" s="10">
        <v>7</v>
      </c>
      <c r="Y218" s="10">
        <v>7</v>
      </c>
      <c r="Z218" s="213">
        <f t="shared" si="87"/>
        <v>60000</v>
      </c>
      <c r="AA218" s="62"/>
      <c r="AB218" s="62"/>
      <c r="AC218" s="62"/>
      <c r="AD218" s="62"/>
      <c r="AE218" s="62"/>
      <c r="AF218" s="63"/>
      <c r="AG218" s="64"/>
      <c r="AH218" s="6">
        <v>1</v>
      </c>
      <c r="AI218">
        <f t="shared" si="88"/>
        <v>25</v>
      </c>
      <c r="AJ218">
        <f t="shared" si="89"/>
        <v>25</v>
      </c>
      <c r="AK218">
        <f t="shared" si="90"/>
        <v>0</v>
      </c>
      <c r="AL218">
        <f t="shared" si="91"/>
        <v>0</v>
      </c>
      <c r="AM218">
        <f t="shared" si="92"/>
        <v>0</v>
      </c>
      <c r="AN218">
        <f t="shared" si="93"/>
        <v>0</v>
      </c>
      <c r="AO218">
        <f t="shared" si="94"/>
        <v>0</v>
      </c>
      <c r="AP218">
        <f t="shared" si="95"/>
        <v>0</v>
      </c>
      <c r="AQ218">
        <f t="shared" si="96"/>
        <v>0</v>
      </c>
      <c r="AR218">
        <f t="shared" si="97"/>
        <v>0</v>
      </c>
      <c r="AS218">
        <f t="shared" si="98"/>
        <v>0</v>
      </c>
      <c r="AT218">
        <f t="shared" si="99"/>
        <v>0</v>
      </c>
      <c r="AU218">
        <f t="shared" si="100"/>
        <v>1</v>
      </c>
      <c r="AV218">
        <f t="shared" si="101"/>
        <v>1</v>
      </c>
      <c r="AW218">
        <f t="shared" si="102"/>
        <v>1</v>
      </c>
      <c r="AX218">
        <f t="shared" si="103"/>
        <v>1</v>
      </c>
      <c r="AY218">
        <f t="shared" si="104"/>
        <v>60000</v>
      </c>
      <c r="AZ218">
        <f t="shared" si="105"/>
        <v>60000</v>
      </c>
      <c r="BA218">
        <f t="shared" si="106"/>
        <v>0</v>
      </c>
      <c r="BB218">
        <f t="shared" si="107"/>
        <v>0</v>
      </c>
      <c r="BC218">
        <f t="shared" si="108"/>
        <v>0</v>
      </c>
      <c r="BD218">
        <f t="shared" si="109"/>
        <v>0</v>
      </c>
      <c r="BE218">
        <f t="shared" si="110"/>
        <v>0</v>
      </c>
      <c r="BF218">
        <f t="shared" si="111"/>
        <v>0</v>
      </c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</row>
    <row r="219" spans="1:256" s="201" customFormat="1" ht="14.25" x14ac:dyDescent="0.2">
      <c r="A219" s="10">
        <v>3085</v>
      </c>
      <c r="B219" s="11" t="s">
        <v>772</v>
      </c>
      <c r="C219" s="105" t="s">
        <v>773</v>
      </c>
      <c r="D219" s="11" t="s">
        <v>173</v>
      </c>
      <c r="E219" s="12">
        <v>11993</v>
      </c>
      <c r="F219" s="202">
        <v>16</v>
      </c>
      <c r="G219" s="11">
        <v>60000</v>
      </c>
      <c r="H219" s="116">
        <v>-60000</v>
      </c>
      <c r="I219" s="192"/>
      <c r="J219" s="204"/>
      <c r="K219" s="193"/>
      <c r="L219" s="193"/>
      <c r="M219" s="193"/>
      <c r="N219" s="203">
        <f t="shared" si="84"/>
        <v>60000</v>
      </c>
      <c r="O219" s="203">
        <f t="shared" si="85"/>
        <v>0</v>
      </c>
      <c r="P219" s="203">
        <f t="shared" si="86"/>
        <v>0</v>
      </c>
      <c r="Q219" s="214">
        <v>45664</v>
      </c>
      <c r="R219" s="215"/>
      <c r="S219" s="218">
        <v>45633</v>
      </c>
      <c r="T219" s="205"/>
      <c r="U219" s="205"/>
      <c r="V219" s="216" t="s">
        <v>1131</v>
      </c>
      <c r="W219" s="212"/>
      <c r="X219" s="10">
        <v>7</v>
      </c>
      <c r="Y219" s="10">
        <v>7</v>
      </c>
      <c r="Z219" s="213">
        <f t="shared" si="87"/>
        <v>60000</v>
      </c>
      <c r="AA219" s="62"/>
      <c r="AB219" s="62"/>
      <c r="AC219" s="62"/>
      <c r="AD219" s="62"/>
      <c r="AE219" s="62"/>
      <c r="AF219" s="63"/>
      <c r="AG219" s="64"/>
      <c r="AH219" s="6">
        <v>1</v>
      </c>
      <c r="AI219">
        <f t="shared" si="88"/>
        <v>25</v>
      </c>
      <c r="AJ219">
        <f t="shared" si="89"/>
        <v>15</v>
      </c>
      <c r="AK219">
        <f t="shared" si="90"/>
        <v>0</v>
      </c>
      <c r="AL219">
        <f t="shared" si="91"/>
        <v>0</v>
      </c>
      <c r="AM219">
        <f t="shared" si="92"/>
        <v>0</v>
      </c>
      <c r="AN219">
        <f t="shared" si="93"/>
        <v>0</v>
      </c>
      <c r="AO219">
        <f t="shared" si="94"/>
        <v>0</v>
      </c>
      <c r="AP219">
        <f t="shared" si="95"/>
        <v>0</v>
      </c>
      <c r="AQ219">
        <f t="shared" si="96"/>
        <v>0</v>
      </c>
      <c r="AR219">
        <f t="shared" si="97"/>
        <v>0</v>
      </c>
      <c r="AS219">
        <f t="shared" si="98"/>
        <v>0</v>
      </c>
      <c r="AT219">
        <f t="shared" si="99"/>
        <v>0</v>
      </c>
      <c r="AU219">
        <f t="shared" si="100"/>
        <v>0</v>
      </c>
      <c r="AV219">
        <f t="shared" si="101"/>
        <v>0</v>
      </c>
      <c r="AW219">
        <f t="shared" si="102"/>
        <v>0</v>
      </c>
      <c r="AX219">
        <f t="shared" si="103"/>
        <v>0</v>
      </c>
      <c r="AY219">
        <f t="shared" si="104"/>
        <v>0</v>
      </c>
      <c r="AZ219">
        <f t="shared" si="105"/>
        <v>0</v>
      </c>
      <c r="BA219">
        <f t="shared" si="106"/>
        <v>0</v>
      </c>
      <c r="BB219">
        <f t="shared" si="107"/>
        <v>0</v>
      </c>
      <c r="BC219">
        <f t="shared" si="108"/>
        <v>0</v>
      </c>
      <c r="BD219">
        <f t="shared" si="109"/>
        <v>0</v>
      </c>
      <c r="BE219">
        <f t="shared" si="110"/>
        <v>0</v>
      </c>
      <c r="BF219">
        <f t="shared" si="111"/>
        <v>0</v>
      </c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</row>
    <row r="220" spans="1:256" s="201" customFormat="1" ht="14.25" x14ac:dyDescent="0.2">
      <c r="A220" s="10">
        <v>3088</v>
      </c>
      <c r="B220" s="11" t="s">
        <v>267</v>
      </c>
      <c r="C220" s="105" t="s">
        <v>268</v>
      </c>
      <c r="D220" s="11" t="s">
        <v>106</v>
      </c>
      <c r="E220" s="12">
        <v>20011</v>
      </c>
      <c r="F220" s="202">
        <v>16</v>
      </c>
      <c r="G220" s="11">
        <v>50000</v>
      </c>
      <c r="H220" s="116">
        <v>0</v>
      </c>
      <c r="I220" s="192"/>
      <c r="J220" s="204"/>
      <c r="K220" s="193"/>
      <c r="L220" s="193"/>
      <c r="M220" s="193"/>
      <c r="N220" s="203">
        <f t="shared" si="84"/>
        <v>50000</v>
      </c>
      <c r="O220" s="203">
        <f t="shared" si="85"/>
        <v>50000</v>
      </c>
      <c r="P220" s="203">
        <f t="shared" si="86"/>
        <v>50000</v>
      </c>
      <c r="Q220" s="214">
        <v>45664</v>
      </c>
      <c r="R220" s="215"/>
      <c r="S220" s="218">
        <v>45632</v>
      </c>
      <c r="T220" s="205"/>
      <c r="U220" s="205"/>
      <c r="V220" s="216" t="s">
        <v>1131</v>
      </c>
      <c r="W220" s="212"/>
      <c r="X220" s="10">
        <v>7</v>
      </c>
      <c r="Y220" s="10">
        <v>7</v>
      </c>
      <c r="Z220" s="213">
        <f t="shared" si="87"/>
        <v>50000</v>
      </c>
      <c r="AA220" s="62"/>
      <c r="AB220" s="62"/>
      <c r="AC220" s="62"/>
      <c r="AD220" s="62"/>
      <c r="AE220" s="62"/>
      <c r="AF220" s="63"/>
      <c r="AG220" s="64"/>
      <c r="AH220" s="6">
        <v>1</v>
      </c>
      <c r="AI220">
        <f t="shared" si="88"/>
        <v>25</v>
      </c>
      <c r="AJ220">
        <f t="shared" si="89"/>
        <v>25</v>
      </c>
      <c r="AK220">
        <f t="shared" si="90"/>
        <v>0</v>
      </c>
      <c r="AL220">
        <f t="shared" si="91"/>
        <v>0</v>
      </c>
      <c r="AM220">
        <f t="shared" si="92"/>
        <v>0</v>
      </c>
      <c r="AN220">
        <f t="shared" si="93"/>
        <v>0</v>
      </c>
      <c r="AO220">
        <f t="shared" si="94"/>
        <v>0</v>
      </c>
      <c r="AP220">
        <f t="shared" si="95"/>
        <v>0</v>
      </c>
      <c r="AQ220">
        <f t="shared" si="96"/>
        <v>0</v>
      </c>
      <c r="AR220">
        <f t="shared" si="97"/>
        <v>0</v>
      </c>
      <c r="AS220">
        <f t="shared" si="98"/>
        <v>0</v>
      </c>
      <c r="AT220">
        <f t="shared" si="99"/>
        <v>0</v>
      </c>
      <c r="AU220">
        <f t="shared" si="100"/>
        <v>1</v>
      </c>
      <c r="AV220">
        <f t="shared" si="101"/>
        <v>1</v>
      </c>
      <c r="AW220">
        <f t="shared" si="102"/>
        <v>1</v>
      </c>
      <c r="AX220">
        <f t="shared" si="103"/>
        <v>1</v>
      </c>
      <c r="AY220">
        <f t="shared" si="104"/>
        <v>50000</v>
      </c>
      <c r="AZ220">
        <f t="shared" si="105"/>
        <v>50000</v>
      </c>
      <c r="BA220">
        <f t="shared" si="106"/>
        <v>0</v>
      </c>
      <c r="BB220">
        <f t="shared" si="107"/>
        <v>0</v>
      </c>
      <c r="BC220">
        <f t="shared" si="108"/>
        <v>0</v>
      </c>
      <c r="BD220">
        <f t="shared" si="109"/>
        <v>0</v>
      </c>
      <c r="BE220">
        <f t="shared" si="110"/>
        <v>0</v>
      </c>
      <c r="BF220">
        <f t="shared" si="111"/>
        <v>0</v>
      </c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</row>
    <row r="221" spans="1:256" s="201" customFormat="1" ht="14.25" x14ac:dyDescent="0.2">
      <c r="A221" s="10">
        <v>3090</v>
      </c>
      <c r="B221" s="11" t="s">
        <v>774</v>
      </c>
      <c r="C221" s="105" t="s">
        <v>775</v>
      </c>
      <c r="D221" s="11" t="s">
        <v>106</v>
      </c>
      <c r="E221" s="12">
        <v>10140</v>
      </c>
      <c r="F221" s="202">
        <v>16</v>
      </c>
      <c r="G221" s="11">
        <v>60000</v>
      </c>
      <c r="H221" s="116">
        <v>0</v>
      </c>
      <c r="I221" s="192"/>
      <c r="J221" s="204"/>
      <c r="K221" s="193"/>
      <c r="L221" s="193"/>
      <c r="M221" s="193"/>
      <c r="N221" s="203">
        <f t="shared" si="84"/>
        <v>60000</v>
      </c>
      <c r="O221" s="203">
        <f t="shared" si="85"/>
        <v>60000</v>
      </c>
      <c r="P221" s="203">
        <f t="shared" si="86"/>
        <v>60000</v>
      </c>
      <c r="Q221" s="214">
        <v>45661</v>
      </c>
      <c r="R221" s="215"/>
      <c r="S221" s="218">
        <v>45631</v>
      </c>
      <c r="T221" s="205"/>
      <c r="U221" s="205"/>
      <c r="V221" s="216" t="s">
        <v>1131</v>
      </c>
      <c r="W221" s="212"/>
      <c r="X221" s="10">
        <v>7</v>
      </c>
      <c r="Y221" s="10">
        <v>7</v>
      </c>
      <c r="Z221" s="213">
        <f t="shared" si="87"/>
        <v>60000</v>
      </c>
      <c r="AA221" s="62"/>
      <c r="AB221" s="62"/>
      <c r="AC221" s="62"/>
      <c r="AD221" s="62"/>
      <c r="AE221" s="62"/>
      <c r="AF221" s="63"/>
      <c r="AG221" s="64"/>
      <c r="AH221" s="6">
        <v>1</v>
      </c>
      <c r="AI221">
        <f t="shared" si="88"/>
        <v>25</v>
      </c>
      <c r="AJ221">
        <f t="shared" si="89"/>
        <v>25</v>
      </c>
      <c r="AK221">
        <f t="shared" si="90"/>
        <v>0</v>
      </c>
      <c r="AL221">
        <f t="shared" si="91"/>
        <v>0</v>
      </c>
      <c r="AM221">
        <f t="shared" si="92"/>
        <v>0</v>
      </c>
      <c r="AN221">
        <f t="shared" si="93"/>
        <v>0</v>
      </c>
      <c r="AO221">
        <f t="shared" si="94"/>
        <v>0</v>
      </c>
      <c r="AP221">
        <f t="shared" si="95"/>
        <v>0</v>
      </c>
      <c r="AQ221">
        <f t="shared" si="96"/>
        <v>0</v>
      </c>
      <c r="AR221">
        <f t="shared" si="97"/>
        <v>0</v>
      </c>
      <c r="AS221">
        <f t="shared" si="98"/>
        <v>0</v>
      </c>
      <c r="AT221">
        <f t="shared" si="99"/>
        <v>0</v>
      </c>
      <c r="AU221">
        <f t="shared" si="100"/>
        <v>1</v>
      </c>
      <c r="AV221">
        <f t="shared" si="101"/>
        <v>1</v>
      </c>
      <c r="AW221">
        <f t="shared" si="102"/>
        <v>1</v>
      </c>
      <c r="AX221">
        <f t="shared" si="103"/>
        <v>1</v>
      </c>
      <c r="AY221">
        <f t="shared" si="104"/>
        <v>60000</v>
      </c>
      <c r="AZ221">
        <f t="shared" si="105"/>
        <v>60000</v>
      </c>
      <c r="BA221">
        <f t="shared" si="106"/>
        <v>0</v>
      </c>
      <c r="BB221">
        <f t="shared" si="107"/>
        <v>0</v>
      </c>
      <c r="BC221">
        <f t="shared" si="108"/>
        <v>0</v>
      </c>
      <c r="BD221">
        <f t="shared" si="109"/>
        <v>0</v>
      </c>
      <c r="BE221">
        <f t="shared" si="110"/>
        <v>0</v>
      </c>
      <c r="BF221">
        <f t="shared" si="111"/>
        <v>0</v>
      </c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</row>
    <row r="222" spans="1:256" s="201" customFormat="1" ht="14.25" x14ac:dyDescent="0.2">
      <c r="A222" s="10">
        <v>3091</v>
      </c>
      <c r="B222" s="11" t="s">
        <v>269</v>
      </c>
      <c r="C222" s="105" t="s">
        <v>270</v>
      </c>
      <c r="D222" s="11" t="s">
        <v>173</v>
      </c>
      <c r="E222" s="12">
        <v>11929</v>
      </c>
      <c r="F222" s="202">
        <v>16</v>
      </c>
      <c r="G222" s="11">
        <v>30000</v>
      </c>
      <c r="H222" s="116">
        <v>0</v>
      </c>
      <c r="I222" s="192"/>
      <c r="J222" s="204"/>
      <c r="K222" s="193"/>
      <c r="L222" s="193"/>
      <c r="M222" s="193"/>
      <c r="N222" s="203">
        <f t="shared" si="84"/>
        <v>30000</v>
      </c>
      <c r="O222" s="203">
        <f t="shared" si="85"/>
        <v>30000</v>
      </c>
      <c r="P222" s="203">
        <f t="shared" si="86"/>
        <v>30000</v>
      </c>
      <c r="Q222" s="214"/>
      <c r="R222" s="215"/>
      <c r="S222" s="218">
        <v>45642</v>
      </c>
      <c r="T222" s="205"/>
      <c r="U222" s="205"/>
      <c r="V222" s="216"/>
      <c r="W222" s="212"/>
      <c r="X222" s="10">
        <v>7</v>
      </c>
      <c r="Y222" s="10">
        <v>7</v>
      </c>
      <c r="Z222" s="213">
        <f t="shared" si="87"/>
        <v>30000</v>
      </c>
      <c r="AA222" s="62"/>
      <c r="AB222" s="62"/>
      <c r="AC222" s="62"/>
      <c r="AD222" s="62"/>
      <c r="AE222" s="62"/>
      <c r="AF222" s="63"/>
      <c r="AG222" s="64"/>
      <c r="AH222" s="6">
        <v>1</v>
      </c>
      <c r="AI222">
        <f t="shared" si="88"/>
        <v>25</v>
      </c>
      <c r="AJ222">
        <f t="shared" si="89"/>
        <v>25</v>
      </c>
      <c r="AK222">
        <f t="shared" si="90"/>
        <v>0</v>
      </c>
      <c r="AL222">
        <f t="shared" si="91"/>
        <v>0</v>
      </c>
      <c r="AM222">
        <f t="shared" si="92"/>
        <v>0</v>
      </c>
      <c r="AN222">
        <f t="shared" si="93"/>
        <v>0</v>
      </c>
      <c r="AO222">
        <f t="shared" si="94"/>
        <v>0</v>
      </c>
      <c r="AP222">
        <f t="shared" si="95"/>
        <v>0</v>
      </c>
      <c r="AQ222">
        <f t="shared" si="96"/>
        <v>0</v>
      </c>
      <c r="AR222">
        <f t="shared" si="97"/>
        <v>0</v>
      </c>
      <c r="AS222">
        <f t="shared" si="98"/>
        <v>0</v>
      </c>
      <c r="AT222">
        <f t="shared" si="99"/>
        <v>0</v>
      </c>
      <c r="AU222">
        <f t="shared" si="100"/>
        <v>1</v>
      </c>
      <c r="AV222">
        <f t="shared" si="101"/>
        <v>1</v>
      </c>
      <c r="AW222">
        <f t="shared" si="102"/>
        <v>1</v>
      </c>
      <c r="AX222">
        <f t="shared" si="103"/>
        <v>1</v>
      </c>
      <c r="AY222">
        <f t="shared" si="104"/>
        <v>30000</v>
      </c>
      <c r="AZ222">
        <f t="shared" si="105"/>
        <v>30000</v>
      </c>
      <c r="BA222">
        <f t="shared" si="106"/>
        <v>0</v>
      </c>
      <c r="BB222">
        <f t="shared" si="107"/>
        <v>0</v>
      </c>
      <c r="BC222">
        <f t="shared" si="108"/>
        <v>0</v>
      </c>
      <c r="BD222">
        <f t="shared" si="109"/>
        <v>0</v>
      </c>
      <c r="BE222">
        <f t="shared" si="110"/>
        <v>0</v>
      </c>
      <c r="BF222">
        <f t="shared" si="111"/>
        <v>0</v>
      </c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</row>
    <row r="223" spans="1:256" s="201" customFormat="1" ht="14.25" x14ac:dyDescent="0.2">
      <c r="A223" s="10">
        <v>3093</v>
      </c>
      <c r="B223" s="11" t="s">
        <v>312</v>
      </c>
      <c r="C223" s="105" t="s">
        <v>313</v>
      </c>
      <c r="D223" s="11" t="s">
        <v>173</v>
      </c>
      <c r="E223" s="12">
        <v>11934</v>
      </c>
      <c r="F223" s="202">
        <v>16</v>
      </c>
      <c r="G223" s="11">
        <v>20000</v>
      </c>
      <c r="H223" s="116">
        <v>0</v>
      </c>
      <c r="I223" s="192"/>
      <c r="J223" s="204"/>
      <c r="K223" s="193"/>
      <c r="L223" s="193"/>
      <c r="M223" s="193"/>
      <c r="N223" s="203">
        <f t="shared" si="84"/>
        <v>20000</v>
      </c>
      <c r="O223" s="203">
        <f t="shared" si="85"/>
        <v>20000</v>
      </c>
      <c r="P223" s="203">
        <f t="shared" si="86"/>
        <v>20000</v>
      </c>
      <c r="Q223" s="214"/>
      <c r="R223" s="215"/>
      <c r="S223" s="218">
        <v>45629</v>
      </c>
      <c r="T223" s="205"/>
      <c r="U223" s="205"/>
      <c r="V223" s="216"/>
      <c r="W223" s="212"/>
      <c r="X223" s="10">
        <v>7</v>
      </c>
      <c r="Y223" s="10">
        <v>7</v>
      </c>
      <c r="Z223" s="213">
        <f t="shared" si="87"/>
        <v>20000</v>
      </c>
      <c r="AA223" s="62"/>
      <c r="AB223" s="62"/>
      <c r="AC223" s="62"/>
      <c r="AD223" s="62"/>
      <c r="AE223" s="62"/>
      <c r="AF223" s="63"/>
      <c r="AG223" s="64"/>
      <c r="AH223" s="6">
        <v>1</v>
      </c>
      <c r="AI223">
        <f t="shared" si="88"/>
        <v>25</v>
      </c>
      <c r="AJ223">
        <f t="shared" si="89"/>
        <v>25</v>
      </c>
      <c r="AK223">
        <f t="shared" si="90"/>
        <v>0</v>
      </c>
      <c r="AL223">
        <f t="shared" si="91"/>
        <v>0</v>
      </c>
      <c r="AM223">
        <f t="shared" si="92"/>
        <v>0</v>
      </c>
      <c r="AN223">
        <f t="shared" si="93"/>
        <v>0</v>
      </c>
      <c r="AO223">
        <f t="shared" si="94"/>
        <v>0</v>
      </c>
      <c r="AP223">
        <f t="shared" si="95"/>
        <v>0</v>
      </c>
      <c r="AQ223">
        <f t="shared" si="96"/>
        <v>0</v>
      </c>
      <c r="AR223">
        <f t="shared" si="97"/>
        <v>0</v>
      </c>
      <c r="AS223">
        <f t="shared" si="98"/>
        <v>0</v>
      </c>
      <c r="AT223">
        <f t="shared" si="99"/>
        <v>0</v>
      </c>
      <c r="AU223">
        <f t="shared" si="100"/>
        <v>1</v>
      </c>
      <c r="AV223">
        <f t="shared" si="101"/>
        <v>1</v>
      </c>
      <c r="AW223">
        <f t="shared" si="102"/>
        <v>1</v>
      </c>
      <c r="AX223">
        <f t="shared" si="103"/>
        <v>1</v>
      </c>
      <c r="AY223">
        <f t="shared" si="104"/>
        <v>20000</v>
      </c>
      <c r="AZ223">
        <f t="shared" si="105"/>
        <v>20000</v>
      </c>
      <c r="BA223">
        <f t="shared" si="106"/>
        <v>0</v>
      </c>
      <c r="BB223">
        <f t="shared" si="107"/>
        <v>0</v>
      </c>
      <c r="BC223">
        <f t="shared" si="108"/>
        <v>0</v>
      </c>
      <c r="BD223">
        <f t="shared" si="109"/>
        <v>0</v>
      </c>
      <c r="BE223">
        <f t="shared" si="110"/>
        <v>0</v>
      </c>
      <c r="BF223">
        <f t="shared" si="111"/>
        <v>0</v>
      </c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</row>
    <row r="224" spans="1:256" s="201" customFormat="1" ht="14.25" x14ac:dyDescent="0.2">
      <c r="A224" s="10">
        <v>3100</v>
      </c>
      <c r="B224" s="11" t="s">
        <v>255</v>
      </c>
      <c r="C224" s="105" t="s">
        <v>256</v>
      </c>
      <c r="D224" s="11" t="s">
        <v>173</v>
      </c>
      <c r="E224" s="12">
        <v>20007</v>
      </c>
      <c r="F224" s="202">
        <v>16</v>
      </c>
      <c r="G224" s="11">
        <v>30000</v>
      </c>
      <c r="H224" s="116">
        <v>-10000</v>
      </c>
      <c r="I224" s="192"/>
      <c r="J224" s="204"/>
      <c r="K224" s="193"/>
      <c r="L224" s="193"/>
      <c r="M224" s="193"/>
      <c r="N224" s="203">
        <f t="shared" si="84"/>
        <v>30000</v>
      </c>
      <c r="O224" s="203">
        <f t="shared" si="85"/>
        <v>20000</v>
      </c>
      <c r="P224" s="203">
        <f t="shared" si="86"/>
        <v>20000</v>
      </c>
      <c r="Q224" s="214"/>
      <c r="R224" s="215"/>
      <c r="S224" s="218">
        <v>45647</v>
      </c>
      <c r="T224" s="205"/>
      <c r="U224" s="205"/>
      <c r="V224" s="216"/>
      <c r="W224" s="212"/>
      <c r="X224" s="10">
        <v>7</v>
      </c>
      <c r="Y224" s="10">
        <v>7</v>
      </c>
      <c r="Z224" s="213">
        <f t="shared" si="87"/>
        <v>30000</v>
      </c>
      <c r="AA224" s="62"/>
      <c r="AB224" s="62"/>
      <c r="AC224" s="62"/>
      <c r="AD224" s="62"/>
      <c r="AE224" s="62"/>
      <c r="AF224" s="63"/>
      <c r="AG224" s="64"/>
      <c r="AH224" s="6">
        <v>1</v>
      </c>
      <c r="AI224">
        <f t="shared" si="88"/>
        <v>25</v>
      </c>
      <c r="AJ224">
        <f t="shared" si="89"/>
        <v>25</v>
      </c>
      <c r="AK224">
        <f t="shared" si="90"/>
        <v>0</v>
      </c>
      <c r="AL224">
        <f t="shared" si="91"/>
        <v>0</v>
      </c>
      <c r="AM224">
        <f t="shared" si="92"/>
        <v>0</v>
      </c>
      <c r="AN224">
        <f t="shared" si="93"/>
        <v>0</v>
      </c>
      <c r="AO224">
        <f t="shared" si="94"/>
        <v>0</v>
      </c>
      <c r="AP224">
        <f t="shared" si="95"/>
        <v>0</v>
      </c>
      <c r="AQ224">
        <f t="shared" si="96"/>
        <v>0</v>
      </c>
      <c r="AR224">
        <f t="shared" si="97"/>
        <v>0</v>
      </c>
      <c r="AS224">
        <f t="shared" si="98"/>
        <v>0</v>
      </c>
      <c r="AT224">
        <f t="shared" si="99"/>
        <v>0</v>
      </c>
      <c r="AU224">
        <f t="shared" si="100"/>
        <v>1</v>
      </c>
      <c r="AV224">
        <f t="shared" si="101"/>
        <v>1</v>
      </c>
      <c r="AW224">
        <f t="shared" si="102"/>
        <v>1</v>
      </c>
      <c r="AX224">
        <f t="shared" si="103"/>
        <v>1</v>
      </c>
      <c r="AY224">
        <f t="shared" si="104"/>
        <v>20000</v>
      </c>
      <c r="AZ224">
        <f t="shared" si="105"/>
        <v>20000</v>
      </c>
      <c r="BA224">
        <f t="shared" si="106"/>
        <v>0</v>
      </c>
      <c r="BB224">
        <f t="shared" si="107"/>
        <v>0</v>
      </c>
      <c r="BC224">
        <f t="shared" si="108"/>
        <v>0</v>
      </c>
      <c r="BD224">
        <f t="shared" si="109"/>
        <v>0</v>
      </c>
      <c r="BE224">
        <f t="shared" si="110"/>
        <v>0</v>
      </c>
      <c r="BF224">
        <f t="shared" si="111"/>
        <v>0</v>
      </c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</row>
    <row r="225" spans="1:256" s="201" customFormat="1" ht="14.25" x14ac:dyDescent="0.2">
      <c r="A225" s="10">
        <v>3105</v>
      </c>
      <c r="B225" s="11" t="s">
        <v>776</v>
      </c>
      <c r="C225" s="105" t="s">
        <v>777</v>
      </c>
      <c r="D225" s="11" t="s">
        <v>105</v>
      </c>
      <c r="E225" s="12">
        <v>11973</v>
      </c>
      <c r="F225" s="202">
        <v>16</v>
      </c>
      <c r="G225" s="11">
        <v>60000</v>
      </c>
      <c r="H225" s="116">
        <v>0</v>
      </c>
      <c r="I225" s="192"/>
      <c r="J225" s="204"/>
      <c r="K225" s="193"/>
      <c r="L225" s="193"/>
      <c r="M225" s="193"/>
      <c r="N225" s="203">
        <f t="shared" si="84"/>
        <v>60000</v>
      </c>
      <c r="O225" s="203">
        <f t="shared" si="85"/>
        <v>60000</v>
      </c>
      <c r="P225" s="203">
        <f t="shared" si="86"/>
        <v>60000</v>
      </c>
      <c r="Q225" s="214"/>
      <c r="R225" s="215"/>
      <c r="S225" s="218">
        <v>45652</v>
      </c>
      <c r="T225" s="205"/>
      <c r="U225" s="205"/>
      <c r="V225" s="216"/>
      <c r="W225" s="212"/>
      <c r="X225" s="10">
        <v>7</v>
      </c>
      <c r="Y225" s="10">
        <v>7</v>
      </c>
      <c r="Z225" s="213">
        <f t="shared" si="87"/>
        <v>60000</v>
      </c>
      <c r="AA225" s="62"/>
      <c r="AB225" s="62"/>
      <c r="AC225" s="62"/>
      <c r="AD225" s="62"/>
      <c r="AE225" s="62"/>
      <c r="AF225" s="63"/>
      <c r="AG225" s="64"/>
      <c r="AH225" s="6">
        <v>1</v>
      </c>
      <c r="AI225">
        <f t="shared" si="88"/>
        <v>25</v>
      </c>
      <c r="AJ225">
        <f t="shared" si="89"/>
        <v>25</v>
      </c>
      <c r="AK225">
        <f t="shared" si="90"/>
        <v>0</v>
      </c>
      <c r="AL225">
        <f t="shared" si="91"/>
        <v>0</v>
      </c>
      <c r="AM225">
        <f t="shared" si="92"/>
        <v>0</v>
      </c>
      <c r="AN225">
        <f t="shared" si="93"/>
        <v>0</v>
      </c>
      <c r="AO225">
        <f t="shared" si="94"/>
        <v>0</v>
      </c>
      <c r="AP225">
        <f t="shared" si="95"/>
        <v>0</v>
      </c>
      <c r="AQ225">
        <f t="shared" si="96"/>
        <v>0</v>
      </c>
      <c r="AR225">
        <f t="shared" si="97"/>
        <v>0</v>
      </c>
      <c r="AS225">
        <f t="shared" si="98"/>
        <v>0</v>
      </c>
      <c r="AT225">
        <f t="shared" si="99"/>
        <v>0</v>
      </c>
      <c r="AU225">
        <f t="shared" si="100"/>
        <v>1</v>
      </c>
      <c r="AV225">
        <f t="shared" si="101"/>
        <v>1</v>
      </c>
      <c r="AW225">
        <f t="shared" si="102"/>
        <v>1</v>
      </c>
      <c r="AX225">
        <f t="shared" si="103"/>
        <v>1</v>
      </c>
      <c r="AY225">
        <f t="shared" si="104"/>
        <v>60000</v>
      </c>
      <c r="AZ225">
        <f t="shared" si="105"/>
        <v>60000</v>
      </c>
      <c r="BA225">
        <f t="shared" si="106"/>
        <v>0</v>
      </c>
      <c r="BB225">
        <f t="shared" si="107"/>
        <v>0</v>
      </c>
      <c r="BC225">
        <f t="shared" si="108"/>
        <v>0</v>
      </c>
      <c r="BD225">
        <f t="shared" si="109"/>
        <v>0</v>
      </c>
      <c r="BE225">
        <f t="shared" si="110"/>
        <v>0</v>
      </c>
      <c r="BF225">
        <f t="shared" si="111"/>
        <v>0</v>
      </c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</row>
    <row r="226" spans="1:256" s="201" customFormat="1" ht="14.25" x14ac:dyDescent="0.2">
      <c r="A226" s="10">
        <v>3109</v>
      </c>
      <c r="B226" s="11" t="s">
        <v>778</v>
      </c>
      <c r="C226" s="105" t="s">
        <v>779</v>
      </c>
      <c r="D226" s="11" t="s">
        <v>105</v>
      </c>
      <c r="E226" s="12">
        <v>11620</v>
      </c>
      <c r="F226" s="202">
        <v>16</v>
      </c>
      <c r="G226" s="11">
        <v>60000</v>
      </c>
      <c r="H226" s="116">
        <v>0</v>
      </c>
      <c r="I226" s="192"/>
      <c r="J226" s="204"/>
      <c r="K226" s="193"/>
      <c r="L226" s="193"/>
      <c r="M226" s="193"/>
      <c r="N226" s="203">
        <f t="shared" si="84"/>
        <v>60000</v>
      </c>
      <c r="O226" s="203">
        <f t="shared" si="85"/>
        <v>60000</v>
      </c>
      <c r="P226" s="203">
        <f t="shared" si="86"/>
        <v>60000</v>
      </c>
      <c r="Q226" s="214"/>
      <c r="R226" s="215"/>
      <c r="S226" s="218">
        <v>45640</v>
      </c>
      <c r="T226" s="205"/>
      <c r="U226" s="205"/>
      <c r="V226" s="216"/>
      <c r="W226" s="212"/>
      <c r="X226" s="10">
        <v>7</v>
      </c>
      <c r="Y226" s="10">
        <v>7</v>
      </c>
      <c r="Z226" s="213">
        <f t="shared" si="87"/>
        <v>60000</v>
      </c>
      <c r="AA226" s="62"/>
      <c r="AB226" s="62"/>
      <c r="AC226" s="62"/>
      <c r="AD226" s="62"/>
      <c r="AE226" s="62"/>
      <c r="AF226" s="63"/>
      <c r="AG226" s="64"/>
      <c r="AH226" s="6">
        <v>1</v>
      </c>
      <c r="AI226">
        <f t="shared" si="88"/>
        <v>25</v>
      </c>
      <c r="AJ226">
        <f t="shared" si="89"/>
        <v>25</v>
      </c>
      <c r="AK226">
        <f t="shared" si="90"/>
        <v>0</v>
      </c>
      <c r="AL226">
        <f t="shared" si="91"/>
        <v>0</v>
      </c>
      <c r="AM226">
        <f t="shared" si="92"/>
        <v>0</v>
      </c>
      <c r="AN226">
        <f t="shared" si="93"/>
        <v>0</v>
      </c>
      <c r="AO226">
        <f t="shared" si="94"/>
        <v>0</v>
      </c>
      <c r="AP226">
        <f t="shared" si="95"/>
        <v>0</v>
      </c>
      <c r="AQ226">
        <f t="shared" si="96"/>
        <v>0</v>
      </c>
      <c r="AR226">
        <f t="shared" si="97"/>
        <v>0</v>
      </c>
      <c r="AS226">
        <f t="shared" si="98"/>
        <v>0</v>
      </c>
      <c r="AT226">
        <f t="shared" si="99"/>
        <v>0</v>
      </c>
      <c r="AU226">
        <f t="shared" si="100"/>
        <v>1</v>
      </c>
      <c r="AV226">
        <f t="shared" si="101"/>
        <v>1</v>
      </c>
      <c r="AW226">
        <f t="shared" si="102"/>
        <v>1</v>
      </c>
      <c r="AX226">
        <f t="shared" si="103"/>
        <v>1</v>
      </c>
      <c r="AY226">
        <f t="shared" si="104"/>
        <v>60000</v>
      </c>
      <c r="AZ226">
        <f t="shared" si="105"/>
        <v>60000</v>
      </c>
      <c r="BA226">
        <f t="shared" si="106"/>
        <v>0</v>
      </c>
      <c r="BB226">
        <f t="shared" si="107"/>
        <v>0</v>
      </c>
      <c r="BC226">
        <f t="shared" si="108"/>
        <v>0</v>
      </c>
      <c r="BD226">
        <f t="shared" si="109"/>
        <v>0</v>
      </c>
      <c r="BE226">
        <f t="shared" si="110"/>
        <v>0</v>
      </c>
      <c r="BF226">
        <f t="shared" si="111"/>
        <v>0</v>
      </c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</row>
    <row r="227" spans="1:256" s="201" customFormat="1" ht="14.25" x14ac:dyDescent="0.2">
      <c r="A227" s="10">
        <v>3112</v>
      </c>
      <c r="B227" s="11" t="s">
        <v>780</v>
      </c>
      <c r="C227" s="105" t="s">
        <v>781</v>
      </c>
      <c r="D227" s="11" t="s">
        <v>259</v>
      </c>
      <c r="E227" s="12">
        <v>11919</v>
      </c>
      <c r="F227" s="202">
        <v>16</v>
      </c>
      <c r="G227" s="11">
        <v>60000</v>
      </c>
      <c r="H227" s="116">
        <v>0</v>
      </c>
      <c r="I227" s="192"/>
      <c r="J227" s="204"/>
      <c r="K227" s="193"/>
      <c r="L227" s="193"/>
      <c r="M227" s="193"/>
      <c r="N227" s="203">
        <f t="shared" si="84"/>
        <v>60000</v>
      </c>
      <c r="O227" s="203">
        <f t="shared" si="85"/>
        <v>60000</v>
      </c>
      <c r="P227" s="203">
        <f t="shared" si="86"/>
        <v>60000</v>
      </c>
      <c r="Q227" s="214"/>
      <c r="R227" s="215"/>
      <c r="S227" s="218">
        <v>45642</v>
      </c>
      <c r="T227" s="205"/>
      <c r="U227" s="205"/>
      <c r="V227" s="216"/>
      <c r="W227" s="212"/>
      <c r="X227" s="10">
        <v>7</v>
      </c>
      <c r="Y227" s="10">
        <v>7</v>
      </c>
      <c r="Z227" s="213">
        <f t="shared" si="87"/>
        <v>60000</v>
      </c>
      <c r="AA227" s="62"/>
      <c r="AB227" s="62"/>
      <c r="AC227" s="62"/>
      <c r="AD227" s="62"/>
      <c r="AE227" s="62"/>
      <c r="AF227" s="63"/>
      <c r="AG227" s="64"/>
      <c r="AH227" s="6">
        <v>1</v>
      </c>
      <c r="AI227">
        <f t="shared" si="88"/>
        <v>25</v>
      </c>
      <c r="AJ227">
        <f t="shared" si="89"/>
        <v>25</v>
      </c>
      <c r="AK227">
        <f t="shared" si="90"/>
        <v>0</v>
      </c>
      <c r="AL227">
        <f t="shared" si="91"/>
        <v>0</v>
      </c>
      <c r="AM227">
        <f t="shared" si="92"/>
        <v>0</v>
      </c>
      <c r="AN227">
        <f t="shared" si="93"/>
        <v>0</v>
      </c>
      <c r="AO227">
        <f t="shared" si="94"/>
        <v>0</v>
      </c>
      <c r="AP227">
        <f t="shared" si="95"/>
        <v>0</v>
      </c>
      <c r="AQ227">
        <f t="shared" si="96"/>
        <v>0</v>
      </c>
      <c r="AR227">
        <f t="shared" si="97"/>
        <v>0</v>
      </c>
      <c r="AS227">
        <f t="shared" si="98"/>
        <v>0</v>
      </c>
      <c r="AT227">
        <f t="shared" si="99"/>
        <v>0</v>
      </c>
      <c r="AU227">
        <f t="shared" si="100"/>
        <v>1</v>
      </c>
      <c r="AV227">
        <f t="shared" si="101"/>
        <v>1</v>
      </c>
      <c r="AW227">
        <f t="shared" si="102"/>
        <v>1</v>
      </c>
      <c r="AX227">
        <f t="shared" si="103"/>
        <v>1</v>
      </c>
      <c r="AY227">
        <f t="shared" si="104"/>
        <v>60000</v>
      </c>
      <c r="AZ227">
        <f t="shared" si="105"/>
        <v>60000</v>
      </c>
      <c r="BA227">
        <f t="shared" si="106"/>
        <v>0</v>
      </c>
      <c r="BB227">
        <f t="shared" si="107"/>
        <v>0</v>
      </c>
      <c r="BC227">
        <f t="shared" si="108"/>
        <v>0</v>
      </c>
      <c r="BD227">
        <f t="shared" si="109"/>
        <v>0</v>
      </c>
      <c r="BE227">
        <f t="shared" si="110"/>
        <v>0</v>
      </c>
      <c r="BF227">
        <f t="shared" si="111"/>
        <v>0</v>
      </c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</row>
    <row r="228" spans="1:256" s="201" customFormat="1" ht="14.25" x14ac:dyDescent="0.2">
      <c r="A228" s="10">
        <v>3114</v>
      </c>
      <c r="B228" s="11" t="s">
        <v>289</v>
      </c>
      <c r="C228" s="105" t="s">
        <v>290</v>
      </c>
      <c r="D228" s="11" t="s">
        <v>106</v>
      </c>
      <c r="E228" s="12">
        <v>11921</v>
      </c>
      <c r="F228" s="202">
        <v>16</v>
      </c>
      <c r="G228" s="11">
        <v>30000</v>
      </c>
      <c r="H228" s="116">
        <v>0</v>
      </c>
      <c r="I228" s="192"/>
      <c r="J228" s="204"/>
      <c r="K228" s="193"/>
      <c r="L228" s="193"/>
      <c r="M228" s="193"/>
      <c r="N228" s="203">
        <f t="shared" si="84"/>
        <v>30000</v>
      </c>
      <c r="O228" s="203">
        <f t="shared" si="85"/>
        <v>30000</v>
      </c>
      <c r="P228" s="203">
        <f t="shared" si="86"/>
        <v>30000</v>
      </c>
      <c r="Q228" s="214">
        <v>45659</v>
      </c>
      <c r="R228" s="215"/>
      <c r="S228" s="218">
        <v>45631</v>
      </c>
      <c r="T228" s="205"/>
      <c r="U228" s="205"/>
      <c r="V228" s="216" t="s">
        <v>1131</v>
      </c>
      <c r="W228" s="212"/>
      <c r="X228" s="10">
        <v>7</v>
      </c>
      <c r="Y228" s="10">
        <v>7</v>
      </c>
      <c r="Z228" s="213">
        <f t="shared" si="87"/>
        <v>30000</v>
      </c>
      <c r="AA228" s="62"/>
      <c r="AB228" s="62"/>
      <c r="AC228" s="62"/>
      <c r="AD228" s="62"/>
      <c r="AE228" s="62"/>
      <c r="AF228" s="63"/>
      <c r="AG228" s="64"/>
      <c r="AH228" s="6">
        <v>1</v>
      </c>
      <c r="AI228">
        <f t="shared" si="88"/>
        <v>25</v>
      </c>
      <c r="AJ228">
        <f t="shared" si="89"/>
        <v>25</v>
      </c>
      <c r="AK228">
        <f t="shared" si="90"/>
        <v>0</v>
      </c>
      <c r="AL228">
        <f t="shared" si="91"/>
        <v>0</v>
      </c>
      <c r="AM228">
        <f t="shared" si="92"/>
        <v>0</v>
      </c>
      <c r="AN228">
        <f t="shared" si="93"/>
        <v>0</v>
      </c>
      <c r="AO228">
        <f t="shared" si="94"/>
        <v>0</v>
      </c>
      <c r="AP228">
        <f t="shared" si="95"/>
        <v>0</v>
      </c>
      <c r="AQ228">
        <f t="shared" si="96"/>
        <v>0</v>
      </c>
      <c r="AR228">
        <f t="shared" si="97"/>
        <v>0</v>
      </c>
      <c r="AS228">
        <f t="shared" si="98"/>
        <v>0</v>
      </c>
      <c r="AT228">
        <f t="shared" si="99"/>
        <v>0</v>
      </c>
      <c r="AU228">
        <f t="shared" si="100"/>
        <v>1</v>
      </c>
      <c r="AV228">
        <f t="shared" si="101"/>
        <v>1</v>
      </c>
      <c r="AW228">
        <f t="shared" si="102"/>
        <v>1</v>
      </c>
      <c r="AX228">
        <f t="shared" si="103"/>
        <v>1</v>
      </c>
      <c r="AY228">
        <f t="shared" si="104"/>
        <v>30000</v>
      </c>
      <c r="AZ228">
        <f t="shared" si="105"/>
        <v>30000</v>
      </c>
      <c r="BA228">
        <f t="shared" si="106"/>
        <v>0</v>
      </c>
      <c r="BB228">
        <f t="shared" si="107"/>
        <v>0</v>
      </c>
      <c r="BC228">
        <f t="shared" si="108"/>
        <v>0</v>
      </c>
      <c r="BD228">
        <f t="shared" si="109"/>
        <v>0</v>
      </c>
      <c r="BE228">
        <f t="shared" si="110"/>
        <v>0</v>
      </c>
      <c r="BF228">
        <f t="shared" si="111"/>
        <v>0</v>
      </c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</row>
    <row r="229" spans="1:256" s="201" customFormat="1" ht="14.25" x14ac:dyDescent="0.2">
      <c r="A229" s="10">
        <v>3115</v>
      </c>
      <c r="B229" s="11" t="s">
        <v>271</v>
      </c>
      <c r="C229" s="105" t="s">
        <v>272</v>
      </c>
      <c r="D229" s="11" t="s">
        <v>220</v>
      </c>
      <c r="E229" s="12">
        <v>11938</v>
      </c>
      <c r="F229" s="202">
        <v>16</v>
      </c>
      <c r="G229" s="11">
        <v>30000</v>
      </c>
      <c r="H229" s="116">
        <v>0</v>
      </c>
      <c r="I229" s="192"/>
      <c r="J229" s="204"/>
      <c r="K229" s="193"/>
      <c r="L229" s="193"/>
      <c r="M229" s="193"/>
      <c r="N229" s="203">
        <f t="shared" si="84"/>
        <v>30000</v>
      </c>
      <c r="O229" s="203">
        <f t="shared" si="85"/>
        <v>30000</v>
      </c>
      <c r="P229" s="203">
        <f t="shared" si="86"/>
        <v>30000</v>
      </c>
      <c r="Q229" s="214"/>
      <c r="R229" s="215"/>
      <c r="S229" s="218">
        <v>45638</v>
      </c>
      <c r="T229" s="205"/>
      <c r="U229" s="205"/>
      <c r="V229" s="216"/>
      <c r="W229" s="212"/>
      <c r="X229" s="10">
        <v>7</v>
      </c>
      <c r="Y229" s="10">
        <v>7</v>
      </c>
      <c r="Z229" s="213">
        <f t="shared" si="87"/>
        <v>30000</v>
      </c>
      <c r="AA229" s="62"/>
      <c r="AB229" s="62"/>
      <c r="AC229" s="62"/>
      <c r="AD229" s="62"/>
      <c r="AE229" s="62"/>
      <c r="AF229" s="63"/>
      <c r="AG229" s="64"/>
      <c r="AH229" s="6">
        <v>1</v>
      </c>
      <c r="AI229">
        <f t="shared" si="88"/>
        <v>25</v>
      </c>
      <c r="AJ229">
        <f t="shared" si="89"/>
        <v>25</v>
      </c>
      <c r="AK229">
        <f t="shared" si="90"/>
        <v>0</v>
      </c>
      <c r="AL229">
        <f t="shared" si="91"/>
        <v>0</v>
      </c>
      <c r="AM229">
        <f t="shared" si="92"/>
        <v>0</v>
      </c>
      <c r="AN229">
        <f t="shared" si="93"/>
        <v>0</v>
      </c>
      <c r="AO229">
        <f t="shared" si="94"/>
        <v>0</v>
      </c>
      <c r="AP229">
        <f t="shared" si="95"/>
        <v>0</v>
      </c>
      <c r="AQ229">
        <f t="shared" si="96"/>
        <v>0</v>
      </c>
      <c r="AR229">
        <f t="shared" si="97"/>
        <v>0</v>
      </c>
      <c r="AS229">
        <f t="shared" si="98"/>
        <v>0</v>
      </c>
      <c r="AT229">
        <f t="shared" si="99"/>
        <v>0</v>
      </c>
      <c r="AU229">
        <f t="shared" si="100"/>
        <v>1</v>
      </c>
      <c r="AV229">
        <f t="shared" si="101"/>
        <v>1</v>
      </c>
      <c r="AW229">
        <f t="shared" si="102"/>
        <v>1</v>
      </c>
      <c r="AX229">
        <f t="shared" si="103"/>
        <v>1</v>
      </c>
      <c r="AY229">
        <f t="shared" si="104"/>
        <v>30000</v>
      </c>
      <c r="AZ229">
        <f t="shared" si="105"/>
        <v>30000</v>
      </c>
      <c r="BA229">
        <f t="shared" si="106"/>
        <v>0</v>
      </c>
      <c r="BB229">
        <f t="shared" si="107"/>
        <v>0</v>
      </c>
      <c r="BC229">
        <f t="shared" si="108"/>
        <v>0</v>
      </c>
      <c r="BD229">
        <f t="shared" si="109"/>
        <v>0</v>
      </c>
      <c r="BE229">
        <f t="shared" si="110"/>
        <v>0</v>
      </c>
      <c r="BF229">
        <f t="shared" si="111"/>
        <v>0</v>
      </c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</row>
    <row r="230" spans="1:256" s="201" customFormat="1" ht="14.25" x14ac:dyDescent="0.2">
      <c r="A230" s="10">
        <v>3117</v>
      </c>
      <c r="B230" s="11" t="s">
        <v>782</v>
      </c>
      <c r="C230" s="105" t="s">
        <v>783</v>
      </c>
      <c r="D230" s="11" t="s">
        <v>173</v>
      </c>
      <c r="E230" s="12">
        <v>11915</v>
      </c>
      <c r="F230" s="202">
        <v>16</v>
      </c>
      <c r="G230" s="11">
        <v>60000</v>
      </c>
      <c r="H230" s="116">
        <v>0</v>
      </c>
      <c r="I230" s="192"/>
      <c r="J230" s="204"/>
      <c r="K230" s="193"/>
      <c r="L230" s="193"/>
      <c r="M230" s="193"/>
      <c r="N230" s="203">
        <f t="shared" si="84"/>
        <v>60000</v>
      </c>
      <c r="O230" s="203">
        <f t="shared" si="85"/>
        <v>60000</v>
      </c>
      <c r="P230" s="203">
        <f t="shared" si="86"/>
        <v>60000</v>
      </c>
      <c r="Q230" s="214"/>
      <c r="R230" s="215"/>
      <c r="S230" s="218">
        <v>45635</v>
      </c>
      <c r="T230" s="205"/>
      <c r="U230" s="205"/>
      <c r="V230" s="216"/>
      <c r="W230" s="212"/>
      <c r="X230" s="10">
        <v>7</v>
      </c>
      <c r="Y230" s="10">
        <v>7</v>
      </c>
      <c r="Z230" s="213">
        <f t="shared" si="87"/>
        <v>60000</v>
      </c>
      <c r="AA230" s="62"/>
      <c r="AB230" s="62"/>
      <c r="AC230" s="62"/>
      <c r="AD230" s="62"/>
      <c r="AE230" s="62"/>
      <c r="AF230" s="63"/>
      <c r="AG230" s="64"/>
      <c r="AH230" s="6">
        <v>1</v>
      </c>
      <c r="AI230">
        <f t="shared" si="88"/>
        <v>25</v>
      </c>
      <c r="AJ230">
        <f t="shared" si="89"/>
        <v>25</v>
      </c>
      <c r="AK230">
        <f t="shared" si="90"/>
        <v>0</v>
      </c>
      <c r="AL230">
        <f t="shared" si="91"/>
        <v>0</v>
      </c>
      <c r="AM230">
        <f t="shared" si="92"/>
        <v>0</v>
      </c>
      <c r="AN230">
        <f t="shared" si="93"/>
        <v>0</v>
      </c>
      <c r="AO230">
        <f t="shared" si="94"/>
        <v>0</v>
      </c>
      <c r="AP230">
        <f t="shared" si="95"/>
        <v>0</v>
      </c>
      <c r="AQ230">
        <f t="shared" si="96"/>
        <v>0</v>
      </c>
      <c r="AR230">
        <f t="shared" si="97"/>
        <v>0</v>
      </c>
      <c r="AS230">
        <f t="shared" si="98"/>
        <v>0</v>
      </c>
      <c r="AT230">
        <f t="shared" si="99"/>
        <v>0</v>
      </c>
      <c r="AU230">
        <f t="shared" si="100"/>
        <v>1</v>
      </c>
      <c r="AV230">
        <f t="shared" si="101"/>
        <v>1</v>
      </c>
      <c r="AW230">
        <f t="shared" si="102"/>
        <v>1</v>
      </c>
      <c r="AX230">
        <f t="shared" si="103"/>
        <v>1</v>
      </c>
      <c r="AY230">
        <f t="shared" si="104"/>
        <v>60000</v>
      </c>
      <c r="AZ230">
        <f t="shared" si="105"/>
        <v>60000</v>
      </c>
      <c r="BA230">
        <f t="shared" si="106"/>
        <v>0</v>
      </c>
      <c r="BB230">
        <f t="shared" si="107"/>
        <v>0</v>
      </c>
      <c r="BC230">
        <f t="shared" si="108"/>
        <v>0</v>
      </c>
      <c r="BD230">
        <f t="shared" si="109"/>
        <v>0</v>
      </c>
      <c r="BE230">
        <f t="shared" si="110"/>
        <v>0</v>
      </c>
      <c r="BF230">
        <f t="shared" si="111"/>
        <v>0</v>
      </c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</row>
    <row r="231" spans="1:256" s="201" customFormat="1" ht="14.25" x14ac:dyDescent="0.2">
      <c r="A231" s="10">
        <v>3118</v>
      </c>
      <c r="B231" s="11" t="s">
        <v>784</v>
      </c>
      <c r="C231" s="105" t="s">
        <v>785</v>
      </c>
      <c r="D231" s="11" t="s">
        <v>106</v>
      </c>
      <c r="E231" s="12">
        <v>11940</v>
      </c>
      <c r="F231" s="202">
        <v>16</v>
      </c>
      <c r="G231" s="11">
        <v>60000</v>
      </c>
      <c r="H231" s="116">
        <v>0</v>
      </c>
      <c r="I231" s="192"/>
      <c r="J231" s="204"/>
      <c r="K231" s="193"/>
      <c r="L231" s="193"/>
      <c r="M231" s="193"/>
      <c r="N231" s="203">
        <f t="shared" si="84"/>
        <v>60000</v>
      </c>
      <c r="O231" s="203">
        <f t="shared" si="85"/>
        <v>60000</v>
      </c>
      <c r="P231" s="203">
        <f t="shared" si="86"/>
        <v>60000</v>
      </c>
      <c r="Q231" s="214">
        <v>45663</v>
      </c>
      <c r="R231" s="215"/>
      <c r="S231" s="218">
        <v>45628</v>
      </c>
      <c r="T231" s="205"/>
      <c r="U231" s="205"/>
      <c r="V231" s="216" t="s">
        <v>1131</v>
      </c>
      <c r="W231" s="212"/>
      <c r="X231" s="10">
        <v>7</v>
      </c>
      <c r="Y231" s="10">
        <v>7</v>
      </c>
      <c r="Z231" s="213">
        <f t="shared" si="87"/>
        <v>60000</v>
      </c>
      <c r="AA231" s="62"/>
      <c r="AB231" s="62"/>
      <c r="AC231" s="62"/>
      <c r="AD231" s="62"/>
      <c r="AE231" s="62"/>
      <c r="AF231" s="63"/>
      <c r="AG231" s="64"/>
      <c r="AH231" s="6">
        <v>1</v>
      </c>
      <c r="AI231">
        <f t="shared" si="88"/>
        <v>25</v>
      </c>
      <c r="AJ231">
        <f t="shared" si="89"/>
        <v>25</v>
      </c>
      <c r="AK231">
        <f t="shared" si="90"/>
        <v>0</v>
      </c>
      <c r="AL231">
        <f t="shared" si="91"/>
        <v>0</v>
      </c>
      <c r="AM231">
        <f t="shared" si="92"/>
        <v>0</v>
      </c>
      <c r="AN231">
        <f t="shared" si="93"/>
        <v>0</v>
      </c>
      <c r="AO231">
        <f t="shared" si="94"/>
        <v>0</v>
      </c>
      <c r="AP231">
        <f t="shared" si="95"/>
        <v>0</v>
      </c>
      <c r="AQ231">
        <f t="shared" si="96"/>
        <v>0</v>
      </c>
      <c r="AR231">
        <f t="shared" si="97"/>
        <v>0</v>
      </c>
      <c r="AS231">
        <f t="shared" si="98"/>
        <v>0</v>
      </c>
      <c r="AT231">
        <f t="shared" si="99"/>
        <v>0</v>
      </c>
      <c r="AU231">
        <f t="shared" si="100"/>
        <v>1</v>
      </c>
      <c r="AV231">
        <f t="shared" si="101"/>
        <v>1</v>
      </c>
      <c r="AW231">
        <f t="shared" si="102"/>
        <v>1</v>
      </c>
      <c r="AX231">
        <f t="shared" si="103"/>
        <v>1</v>
      </c>
      <c r="AY231">
        <f t="shared" si="104"/>
        <v>60000</v>
      </c>
      <c r="AZ231">
        <f t="shared" si="105"/>
        <v>60000</v>
      </c>
      <c r="BA231">
        <f t="shared" si="106"/>
        <v>0</v>
      </c>
      <c r="BB231">
        <f t="shared" si="107"/>
        <v>0</v>
      </c>
      <c r="BC231">
        <f t="shared" si="108"/>
        <v>0</v>
      </c>
      <c r="BD231">
        <f t="shared" si="109"/>
        <v>0</v>
      </c>
      <c r="BE231">
        <f t="shared" si="110"/>
        <v>0</v>
      </c>
      <c r="BF231">
        <f t="shared" si="111"/>
        <v>0</v>
      </c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</row>
    <row r="232" spans="1:256" s="201" customFormat="1" ht="14.25" x14ac:dyDescent="0.2">
      <c r="A232" s="10">
        <v>3119</v>
      </c>
      <c r="B232" s="11" t="s">
        <v>786</v>
      </c>
      <c r="C232" s="105" t="s">
        <v>787</v>
      </c>
      <c r="D232" s="11" t="s">
        <v>105</v>
      </c>
      <c r="E232" s="12">
        <v>11941</v>
      </c>
      <c r="F232" s="202">
        <v>16</v>
      </c>
      <c r="G232" s="11">
        <v>60000</v>
      </c>
      <c r="H232" s="116">
        <v>0</v>
      </c>
      <c r="I232" s="192"/>
      <c r="J232" s="204"/>
      <c r="K232" s="193"/>
      <c r="L232" s="193"/>
      <c r="M232" s="193"/>
      <c r="N232" s="203">
        <f t="shared" si="84"/>
        <v>60000</v>
      </c>
      <c r="O232" s="203">
        <f t="shared" si="85"/>
        <v>60000</v>
      </c>
      <c r="P232" s="203">
        <f t="shared" si="86"/>
        <v>60000</v>
      </c>
      <c r="Q232" s="214">
        <v>45659</v>
      </c>
      <c r="R232" s="215"/>
      <c r="S232" s="218">
        <v>45629</v>
      </c>
      <c r="T232" s="205"/>
      <c r="U232" s="205"/>
      <c r="V232" s="216" t="s">
        <v>1131</v>
      </c>
      <c r="W232" s="212"/>
      <c r="X232" s="10">
        <v>7</v>
      </c>
      <c r="Y232" s="10">
        <v>7</v>
      </c>
      <c r="Z232" s="213">
        <f t="shared" si="87"/>
        <v>60000</v>
      </c>
      <c r="AA232" s="62"/>
      <c r="AB232" s="62"/>
      <c r="AC232" s="62"/>
      <c r="AD232" s="62"/>
      <c r="AE232" s="62"/>
      <c r="AF232" s="63"/>
      <c r="AG232" s="64"/>
      <c r="AH232" s="6">
        <v>1</v>
      </c>
      <c r="AI232">
        <f t="shared" si="88"/>
        <v>25</v>
      </c>
      <c r="AJ232">
        <f t="shared" si="89"/>
        <v>25</v>
      </c>
      <c r="AK232">
        <f t="shared" si="90"/>
        <v>0</v>
      </c>
      <c r="AL232">
        <f t="shared" si="91"/>
        <v>0</v>
      </c>
      <c r="AM232">
        <f t="shared" si="92"/>
        <v>0</v>
      </c>
      <c r="AN232">
        <f t="shared" si="93"/>
        <v>0</v>
      </c>
      <c r="AO232">
        <f t="shared" si="94"/>
        <v>0</v>
      </c>
      <c r="AP232">
        <f t="shared" si="95"/>
        <v>0</v>
      </c>
      <c r="AQ232">
        <f t="shared" si="96"/>
        <v>0</v>
      </c>
      <c r="AR232">
        <f t="shared" si="97"/>
        <v>0</v>
      </c>
      <c r="AS232">
        <f t="shared" si="98"/>
        <v>0</v>
      </c>
      <c r="AT232">
        <f t="shared" si="99"/>
        <v>0</v>
      </c>
      <c r="AU232">
        <f t="shared" si="100"/>
        <v>1</v>
      </c>
      <c r="AV232">
        <f t="shared" si="101"/>
        <v>1</v>
      </c>
      <c r="AW232">
        <f t="shared" si="102"/>
        <v>1</v>
      </c>
      <c r="AX232">
        <f t="shared" si="103"/>
        <v>1</v>
      </c>
      <c r="AY232">
        <f t="shared" si="104"/>
        <v>60000</v>
      </c>
      <c r="AZ232">
        <f t="shared" si="105"/>
        <v>60000</v>
      </c>
      <c r="BA232">
        <f t="shared" si="106"/>
        <v>0</v>
      </c>
      <c r="BB232">
        <f t="shared" si="107"/>
        <v>0</v>
      </c>
      <c r="BC232">
        <f t="shared" si="108"/>
        <v>0</v>
      </c>
      <c r="BD232">
        <f t="shared" si="109"/>
        <v>0</v>
      </c>
      <c r="BE232">
        <f t="shared" si="110"/>
        <v>0</v>
      </c>
      <c r="BF232">
        <f t="shared" si="111"/>
        <v>0</v>
      </c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</row>
    <row r="233" spans="1:256" s="201" customFormat="1" ht="14.25" x14ac:dyDescent="0.2">
      <c r="A233" s="10">
        <v>3123</v>
      </c>
      <c r="B233" s="11" t="s">
        <v>788</v>
      </c>
      <c r="C233" s="105" t="s">
        <v>789</v>
      </c>
      <c r="D233" s="11" t="s">
        <v>106</v>
      </c>
      <c r="E233" s="12">
        <v>11963</v>
      </c>
      <c r="F233" s="202">
        <v>16</v>
      </c>
      <c r="G233" s="11">
        <v>60000</v>
      </c>
      <c r="H233" s="116">
        <v>-60000</v>
      </c>
      <c r="I233" s="192"/>
      <c r="J233" s="204"/>
      <c r="K233" s="193"/>
      <c r="L233" s="193"/>
      <c r="M233" s="193"/>
      <c r="N233" s="203">
        <f t="shared" si="84"/>
        <v>60000</v>
      </c>
      <c r="O233" s="203">
        <f t="shared" si="85"/>
        <v>0</v>
      </c>
      <c r="P233" s="203">
        <f t="shared" si="86"/>
        <v>0</v>
      </c>
      <c r="Q233" s="214">
        <v>45660</v>
      </c>
      <c r="R233" s="215"/>
      <c r="S233" s="218">
        <v>45630</v>
      </c>
      <c r="T233" s="205">
        <v>1</v>
      </c>
      <c r="U233" s="205">
        <v>1</v>
      </c>
      <c r="V233" s="216" t="s">
        <v>1134</v>
      </c>
      <c r="W233" s="212" t="s">
        <v>1135</v>
      </c>
      <c r="X233" s="10">
        <v>7</v>
      </c>
      <c r="Y233" s="10">
        <v>7</v>
      </c>
      <c r="Z233" s="213">
        <f t="shared" si="87"/>
        <v>60000</v>
      </c>
      <c r="AA233" s="62"/>
      <c r="AB233" s="62"/>
      <c r="AC233" s="62"/>
      <c r="AD233" s="62"/>
      <c r="AE233" s="62"/>
      <c r="AF233" s="63"/>
      <c r="AG233" s="64"/>
      <c r="AH233" s="6">
        <v>1</v>
      </c>
      <c r="AI233">
        <f t="shared" si="88"/>
        <v>25</v>
      </c>
      <c r="AJ233">
        <f t="shared" si="89"/>
        <v>15</v>
      </c>
      <c r="AK233">
        <f t="shared" si="90"/>
        <v>1</v>
      </c>
      <c r="AL233">
        <f t="shared" si="91"/>
        <v>1</v>
      </c>
      <c r="AM233">
        <f t="shared" si="92"/>
        <v>1</v>
      </c>
      <c r="AN233">
        <f t="shared" si="93"/>
        <v>0</v>
      </c>
      <c r="AO233">
        <f t="shared" si="94"/>
        <v>0</v>
      </c>
      <c r="AP233">
        <f t="shared" si="95"/>
        <v>0</v>
      </c>
      <c r="AQ233">
        <f t="shared" si="96"/>
        <v>0</v>
      </c>
      <c r="AR233">
        <f t="shared" si="97"/>
        <v>0</v>
      </c>
      <c r="AS233">
        <f t="shared" si="98"/>
        <v>0</v>
      </c>
      <c r="AT233">
        <f t="shared" si="99"/>
        <v>0</v>
      </c>
      <c r="AU233">
        <f t="shared" si="100"/>
        <v>0</v>
      </c>
      <c r="AV233">
        <f t="shared" si="101"/>
        <v>0</v>
      </c>
      <c r="AW233">
        <f t="shared" si="102"/>
        <v>0</v>
      </c>
      <c r="AX233">
        <f t="shared" si="103"/>
        <v>0</v>
      </c>
      <c r="AY233">
        <f t="shared" si="104"/>
        <v>0</v>
      </c>
      <c r="AZ233">
        <f t="shared" si="105"/>
        <v>0</v>
      </c>
      <c r="BA233">
        <f t="shared" si="106"/>
        <v>0</v>
      </c>
      <c r="BB233">
        <f t="shared" si="107"/>
        <v>0</v>
      </c>
      <c r="BC233">
        <f t="shared" si="108"/>
        <v>0</v>
      </c>
      <c r="BD233">
        <f t="shared" si="109"/>
        <v>0</v>
      </c>
      <c r="BE233">
        <f t="shared" si="110"/>
        <v>0</v>
      </c>
      <c r="BF233">
        <f t="shared" si="111"/>
        <v>0</v>
      </c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</row>
    <row r="234" spans="1:256" s="201" customFormat="1" ht="14.25" x14ac:dyDescent="0.2">
      <c r="A234" s="10">
        <v>3125</v>
      </c>
      <c r="B234" s="11" t="s">
        <v>291</v>
      </c>
      <c r="C234" s="105" t="s">
        <v>292</v>
      </c>
      <c r="D234" s="11" t="s">
        <v>105</v>
      </c>
      <c r="E234" s="12">
        <v>11946</v>
      </c>
      <c r="F234" s="202">
        <v>16</v>
      </c>
      <c r="G234" s="11">
        <v>20000</v>
      </c>
      <c r="H234" s="116">
        <v>0</v>
      </c>
      <c r="I234" s="192"/>
      <c r="J234" s="204"/>
      <c r="K234" s="193"/>
      <c r="L234" s="193"/>
      <c r="M234" s="193"/>
      <c r="N234" s="203">
        <f t="shared" si="84"/>
        <v>20000</v>
      </c>
      <c r="O234" s="203">
        <f t="shared" si="85"/>
        <v>20000</v>
      </c>
      <c r="P234" s="203">
        <f t="shared" si="86"/>
        <v>20000</v>
      </c>
      <c r="Q234" s="214"/>
      <c r="R234" s="215"/>
      <c r="S234" s="218">
        <v>45637</v>
      </c>
      <c r="T234" s="205"/>
      <c r="U234" s="205"/>
      <c r="V234" s="216"/>
      <c r="W234" s="212"/>
      <c r="X234" s="10">
        <v>7</v>
      </c>
      <c r="Y234" s="10">
        <v>7</v>
      </c>
      <c r="Z234" s="213">
        <f t="shared" si="87"/>
        <v>20000</v>
      </c>
      <c r="AA234" s="62"/>
      <c r="AB234" s="62"/>
      <c r="AC234" s="62"/>
      <c r="AD234" s="62"/>
      <c r="AE234" s="62"/>
      <c r="AF234" s="63"/>
      <c r="AG234" s="64"/>
      <c r="AH234" s="6">
        <v>1</v>
      </c>
      <c r="AI234">
        <f t="shared" si="88"/>
        <v>25</v>
      </c>
      <c r="AJ234">
        <f t="shared" si="89"/>
        <v>25</v>
      </c>
      <c r="AK234">
        <f t="shared" si="90"/>
        <v>0</v>
      </c>
      <c r="AL234">
        <f t="shared" si="91"/>
        <v>0</v>
      </c>
      <c r="AM234">
        <f t="shared" si="92"/>
        <v>0</v>
      </c>
      <c r="AN234">
        <f t="shared" si="93"/>
        <v>0</v>
      </c>
      <c r="AO234">
        <f t="shared" si="94"/>
        <v>0</v>
      </c>
      <c r="AP234">
        <f t="shared" si="95"/>
        <v>0</v>
      </c>
      <c r="AQ234">
        <f t="shared" si="96"/>
        <v>0</v>
      </c>
      <c r="AR234">
        <f t="shared" si="97"/>
        <v>0</v>
      </c>
      <c r="AS234">
        <f t="shared" si="98"/>
        <v>0</v>
      </c>
      <c r="AT234">
        <f t="shared" si="99"/>
        <v>0</v>
      </c>
      <c r="AU234">
        <f t="shared" si="100"/>
        <v>1</v>
      </c>
      <c r="AV234">
        <f t="shared" si="101"/>
        <v>1</v>
      </c>
      <c r="AW234">
        <f t="shared" si="102"/>
        <v>1</v>
      </c>
      <c r="AX234">
        <f t="shared" si="103"/>
        <v>1</v>
      </c>
      <c r="AY234">
        <f t="shared" si="104"/>
        <v>20000</v>
      </c>
      <c r="AZ234">
        <f t="shared" si="105"/>
        <v>20000</v>
      </c>
      <c r="BA234">
        <f t="shared" si="106"/>
        <v>0</v>
      </c>
      <c r="BB234">
        <f t="shared" si="107"/>
        <v>0</v>
      </c>
      <c r="BC234">
        <f t="shared" si="108"/>
        <v>0</v>
      </c>
      <c r="BD234">
        <f t="shared" si="109"/>
        <v>0</v>
      </c>
      <c r="BE234">
        <f t="shared" si="110"/>
        <v>0</v>
      </c>
      <c r="BF234">
        <f t="shared" si="111"/>
        <v>0</v>
      </c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</row>
    <row r="235" spans="1:256" s="201" customFormat="1" ht="14.25" x14ac:dyDescent="0.2">
      <c r="A235" s="10">
        <v>3128</v>
      </c>
      <c r="B235" s="11" t="s">
        <v>790</v>
      </c>
      <c r="C235" s="105" t="s">
        <v>791</v>
      </c>
      <c r="D235" s="11" t="s">
        <v>105</v>
      </c>
      <c r="E235" s="12">
        <v>11977</v>
      </c>
      <c r="F235" s="202">
        <v>16</v>
      </c>
      <c r="G235" s="11">
        <v>60000</v>
      </c>
      <c r="H235" s="116">
        <v>0</v>
      </c>
      <c r="I235" s="192"/>
      <c r="J235" s="204"/>
      <c r="K235" s="193"/>
      <c r="L235" s="193"/>
      <c r="M235" s="193"/>
      <c r="N235" s="203">
        <f t="shared" si="84"/>
        <v>60000</v>
      </c>
      <c r="O235" s="203">
        <f t="shared" si="85"/>
        <v>60000</v>
      </c>
      <c r="P235" s="203">
        <f t="shared" si="86"/>
        <v>60000</v>
      </c>
      <c r="Q235" s="214">
        <v>45659</v>
      </c>
      <c r="R235" s="215"/>
      <c r="S235" s="218">
        <v>45630</v>
      </c>
      <c r="T235" s="205"/>
      <c r="U235" s="205"/>
      <c r="V235" s="216" t="s">
        <v>1134</v>
      </c>
      <c r="W235" s="212"/>
      <c r="X235" s="10">
        <v>7</v>
      </c>
      <c r="Y235" s="10">
        <v>7</v>
      </c>
      <c r="Z235" s="213">
        <f t="shared" si="87"/>
        <v>60000</v>
      </c>
      <c r="AA235" s="62"/>
      <c r="AB235" s="62"/>
      <c r="AC235" s="62"/>
      <c r="AD235" s="62"/>
      <c r="AE235" s="62"/>
      <c r="AF235" s="63"/>
      <c r="AG235" s="64"/>
      <c r="AH235" s="6">
        <v>1</v>
      </c>
      <c r="AI235">
        <f t="shared" si="88"/>
        <v>25</v>
      </c>
      <c r="AJ235">
        <f t="shared" si="89"/>
        <v>25</v>
      </c>
      <c r="AK235">
        <f t="shared" si="90"/>
        <v>0</v>
      </c>
      <c r="AL235">
        <f t="shared" si="91"/>
        <v>0</v>
      </c>
      <c r="AM235">
        <f t="shared" si="92"/>
        <v>0</v>
      </c>
      <c r="AN235">
        <f t="shared" si="93"/>
        <v>0</v>
      </c>
      <c r="AO235">
        <f t="shared" si="94"/>
        <v>0</v>
      </c>
      <c r="AP235">
        <f t="shared" si="95"/>
        <v>0</v>
      </c>
      <c r="AQ235">
        <f t="shared" si="96"/>
        <v>0</v>
      </c>
      <c r="AR235">
        <f t="shared" si="97"/>
        <v>0</v>
      </c>
      <c r="AS235">
        <f t="shared" si="98"/>
        <v>0</v>
      </c>
      <c r="AT235">
        <f t="shared" si="99"/>
        <v>0</v>
      </c>
      <c r="AU235">
        <f t="shared" si="100"/>
        <v>1</v>
      </c>
      <c r="AV235">
        <f t="shared" si="101"/>
        <v>1</v>
      </c>
      <c r="AW235">
        <f t="shared" si="102"/>
        <v>1</v>
      </c>
      <c r="AX235">
        <f t="shared" si="103"/>
        <v>1</v>
      </c>
      <c r="AY235">
        <f t="shared" si="104"/>
        <v>60000</v>
      </c>
      <c r="AZ235">
        <f t="shared" si="105"/>
        <v>60000</v>
      </c>
      <c r="BA235">
        <f t="shared" si="106"/>
        <v>0</v>
      </c>
      <c r="BB235">
        <f t="shared" si="107"/>
        <v>0</v>
      </c>
      <c r="BC235">
        <f t="shared" si="108"/>
        <v>0</v>
      </c>
      <c r="BD235">
        <f t="shared" si="109"/>
        <v>0</v>
      </c>
      <c r="BE235">
        <f t="shared" si="110"/>
        <v>0</v>
      </c>
      <c r="BF235">
        <f t="shared" si="111"/>
        <v>0</v>
      </c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</row>
    <row r="236" spans="1:256" s="201" customFormat="1" ht="14.25" x14ac:dyDescent="0.2">
      <c r="A236" s="10">
        <v>3129</v>
      </c>
      <c r="B236" s="11" t="s">
        <v>792</v>
      </c>
      <c r="C236" s="105" t="s">
        <v>793</v>
      </c>
      <c r="D236" s="11" t="s">
        <v>106</v>
      </c>
      <c r="E236" s="12">
        <v>11980</v>
      </c>
      <c r="F236" s="202">
        <v>16</v>
      </c>
      <c r="G236" s="11">
        <v>60000</v>
      </c>
      <c r="H236" s="116">
        <v>0</v>
      </c>
      <c r="I236" s="192"/>
      <c r="J236" s="204"/>
      <c r="K236" s="193"/>
      <c r="L236" s="193"/>
      <c r="M236" s="193"/>
      <c r="N236" s="203">
        <f t="shared" si="84"/>
        <v>60000</v>
      </c>
      <c r="O236" s="203">
        <f t="shared" si="85"/>
        <v>60000</v>
      </c>
      <c r="P236" s="203">
        <f t="shared" si="86"/>
        <v>60000</v>
      </c>
      <c r="Q236" s="214">
        <v>45660</v>
      </c>
      <c r="R236" s="215"/>
      <c r="S236" s="218">
        <v>45631</v>
      </c>
      <c r="T236" s="205"/>
      <c r="U236" s="205"/>
      <c r="V236" s="216" t="s">
        <v>1131</v>
      </c>
      <c r="W236" s="212"/>
      <c r="X236" s="10">
        <v>7</v>
      </c>
      <c r="Y236" s="10">
        <v>7</v>
      </c>
      <c r="Z236" s="213">
        <f t="shared" si="87"/>
        <v>60000</v>
      </c>
      <c r="AA236" s="62"/>
      <c r="AB236" s="62"/>
      <c r="AC236" s="62"/>
      <c r="AD236" s="62"/>
      <c r="AE236" s="62"/>
      <c r="AF236" s="63"/>
      <c r="AG236" s="64"/>
      <c r="AH236" s="6">
        <v>1</v>
      </c>
      <c r="AI236">
        <f t="shared" si="88"/>
        <v>25</v>
      </c>
      <c r="AJ236">
        <f t="shared" si="89"/>
        <v>25</v>
      </c>
      <c r="AK236">
        <f t="shared" si="90"/>
        <v>0</v>
      </c>
      <c r="AL236">
        <f t="shared" si="91"/>
        <v>0</v>
      </c>
      <c r="AM236">
        <f t="shared" si="92"/>
        <v>0</v>
      </c>
      <c r="AN236">
        <f t="shared" si="93"/>
        <v>0</v>
      </c>
      <c r="AO236">
        <f t="shared" si="94"/>
        <v>0</v>
      </c>
      <c r="AP236">
        <f t="shared" si="95"/>
        <v>0</v>
      </c>
      <c r="AQ236">
        <f t="shared" si="96"/>
        <v>0</v>
      </c>
      <c r="AR236">
        <f t="shared" si="97"/>
        <v>0</v>
      </c>
      <c r="AS236">
        <f t="shared" si="98"/>
        <v>0</v>
      </c>
      <c r="AT236">
        <f t="shared" si="99"/>
        <v>0</v>
      </c>
      <c r="AU236">
        <f t="shared" si="100"/>
        <v>1</v>
      </c>
      <c r="AV236">
        <f t="shared" si="101"/>
        <v>1</v>
      </c>
      <c r="AW236">
        <f t="shared" si="102"/>
        <v>1</v>
      </c>
      <c r="AX236">
        <f t="shared" si="103"/>
        <v>1</v>
      </c>
      <c r="AY236">
        <f t="shared" si="104"/>
        <v>60000</v>
      </c>
      <c r="AZ236">
        <f t="shared" si="105"/>
        <v>60000</v>
      </c>
      <c r="BA236">
        <f t="shared" si="106"/>
        <v>0</v>
      </c>
      <c r="BB236">
        <f t="shared" si="107"/>
        <v>0</v>
      </c>
      <c r="BC236">
        <f t="shared" si="108"/>
        <v>0</v>
      </c>
      <c r="BD236">
        <f t="shared" si="109"/>
        <v>0</v>
      </c>
      <c r="BE236">
        <f t="shared" si="110"/>
        <v>0</v>
      </c>
      <c r="BF236">
        <f t="shared" si="111"/>
        <v>0</v>
      </c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</row>
    <row r="237" spans="1:256" s="201" customFormat="1" ht="14.25" x14ac:dyDescent="0.2">
      <c r="A237" s="10">
        <v>3130</v>
      </c>
      <c r="B237" s="11" t="s">
        <v>794</v>
      </c>
      <c r="C237" s="105" t="s">
        <v>795</v>
      </c>
      <c r="D237" s="11" t="s">
        <v>173</v>
      </c>
      <c r="E237" s="12">
        <v>11623</v>
      </c>
      <c r="F237" s="202">
        <v>16</v>
      </c>
      <c r="G237" s="11">
        <v>60000</v>
      </c>
      <c r="H237" s="116">
        <v>0</v>
      </c>
      <c r="I237" s="192"/>
      <c r="J237" s="204"/>
      <c r="K237" s="193"/>
      <c r="L237" s="193"/>
      <c r="M237" s="193"/>
      <c r="N237" s="203">
        <f t="shared" si="84"/>
        <v>60000</v>
      </c>
      <c r="O237" s="203">
        <f t="shared" si="85"/>
        <v>60000</v>
      </c>
      <c r="P237" s="203">
        <f t="shared" si="86"/>
        <v>60000</v>
      </c>
      <c r="Q237" s="214">
        <v>45664</v>
      </c>
      <c r="R237" s="215"/>
      <c r="S237" s="218">
        <v>45635</v>
      </c>
      <c r="T237" s="205"/>
      <c r="U237" s="205"/>
      <c r="V237" s="216" t="s">
        <v>1131</v>
      </c>
      <c r="W237" s="212"/>
      <c r="X237" s="10">
        <v>7</v>
      </c>
      <c r="Y237" s="10">
        <v>7</v>
      </c>
      <c r="Z237" s="213">
        <f t="shared" si="87"/>
        <v>60000</v>
      </c>
      <c r="AA237" s="62"/>
      <c r="AB237" s="62"/>
      <c r="AC237" s="62"/>
      <c r="AD237" s="62"/>
      <c r="AE237" s="62"/>
      <c r="AF237" s="63"/>
      <c r="AG237" s="64"/>
      <c r="AH237" s="6">
        <v>1</v>
      </c>
      <c r="AI237">
        <f t="shared" si="88"/>
        <v>25</v>
      </c>
      <c r="AJ237">
        <f t="shared" si="89"/>
        <v>25</v>
      </c>
      <c r="AK237">
        <f t="shared" si="90"/>
        <v>0</v>
      </c>
      <c r="AL237">
        <f t="shared" si="91"/>
        <v>0</v>
      </c>
      <c r="AM237">
        <f t="shared" si="92"/>
        <v>0</v>
      </c>
      <c r="AN237">
        <f t="shared" si="93"/>
        <v>0</v>
      </c>
      <c r="AO237">
        <f t="shared" si="94"/>
        <v>0</v>
      </c>
      <c r="AP237">
        <f t="shared" si="95"/>
        <v>0</v>
      </c>
      <c r="AQ237">
        <f t="shared" si="96"/>
        <v>0</v>
      </c>
      <c r="AR237">
        <f t="shared" si="97"/>
        <v>0</v>
      </c>
      <c r="AS237">
        <f t="shared" si="98"/>
        <v>0</v>
      </c>
      <c r="AT237">
        <f t="shared" si="99"/>
        <v>0</v>
      </c>
      <c r="AU237">
        <f t="shared" si="100"/>
        <v>1</v>
      </c>
      <c r="AV237">
        <f t="shared" si="101"/>
        <v>1</v>
      </c>
      <c r="AW237">
        <f t="shared" si="102"/>
        <v>1</v>
      </c>
      <c r="AX237">
        <f t="shared" si="103"/>
        <v>1</v>
      </c>
      <c r="AY237">
        <f t="shared" si="104"/>
        <v>60000</v>
      </c>
      <c r="AZ237">
        <f t="shared" si="105"/>
        <v>60000</v>
      </c>
      <c r="BA237">
        <f t="shared" si="106"/>
        <v>0</v>
      </c>
      <c r="BB237">
        <f t="shared" si="107"/>
        <v>0</v>
      </c>
      <c r="BC237">
        <f t="shared" si="108"/>
        <v>0</v>
      </c>
      <c r="BD237">
        <f t="shared" si="109"/>
        <v>0</v>
      </c>
      <c r="BE237">
        <f t="shared" si="110"/>
        <v>0</v>
      </c>
      <c r="BF237">
        <f t="shared" si="111"/>
        <v>0</v>
      </c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</row>
    <row r="238" spans="1:256" s="201" customFormat="1" ht="14.25" x14ac:dyDescent="0.2">
      <c r="A238" s="10">
        <v>3131</v>
      </c>
      <c r="B238" s="11" t="s">
        <v>293</v>
      </c>
      <c r="C238" s="105" t="s">
        <v>294</v>
      </c>
      <c r="D238" s="11" t="s">
        <v>157</v>
      </c>
      <c r="E238" s="12">
        <v>11461</v>
      </c>
      <c r="F238" s="202">
        <v>16</v>
      </c>
      <c r="G238" s="11">
        <v>60000</v>
      </c>
      <c r="H238" s="116">
        <v>0</v>
      </c>
      <c r="I238" s="192"/>
      <c r="J238" s="204"/>
      <c r="K238" s="193"/>
      <c r="L238" s="193"/>
      <c r="M238" s="193"/>
      <c r="N238" s="203">
        <f t="shared" si="84"/>
        <v>60000</v>
      </c>
      <c r="O238" s="203">
        <f t="shared" si="85"/>
        <v>60000</v>
      </c>
      <c r="P238" s="203">
        <f t="shared" si="86"/>
        <v>60000</v>
      </c>
      <c r="Q238" s="214"/>
      <c r="R238" s="215"/>
      <c r="S238" s="218">
        <v>45635</v>
      </c>
      <c r="T238" s="205"/>
      <c r="U238" s="205"/>
      <c r="V238" s="216"/>
      <c r="W238" s="212"/>
      <c r="X238" s="10">
        <v>7</v>
      </c>
      <c r="Y238" s="10">
        <v>7</v>
      </c>
      <c r="Z238" s="213">
        <f t="shared" si="87"/>
        <v>60000</v>
      </c>
      <c r="AA238" s="62"/>
      <c r="AB238" s="62"/>
      <c r="AC238" s="62"/>
      <c r="AD238" s="62"/>
      <c r="AE238" s="62"/>
      <c r="AF238" s="63"/>
      <c r="AG238" s="64"/>
      <c r="AH238" s="6">
        <v>1</v>
      </c>
      <c r="AI238">
        <f t="shared" si="88"/>
        <v>25</v>
      </c>
      <c r="AJ238">
        <f t="shared" si="89"/>
        <v>25</v>
      </c>
      <c r="AK238">
        <f t="shared" si="90"/>
        <v>0</v>
      </c>
      <c r="AL238">
        <f t="shared" si="91"/>
        <v>0</v>
      </c>
      <c r="AM238">
        <f t="shared" si="92"/>
        <v>0</v>
      </c>
      <c r="AN238">
        <f t="shared" si="93"/>
        <v>0</v>
      </c>
      <c r="AO238">
        <f t="shared" si="94"/>
        <v>0</v>
      </c>
      <c r="AP238">
        <f t="shared" si="95"/>
        <v>0</v>
      </c>
      <c r="AQ238">
        <f t="shared" si="96"/>
        <v>0</v>
      </c>
      <c r="AR238">
        <f t="shared" si="97"/>
        <v>0</v>
      </c>
      <c r="AS238">
        <f t="shared" si="98"/>
        <v>0</v>
      </c>
      <c r="AT238">
        <f t="shared" si="99"/>
        <v>0</v>
      </c>
      <c r="AU238">
        <f t="shared" si="100"/>
        <v>1</v>
      </c>
      <c r="AV238">
        <f t="shared" si="101"/>
        <v>1</v>
      </c>
      <c r="AW238">
        <f t="shared" si="102"/>
        <v>1</v>
      </c>
      <c r="AX238">
        <f t="shared" si="103"/>
        <v>1</v>
      </c>
      <c r="AY238">
        <f t="shared" si="104"/>
        <v>60000</v>
      </c>
      <c r="AZ238">
        <f t="shared" si="105"/>
        <v>60000</v>
      </c>
      <c r="BA238">
        <f t="shared" si="106"/>
        <v>0</v>
      </c>
      <c r="BB238">
        <f t="shared" si="107"/>
        <v>0</v>
      </c>
      <c r="BC238">
        <f t="shared" si="108"/>
        <v>0</v>
      </c>
      <c r="BD238">
        <f t="shared" si="109"/>
        <v>0</v>
      </c>
      <c r="BE238">
        <f t="shared" si="110"/>
        <v>0</v>
      </c>
      <c r="BF238">
        <f t="shared" si="111"/>
        <v>0</v>
      </c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</row>
    <row r="239" spans="1:256" s="201" customFormat="1" ht="14.25" x14ac:dyDescent="0.2">
      <c r="A239" s="10">
        <v>3134</v>
      </c>
      <c r="B239" s="11" t="s">
        <v>796</v>
      </c>
      <c r="C239" s="105" t="s">
        <v>797</v>
      </c>
      <c r="D239" s="11" t="s">
        <v>105</v>
      </c>
      <c r="E239" s="12">
        <v>269</v>
      </c>
      <c r="F239" s="202">
        <v>16</v>
      </c>
      <c r="G239" s="11">
        <v>60000</v>
      </c>
      <c r="H239" s="116">
        <v>0</v>
      </c>
      <c r="I239" s="192"/>
      <c r="J239" s="204"/>
      <c r="K239" s="193"/>
      <c r="L239" s="193"/>
      <c r="M239" s="193"/>
      <c r="N239" s="203">
        <f t="shared" si="84"/>
        <v>60000</v>
      </c>
      <c r="O239" s="203">
        <f t="shared" si="85"/>
        <v>60000</v>
      </c>
      <c r="P239" s="203">
        <f t="shared" si="86"/>
        <v>60000</v>
      </c>
      <c r="Q239" s="214">
        <v>45659</v>
      </c>
      <c r="R239" s="215"/>
      <c r="S239" s="218">
        <v>45635</v>
      </c>
      <c r="T239" s="205"/>
      <c r="U239" s="205"/>
      <c r="V239" s="216" t="s">
        <v>1131</v>
      </c>
      <c r="W239" s="212"/>
      <c r="X239" s="10">
        <v>7</v>
      </c>
      <c r="Y239" s="10">
        <v>7</v>
      </c>
      <c r="Z239" s="213">
        <f t="shared" si="87"/>
        <v>60000</v>
      </c>
      <c r="AA239" s="62"/>
      <c r="AB239" s="62"/>
      <c r="AC239" s="62"/>
      <c r="AD239" s="62"/>
      <c r="AE239" s="62"/>
      <c r="AF239" s="63"/>
      <c r="AG239" s="64"/>
      <c r="AH239" s="6">
        <v>1</v>
      </c>
      <c r="AI239">
        <f t="shared" si="88"/>
        <v>25</v>
      </c>
      <c r="AJ239">
        <f t="shared" si="89"/>
        <v>25</v>
      </c>
      <c r="AK239">
        <f t="shared" si="90"/>
        <v>0</v>
      </c>
      <c r="AL239">
        <f t="shared" si="91"/>
        <v>0</v>
      </c>
      <c r="AM239">
        <f t="shared" si="92"/>
        <v>0</v>
      </c>
      <c r="AN239">
        <f t="shared" si="93"/>
        <v>0</v>
      </c>
      <c r="AO239">
        <f t="shared" si="94"/>
        <v>0</v>
      </c>
      <c r="AP239">
        <f t="shared" si="95"/>
        <v>0</v>
      </c>
      <c r="AQ239">
        <f t="shared" si="96"/>
        <v>0</v>
      </c>
      <c r="AR239">
        <f t="shared" si="97"/>
        <v>0</v>
      </c>
      <c r="AS239">
        <f t="shared" si="98"/>
        <v>0</v>
      </c>
      <c r="AT239">
        <f t="shared" si="99"/>
        <v>0</v>
      </c>
      <c r="AU239">
        <f t="shared" si="100"/>
        <v>1</v>
      </c>
      <c r="AV239">
        <f t="shared" si="101"/>
        <v>1</v>
      </c>
      <c r="AW239">
        <f t="shared" si="102"/>
        <v>1</v>
      </c>
      <c r="AX239">
        <f t="shared" si="103"/>
        <v>1</v>
      </c>
      <c r="AY239">
        <f t="shared" si="104"/>
        <v>60000</v>
      </c>
      <c r="AZ239">
        <f t="shared" si="105"/>
        <v>60000</v>
      </c>
      <c r="BA239">
        <f t="shared" si="106"/>
        <v>0</v>
      </c>
      <c r="BB239">
        <f t="shared" si="107"/>
        <v>0</v>
      </c>
      <c r="BC239">
        <f t="shared" si="108"/>
        <v>0</v>
      </c>
      <c r="BD239">
        <f t="shared" si="109"/>
        <v>0</v>
      </c>
      <c r="BE239">
        <f t="shared" si="110"/>
        <v>0</v>
      </c>
      <c r="BF239">
        <f t="shared" si="111"/>
        <v>0</v>
      </c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</row>
    <row r="240" spans="1:256" s="201" customFormat="1" ht="14.25" x14ac:dyDescent="0.2">
      <c r="A240" s="10">
        <v>3135</v>
      </c>
      <c r="B240" s="11" t="s">
        <v>798</v>
      </c>
      <c r="C240" s="105" t="s">
        <v>799</v>
      </c>
      <c r="D240" s="11" t="s">
        <v>105</v>
      </c>
      <c r="E240" s="12">
        <v>11954</v>
      </c>
      <c r="F240" s="202">
        <v>16</v>
      </c>
      <c r="G240" s="11">
        <v>60000</v>
      </c>
      <c r="H240" s="116">
        <v>0</v>
      </c>
      <c r="I240" s="192"/>
      <c r="J240" s="204"/>
      <c r="K240" s="193"/>
      <c r="L240" s="193"/>
      <c r="M240" s="193"/>
      <c r="N240" s="203">
        <f t="shared" si="84"/>
        <v>60000</v>
      </c>
      <c r="O240" s="203">
        <f t="shared" si="85"/>
        <v>60000</v>
      </c>
      <c r="P240" s="203">
        <f t="shared" si="86"/>
        <v>60000</v>
      </c>
      <c r="Q240" s="214"/>
      <c r="R240" s="215"/>
      <c r="S240" s="218">
        <v>45636</v>
      </c>
      <c r="T240" s="205"/>
      <c r="U240" s="205"/>
      <c r="V240" s="216"/>
      <c r="W240" s="212"/>
      <c r="X240" s="10">
        <v>7</v>
      </c>
      <c r="Y240" s="10">
        <v>7</v>
      </c>
      <c r="Z240" s="213">
        <f t="shared" si="87"/>
        <v>60000</v>
      </c>
      <c r="AA240" s="62"/>
      <c r="AB240" s="62"/>
      <c r="AC240" s="62"/>
      <c r="AD240" s="62"/>
      <c r="AE240" s="62"/>
      <c r="AF240" s="63"/>
      <c r="AG240" s="64"/>
      <c r="AH240" s="6">
        <v>1</v>
      </c>
      <c r="AI240">
        <f t="shared" si="88"/>
        <v>25</v>
      </c>
      <c r="AJ240">
        <f t="shared" si="89"/>
        <v>25</v>
      </c>
      <c r="AK240">
        <f t="shared" si="90"/>
        <v>0</v>
      </c>
      <c r="AL240">
        <f t="shared" si="91"/>
        <v>0</v>
      </c>
      <c r="AM240">
        <f t="shared" si="92"/>
        <v>0</v>
      </c>
      <c r="AN240">
        <f t="shared" si="93"/>
        <v>0</v>
      </c>
      <c r="AO240">
        <f t="shared" si="94"/>
        <v>0</v>
      </c>
      <c r="AP240">
        <f t="shared" si="95"/>
        <v>0</v>
      </c>
      <c r="AQ240">
        <f t="shared" si="96"/>
        <v>0</v>
      </c>
      <c r="AR240">
        <f t="shared" si="97"/>
        <v>0</v>
      </c>
      <c r="AS240">
        <f t="shared" si="98"/>
        <v>0</v>
      </c>
      <c r="AT240">
        <f t="shared" si="99"/>
        <v>0</v>
      </c>
      <c r="AU240">
        <f t="shared" si="100"/>
        <v>1</v>
      </c>
      <c r="AV240">
        <f t="shared" si="101"/>
        <v>1</v>
      </c>
      <c r="AW240">
        <f t="shared" si="102"/>
        <v>1</v>
      </c>
      <c r="AX240">
        <f t="shared" si="103"/>
        <v>1</v>
      </c>
      <c r="AY240">
        <f t="shared" si="104"/>
        <v>60000</v>
      </c>
      <c r="AZ240">
        <f t="shared" si="105"/>
        <v>60000</v>
      </c>
      <c r="BA240">
        <f t="shared" si="106"/>
        <v>0</v>
      </c>
      <c r="BB240">
        <f t="shared" si="107"/>
        <v>0</v>
      </c>
      <c r="BC240">
        <f t="shared" si="108"/>
        <v>0</v>
      </c>
      <c r="BD240">
        <f t="shared" si="109"/>
        <v>0</v>
      </c>
      <c r="BE240">
        <f t="shared" si="110"/>
        <v>0</v>
      </c>
      <c r="BF240">
        <f t="shared" si="111"/>
        <v>0</v>
      </c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</row>
    <row r="241" spans="1:256" s="201" customFormat="1" ht="14.25" x14ac:dyDescent="0.2">
      <c r="A241" s="10">
        <v>3137</v>
      </c>
      <c r="B241" s="11" t="s">
        <v>800</v>
      </c>
      <c r="C241" s="105" t="s">
        <v>801</v>
      </c>
      <c r="D241" s="11" t="s">
        <v>106</v>
      </c>
      <c r="E241" s="12">
        <v>20002</v>
      </c>
      <c r="F241" s="202">
        <v>16</v>
      </c>
      <c r="G241" s="11">
        <v>55000</v>
      </c>
      <c r="H241" s="116">
        <v>0</v>
      </c>
      <c r="I241" s="192"/>
      <c r="J241" s="204"/>
      <c r="K241" s="193"/>
      <c r="L241" s="193"/>
      <c r="M241" s="193"/>
      <c r="N241" s="203">
        <f t="shared" si="84"/>
        <v>55000</v>
      </c>
      <c r="O241" s="203">
        <f t="shared" si="85"/>
        <v>55000</v>
      </c>
      <c r="P241" s="203">
        <f t="shared" si="86"/>
        <v>55000</v>
      </c>
      <c r="Q241" s="214"/>
      <c r="R241" s="215"/>
      <c r="S241" s="218">
        <v>45636</v>
      </c>
      <c r="T241" s="205"/>
      <c r="U241" s="205"/>
      <c r="V241" s="216"/>
      <c r="W241" s="212"/>
      <c r="X241" s="10">
        <v>7</v>
      </c>
      <c r="Y241" s="10">
        <v>7</v>
      </c>
      <c r="Z241" s="213">
        <f t="shared" si="87"/>
        <v>55000</v>
      </c>
      <c r="AA241" s="62"/>
      <c r="AB241" s="62"/>
      <c r="AC241" s="62"/>
      <c r="AD241" s="62"/>
      <c r="AE241" s="62"/>
      <c r="AF241" s="63"/>
      <c r="AG241" s="64"/>
      <c r="AH241" s="6">
        <v>1</v>
      </c>
      <c r="AI241">
        <f t="shared" si="88"/>
        <v>25</v>
      </c>
      <c r="AJ241">
        <f t="shared" si="89"/>
        <v>25</v>
      </c>
      <c r="AK241">
        <f t="shared" si="90"/>
        <v>0</v>
      </c>
      <c r="AL241">
        <f t="shared" si="91"/>
        <v>0</v>
      </c>
      <c r="AM241">
        <f t="shared" si="92"/>
        <v>0</v>
      </c>
      <c r="AN241">
        <f t="shared" si="93"/>
        <v>0</v>
      </c>
      <c r="AO241">
        <f t="shared" si="94"/>
        <v>0</v>
      </c>
      <c r="AP241">
        <f t="shared" si="95"/>
        <v>0</v>
      </c>
      <c r="AQ241">
        <f t="shared" si="96"/>
        <v>0</v>
      </c>
      <c r="AR241">
        <f t="shared" si="97"/>
        <v>0</v>
      </c>
      <c r="AS241">
        <f t="shared" si="98"/>
        <v>0</v>
      </c>
      <c r="AT241">
        <f t="shared" si="99"/>
        <v>0</v>
      </c>
      <c r="AU241">
        <f t="shared" si="100"/>
        <v>1</v>
      </c>
      <c r="AV241">
        <f t="shared" si="101"/>
        <v>1</v>
      </c>
      <c r="AW241">
        <f t="shared" si="102"/>
        <v>1</v>
      </c>
      <c r="AX241">
        <f t="shared" si="103"/>
        <v>1</v>
      </c>
      <c r="AY241">
        <f t="shared" si="104"/>
        <v>55000</v>
      </c>
      <c r="AZ241">
        <f t="shared" si="105"/>
        <v>55000</v>
      </c>
      <c r="BA241">
        <f t="shared" si="106"/>
        <v>0</v>
      </c>
      <c r="BB241">
        <f t="shared" si="107"/>
        <v>0</v>
      </c>
      <c r="BC241">
        <f t="shared" si="108"/>
        <v>0</v>
      </c>
      <c r="BD241">
        <f t="shared" si="109"/>
        <v>0</v>
      </c>
      <c r="BE241">
        <f t="shared" si="110"/>
        <v>0</v>
      </c>
      <c r="BF241">
        <f t="shared" si="111"/>
        <v>0</v>
      </c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</row>
    <row r="242" spans="1:256" s="201" customFormat="1" ht="14.25" x14ac:dyDescent="0.2">
      <c r="A242" s="10">
        <v>3138</v>
      </c>
      <c r="B242" s="11" t="s">
        <v>296</v>
      </c>
      <c r="C242" s="105" t="s">
        <v>297</v>
      </c>
      <c r="D242" s="11" t="s">
        <v>173</v>
      </c>
      <c r="E242" s="12">
        <v>11969</v>
      </c>
      <c r="F242" s="202">
        <v>16</v>
      </c>
      <c r="G242" s="11">
        <v>30000</v>
      </c>
      <c r="H242" s="116">
        <v>-20000</v>
      </c>
      <c r="I242" s="192"/>
      <c r="J242" s="204"/>
      <c r="K242" s="193"/>
      <c r="L242" s="193"/>
      <c r="M242" s="193"/>
      <c r="N242" s="203">
        <f t="shared" si="84"/>
        <v>30000</v>
      </c>
      <c r="O242" s="203">
        <f t="shared" si="85"/>
        <v>10000</v>
      </c>
      <c r="P242" s="203">
        <f t="shared" si="86"/>
        <v>10000</v>
      </c>
      <c r="Q242" s="214"/>
      <c r="R242" s="215"/>
      <c r="S242" s="218">
        <v>45649</v>
      </c>
      <c r="T242" s="205"/>
      <c r="U242" s="205"/>
      <c r="V242" s="216"/>
      <c r="W242" s="212"/>
      <c r="X242" s="10">
        <v>7</v>
      </c>
      <c r="Y242" s="10">
        <v>7</v>
      </c>
      <c r="Z242" s="213">
        <f t="shared" si="87"/>
        <v>30000</v>
      </c>
      <c r="AA242" s="62"/>
      <c r="AB242" s="62"/>
      <c r="AC242" s="62"/>
      <c r="AD242" s="62"/>
      <c r="AE242" s="62"/>
      <c r="AF242" s="63"/>
      <c r="AG242" s="64"/>
      <c r="AH242" s="6">
        <v>1</v>
      </c>
      <c r="AI242">
        <f t="shared" si="88"/>
        <v>25</v>
      </c>
      <c r="AJ242">
        <f t="shared" si="89"/>
        <v>25</v>
      </c>
      <c r="AK242">
        <f t="shared" si="90"/>
        <v>0</v>
      </c>
      <c r="AL242">
        <f t="shared" si="91"/>
        <v>0</v>
      </c>
      <c r="AM242">
        <f t="shared" si="92"/>
        <v>0</v>
      </c>
      <c r="AN242">
        <f t="shared" si="93"/>
        <v>0</v>
      </c>
      <c r="AO242">
        <f t="shared" si="94"/>
        <v>0</v>
      </c>
      <c r="AP242">
        <f t="shared" si="95"/>
        <v>0</v>
      </c>
      <c r="AQ242">
        <f t="shared" si="96"/>
        <v>0</v>
      </c>
      <c r="AR242">
        <f t="shared" si="97"/>
        <v>0</v>
      </c>
      <c r="AS242">
        <f t="shared" si="98"/>
        <v>0</v>
      </c>
      <c r="AT242">
        <f t="shared" si="99"/>
        <v>0</v>
      </c>
      <c r="AU242">
        <f t="shared" si="100"/>
        <v>1</v>
      </c>
      <c r="AV242">
        <f t="shared" si="101"/>
        <v>1</v>
      </c>
      <c r="AW242">
        <f t="shared" si="102"/>
        <v>1</v>
      </c>
      <c r="AX242">
        <f t="shared" si="103"/>
        <v>1</v>
      </c>
      <c r="AY242">
        <f t="shared" si="104"/>
        <v>10000</v>
      </c>
      <c r="AZ242">
        <f t="shared" si="105"/>
        <v>10000</v>
      </c>
      <c r="BA242">
        <f t="shared" si="106"/>
        <v>0</v>
      </c>
      <c r="BB242">
        <f t="shared" si="107"/>
        <v>0</v>
      </c>
      <c r="BC242">
        <f t="shared" si="108"/>
        <v>0</v>
      </c>
      <c r="BD242">
        <f t="shared" si="109"/>
        <v>0</v>
      </c>
      <c r="BE242">
        <f t="shared" si="110"/>
        <v>0</v>
      </c>
      <c r="BF242">
        <f t="shared" si="111"/>
        <v>0</v>
      </c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</row>
    <row r="243" spans="1:256" s="201" customFormat="1" ht="14.25" x14ac:dyDescent="0.2">
      <c r="A243" s="10">
        <v>3142</v>
      </c>
      <c r="B243" s="11" t="s">
        <v>802</v>
      </c>
      <c r="C243" s="105" t="s">
        <v>803</v>
      </c>
      <c r="D243" s="11" t="s">
        <v>157</v>
      </c>
      <c r="E243" s="12">
        <v>11965</v>
      </c>
      <c r="F243" s="202">
        <v>16</v>
      </c>
      <c r="G243" s="11">
        <v>60000</v>
      </c>
      <c r="H243" s="116">
        <v>-10000</v>
      </c>
      <c r="I243" s="192"/>
      <c r="J243" s="204"/>
      <c r="K243" s="193"/>
      <c r="L243" s="193"/>
      <c r="M243" s="193"/>
      <c r="N243" s="203">
        <f t="shared" si="84"/>
        <v>60000</v>
      </c>
      <c r="O243" s="203">
        <f t="shared" si="85"/>
        <v>50000</v>
      </c>
      <c r="P243" s="203">
        <f t="shared" si="86"/>
        <v>50000</v>
      </c>
      <c r="Q243" s="214"/>
      <c r="R243" s="215"/>
      <c r="S243" s="218">
        <v>45649</v>
      </c>
      <c r="T243" s="205"/>
      <c r="U243" s="205"/>
      <c r="V243" s="216"/>
      <c r="W243" s="212"/>
      <c r="X243" s="10">
        <v>7</v>
      </c>
      <c r="Y243" s="10">
        <v>7</v>
      </c>
      <c r="Z243" s="213">
        <f t="shared" si="87"/>
        <v>60000</v>
      </c>
      <c r="AA243" s="62"/>
      <c r="AB243" s="62"/>
      <c r="AC243" s="62"/>
      <c r="AD243" s="62"/>
      <c r="AE243" s="62"/>
      <c r="AF243" s="63"/>
      <c r="AG243" s="64"/>
      <c r="AH243" s="6">
        <v>1</v>
      </c>
      <c r="AI243">
        <f t="shared" si="88"/>
        <v>25</v>
      </c>
      <c r="AJ243">
        <f t="shared" si="89"/>
        <v>25</v>
      </c>
      <c r="AK243">
        <f t="shared" si="90"/>
        <v>0</v>
      </c>
      <c r="AL243">
        <f t="shared" si="91"/>
        <v>0</v>
      </c>
      <c r="AM243">
        <f t="shared" si="92"/>
        <v>0</v>
      </c>
      <c r="AN243">
        <f t="shared" si="93"/>
        <v>0</v>
      </c>
      <c r="AO243">
        <f t="shared" si="94"/>
        <v>0</v>
      </c>
      <c r="AP243">
        <f t="shared" si="95"/>
        <v>0</v>
      </c>
      <c r="AQ243">
        <f t="shared" si="96"/>
        <v>0</v>
      </c>
      <c r="AR243">
        <f t="shared" si="97"/>
        <v>0</v>
      </c>
      <c r="AS243">
        <f t="shared" si="98"/>
        <v>0</v>
      </c>
      <c r="AT243">
        <f t="shared" si="99"/>
        <v>0</v>
      </c>
      <c r="AU243">
        <f t="shared" si="100"/>
        <v>1</v>
      </c>
      <c r="AV243">
        <f t="shared" si="101"/>
        <v>1</v>
      </c>
      <c r="AW243">
        <f t="shared" si="102"/>
        <v>1</v>
      </c>
      <c r="AX243">
        <f t="shared" si="103"/>
        <v>1</v>
      </c>
      <c r="AY243">
        <f t="shared" si="104"/>
        <v>50000</v>
      </c>
      <c r="AZ243">
        <f t="shared" si="105"/>
        <v>50000</v>
      </c>
      <c r="BA243">
        <f t="shared" si="106"/>
        <v>0</v>
      </c>
      <c r="BB243">
        <f t="shared" si="107"/>
        <v>0</v>
      </c>
      <c r="BC243">
        <f t="shared" si="108"/>
        <v>0</v>
      </c>
      <c r="BD243">
        <f t="shared" si="109"/>
        <v>0</v>
      </c>
      <c r="BE243">
        <f t="shared" si="110"/>
        <v>0</v>
      </c>
      <c r="BF243">
        <f t="shared" si="111"/>
        <v>0</v>
      </c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</row>
    <row r="244" spans="1:256" s="201" customFormat="1" ht="14.25" x14ac:dyDescent="0.2">
      <c r="A244" s="10">
        <v>3143</v>
      </c>
      <c r="B244" s="11" t="s">
        <v>804</v>
      </c>
      <c r="C244" s="105" t="s">
        <v>805</v>
      </c>
      <c r="D244" s="11" t="s">
        <v>106</v>
      </c>
      <c r="E244" s="12">
        <v>11913</v>
      </c>
      <c r="F244" s="202">
        <v>16</v>
      </c>
      <c r="G244" s="11">
        <v>55000</v>
      </c>
      <c r="H244" s="116">
        <v>0</v>
      </c>
      <c r="I244" s="192"/>
      <c r="J244" s="204"/>
      <c r="K244" s="193"/>
      <c r="L244" s="193"/>
      <c r="M244" s="193"/>
      <c r="N244" s="203">
        <f t="shared" si="84"/>
        <v>55000</v>
      </c>
      <c r="O244" s="203">
        <f t="shared" si="85"/>
        <v>55000</v>
      </c>
      <c r="P244" s="203">
        <f t="shared" si="86"/>
        <v>55000</v>
      </c>
      <c r="Q244" s="214"/>
      <c r="R244" s="215"/>
      <c r="S244" s="218">
        <v>45577</v>
      </c>
      <c r="T244" s="205"/>
      <c r="U244" s="205"/>
      <c r="V244" s="216"/>
      <c r="W244" s="212"/>
      <c r="X244" s="10">
        <v>7</v>
      </c>
      <c r="Y244" s="10">
        <v>7</v>
      </c>
      <c r="Z244" s="213">
        <f t="shared" si="87"/>
        <v>55000</v>
      </c>
      <c r="AA244" s="62"/>
      <c r="AB244" s="62"/>
      <c r="AC244" s="62"/>
      <c r="AD244" s="62"/>
      <c r="AE244" s="62"/>
      <c r="AF244" s="63"/>
      <c r="AG244" s="64"/>
      <c r="AH244" s="6">
        <v>1</v>
      </c>
      <c r="AI244">
        <f t="shared" si="88"/>
        <v>25</v>
      </c>
      <c r="AJ244">
        <f t="shared" si="89"/>
        <v>25</v>
      </c>
      <c r="AK244">
        <f t="shared" si="90"/>
        <v>0</v>
      </c>
      <c r="AL244">
        <f t="shared" si="91"/>
        <v>0</v>
      </c>
      <c r="AM244">
        <f t="shared" si="92"/>
        <v>0</v>
      </c>
      <c r="AN244">
        <f t="shared" si="93"/>
        <v>0</v>
      </c>
      <c r="AO244">
        <f t="shared" si="94"/>
        <v>0</v>
      </c>
      <c r="AP244">
        <f t="shared" si="95"/>
        <v>0</v>
      </c>
      <c r="AQ244">
        <f t="shared" si="96"/>
        <v>0</v>
      </c>
      <c r="AR244">
        <f t="shared" si="97"/>
        <v>0</v>
      </c>
      <c r="AS244">
        <f t="shared" si="98"/>
        <v>0</v>
      </c>
      <c r="AT244">
        <f t="shared" si="99"/>
        <v>0</v>
      </c>
      <c r="AU244">
        <f t="shared" si="100"/>
        <v>1</v>
      </c>
      <c r="AV244">
        <f t="shared" si="101"/>
        <v>1</v>
      </c>
      <c r="AW244">
        <f t="shared" si="102"/>
        <v>1</v>
      </c>
      <c r="AX244">
        <f t="shared" si="103"/>
        <v>1</v>
      </c>
      <c r="AY244">
        <f t="shared" si="104"/>
        <v>55000</v>
      </c>
      <c r="AZ244">
        <f t="shared" si="105"/>
        <v>55000</v>
      </c>
      <c r="BA244">
        <f t="shared" si="106"/>
        <v>0</v>
      </c>
      <c r="BB244">
        <f t="shared" si="107"/>
        <v>0</v>
      </c>
      <c r="BC244">
        <f t="shared" si="108"/>
        <v>0</v>
      </c>
      <c r="BD244">
        <f t="shared" si="109"/>
        <v>0</v>
      </c>
      <c r="BE244">
        <f t="shared" si="110"/>
        <v>0</v>
      </c>
      <c r="BF244">
        <f t="shared" si="111"/>
        <v>0</v>
      </c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</row>
    <row r="245" spans="1:256" s="201" customFormat="1" ht="14.25" x14ac:dyDescent="0.2">
      <c r="A245" s="10">
        <v>3144</v>
      </c>
      <c r="B245" s="11" t="s">
        <v>806</v>
      </c>
      <c r="C245" s="105" t="s">
        <v>807</v>
      </c>
      <c r="D245" s="11" t="s">
        <v>105</v>
      </c>
      <c r="E245" s="12">
        <v>11955</v>
      </c>
      <c r="F245" s="202">
        <v>16</v>
      </c>
      <c r="G245" s="11">
        <v>60000</v>
      </c>
      <c r="H245" s="116">
        <v>0</v>
      </c>
      <c r="I245" s="192"/>
      <c r="J245" s="204"/>
      <c r="K245" s="193"/>
      <c r="L245" s="193"/>
      <c r="M245" s="193"/>
      <c r="N245" s="203">
        <f t="shared" si="84"/>
        <v>60000</v>
      </c>
      <c r="O245" s="203">
        <f t="shared" si="85"/>
        <v>60000</v>
      </c>
      <c r="P245" s="203">
        <f t="shared" si="86"/>
        <v>60000</v>
      </c>
      <c r="Q245" s="214"/>
      <c r="R245" s="215"/>
      <c r="S245" s="218">
        <v>45636</v>
      </c>
      <c r="T245" s="205"/>
      <c r="U245" s="205"/>
      <c r="V245" s="216"/>
      <c r="W245" s="212"/>
      <c r="X245" s="10">
        <v>7</v>
      </c>
      <c r="Y245" s="10">
        <v>7</v>
      </c>
      <c r="Z245" s="213">
        <f t="shared" si="87"/>
        <v>60000</v>
      </c>
      <c r="AA245" s="62"/>
      <c r="AB245" s="62"/>
      <c r="AC245" s="62"/>
      <c r="AD245" s="62"/>
      <c r="AE245" s="62"/>
      <c r="AF245" s="63"/>
      <c r="AG245" s="64"/>
      <c r="AH245" s="6">
        <v>1</v>
      </c>
      <c r="AI245">
        <f t="shared" si="88"/>
        <v>25</v>
      </c>
      <c r="AJ245">
        <f t="shared" si="89"/>
        <v>25</v>
      </c>
      <c r="AK245">
        <f t="shared" si="90"/>
        <v>0</v>
      </c>
      <c r="AL245">
        <f t="shared" si="91"/>
        <v>0</v>
      </c>
      <c r="AM245">
        <f t="shared" si="92"/>
        <v>0</v>
      </c>
      <c r="AN245">
        <f t="shared" si="93"/>
        <v>0</v>
      </c>
      <c r="AO245">
        <f t="shared" si="94"/>
        <v>0</v>
      </c>
      <c r="AP245">
        <f t="shared" si="95"/>
        <v>0</v>
      </c>
      <c r="AQ245">
        <f t="shared" si="96"/>
        <v>0</v>
      </c>
      <c r="AR245">
        <f t="shared" si="97"/>
        <v>0</v>
      </c>
      <c r="AS245">
        <f t="shared" si="98"/>
        <v>0</v>
      </c>
      <c r="AT245">
        <f t="shared" si="99"/>
        <v>0</v>
      </c>
      <c r="AU245">
        <f t="shared" si="100"/>
        <v>1</v>
      </c>
      <c r="AV245">
        <f t="shared" si="101"/>
        <v>1</v>
      </c>
      <c r="AW245">
        <f t="shared" si="102"/>
        <v>1</v>
      </c>
      <c r="AX245">
        <f t="shared" si="103"/>
        <v>1</v>
      </c>
      <c r="AY245">
        <f t="shared" si="104"/>
        <v>60000</v>
      </c>
      <c r="AZ245">
        <f t="shared" si="105"/>
        <v>60000</v>
      </c>
      <c r="BA245">
        <f t="shared" si="106"/>
        <v>0</v>
      </c>
      <c r="BB245">
        <f t="shared" si="107"/>
        <v>0</v>
      </c>
      <c r="BC245">
        <f t="shared" si="108"/>
        <v>0</v>
      </c>
      <c r="BD245">
        <f t="shared" si="109"/>
        <v>0</v>
      </c>
      <c r="BE245">
        <f t="shared" si="110"/>
        <v>0</v>
      </c>
      <c r="BF245">
        <f t="shared" si="111"/>
        <v>0</v>
      </c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</row>
    <row r="246" spans="1:256" s="201" customFormat="1" ht="14.25" x14ac:dyDescent="0.2">
      <c r="A246" s="10">
        <v>3150</v>
      </c>
      <c r="B246" s="11" t="s">
        <v>748</v>
      </c>
      <c r="C246" s="105" t="s">
        <v>749</v>
      </c>
      <c r="D246" s="11" t="s">
        <v>157</v>
      </c>
      <c r="E246" s="12">
        <v>3958</v>
      </c>
      <c r="F246" s="202">
        <v>15</v>
      </c>
      <c r="G246" s="11">
        <v>60000</v>
      </c>
      <c r="H246" s="116">
        <v>0</v>
      </c>
      <c r="I246" s="192"/>
      <c r="J246" s="204"/>
      <c r="K246" s="193"/>
      <c r="L246" s="193"/>
      <c r="M246" s="193"/>
      <c r="N246" s="203">
        <f t="shared" si="84"/>
        <v>60000</v>
      </c>
      <c r="O246" s="203">
        <f t="shared" si="85"/>
        <v>60000</v>
      </c>
      <c r="P246" s="203">
        <f t="shared" si="86"/>
        <v>60000</v>
      </c>
      <c r="Q246" s="214"/>
      <c r="R246" s="215"/>
      <c r="S246" s="218">
        <v>45636</v>
      </c>
      <c r="T246" s="205"/>
      <c r="U246" s="205"/>
      <c r="V246" s="216"/>
      <c r="W246" s="212"/>
      <c r="X246" s="10">
        <v>7</v>
      </c>
      <c r="Y246" s="10">
        <v>7</v>
      </c>
      <c r="Z246" s="213">
        <f t="shared" si="87"/>
        <v>60000</v>
      </c>
      <c r="AA246" s="62"/>
      <c r="AB246" s="62"/>
      <c r="AC246" s="62"/>
      <c r="AD246" s="62"/>
      <c r="AE246" s="62"/>
      <c r="AF246" s="63"/>
      <c r="AG246" s="64"/>
      <c r="AH246" s="6">
        <v>1</v>
      </c>
      <c r="AI246">
        <f t="shared" si="88"/>
        <v>25</v>
      </c>
      <c r="AJ246">
        <f t="shared" si="89"/>
        <v>25</v>
      </c>
      <c r="AK246">
        <f t="shared" si="90"/>
        <v>0</v>
      </c>
      <c r="AL246">
        <f t="shared" si="91"/>
        <v>0</v>
      </c>
      <c r="AM246">
        <f t="shared" si="92"/>
        <v>0</v>
      </c>
      <c r="AN246">
        <f t="shared" si="93"/>
        <v>0</v>
      </c>
      <c r="AO246">
        <f t="shared" si="94"/>
        <v>0</v>
      </c>
      <c r="AP246">
        <f t="shared" si="95"/>
        <v>0</v>
      </c>
      <c r="AQ246">
        <f t="shared" si="96"/>
        <v>0</v>
      </c>
      <c r="AR246">
        <f t="shared" si="97"/>
        <v>0</v>
      </c>
      <c r="AS246">
        <f t="shared" si="98"/>
        <v>0</v>
      </c>
      <c r="AT246">
        <f t="shared" si="99"/>
        <v>0</v>
      </c>
      <c r="AU246">
        <f t="shared" si="100"/>
        <v>1</v>
      </c>
      <c r="AV246">
        <f t="shared" si="101"/>
        <v>1</v>
      </c>
      <c r="AW246">
        <f t="shared" si="102"/>
        <v>1</v>
      </c>
      <c r="AX246">
        <f t="shared" si="103"/>
        <v>1</v>
      </c>
      <c r="AY246">
        <f t="shared" si="104"/>
        <v>60000</v>
      </c>
      <c r="AZ246">
        <f t="shared" si="105"/>
        <v>60000</v>
      </c>
      <c r="BA246">
        <f t="shared" si="106"/>
        <v>0</v>
      </c>
      <c r="BB246">
        <f t="shared" si="107"/>
        <v>0</v>
      </c>
      <c r="BC246">
        <f t="shared" si="108"/>
        <v>0</v>
      </c>
      <c r="BD246">
        <f t="shared" si="109"/>
        <v>0</v>
      </c>
      <c r="BE246">
        <f t="shared" si="110"/>
        <v>0</v>
      </c>
      <c r="BF246">
        <f t="shared" si="111"/>
        <v>0</v>
      </c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</row>
    <row r="247" spans="1:256" s="201" customFormat="1" ht="14.25" x14ac:dyDescent="0.2">
      <c r="A247" s="10">
        <v>3151</v>
      </c>
      <c r="B247" s="11" t="s">
        <v>352</v>
      </c>
      <c r="C247" s="105" t="s">
        <v>353</v>
      </c>
      <c r="D247" s="11" t="s">
        <v>105</v>
      </c>
      <c r="E247" s="12">
        <v>3963</v>
      </c>
      <c r="F247" s="202">
        <v>15</v>
      </c>
      <c r="G247" s="11">
        <v>60000</v>
      </c>
      <c r="H247" s="116">
        <v>0</v>
      </c>
      <c r="I247" s="192"/>
      <c r="J247" s="204"/>
      <c r="K247" s="193"/>
      <c r="L247" s="193"/>
      <c r="M247" s="193"/>
      <c r="N247" s="203">
        <f t="shared" si="84"/>
        <v>60000</v>
      </c>
      <c r="O247" s="203">
        <f t="shared" si="85"/>
        <v>60000</v>
      </c>
      <c r="P247" s="203">
        <f t="shared" si="86"/>
        <v>60000</v>
      </c>
      <c r="Q247" s="214"/>
      <c r="R247" s="215"/>
      <c r="S247" s="218">
        <v>45649</v>
      </c>
      <c r="T247" s="205"/>
      <c r="U247" s="205"/>
      <c r="V247" s="216"/>
      <c r="W247" s="212"/>
      <c r="X247" s="10">
        <v>7</v>
      </c>
      <c r="Y247" s="10">
        <v>7</v>
      </c>
      <c r="Z247" s="213">
        <f t="shared" si="87"/>
        <v>60000</v>
      </c>
      <c r="AA247" s="62"/>
      <c r="AB247" s="62"/>
      <c r="AC247" s="62"/>
      <c r="AD247" s="62"/>
      <c r="AE247" s="62"/>
      <c r="AF247" s="63"/>
      <c r="AG247" s="64"/>
      <c r="AH247" s="6">
        <v>1</v>
      </c>
      <c r="AI247">
        <f t="shared" si="88"/>
        <v>25</v>
      </c>
      <c r="AJ247">
        <f t="shared" si="89"/>
        <v>25</v>
      </c>
      <c r="AK247">
        <f t="shared" si="90"/>
        <v>0</v>
      </c>
      <c r="AL247">
        <f t="shared" si="91"/>
        <v>0</v>
      </c>
      <c r="AM247">
        <f t="shared" si="92"/>
        <v>0</v>
      </c>
      <c r="AN247">
        <f t="shared" si="93"/>
        <v>0</v>
      </c>
      <c r="AO247">
        <f t="shared" si="94"/>
        <v>0</v>
      </c>
      <c r="AP247">
        <f t="shared" si="95"/>
        <v>0</v>
      </c>
      <c r="AQ247">
        <f t="shared" si="96"/>
        <v>0</v>
      </c>
      <c r="AR247">
        <f t="shared" si="97"/>
        <v>0</v>
      </c>
      <c r="AS247">
        <f t="shared" si="98"/>
        <v>0</v>
      </c>
      <c r="AT247">
        <f t="shared" si="99"/>
        <v>0</v>
      </c>
      <c r="AU247">
        <f t="shared" si="100"/>
        <v>1</v>
      </c>
      <c r="AV247">
        <f t="shared" si="101"/>
        <v>1</v>
      </c>
      <c r="AW247">
        <f t="shared" si="102"/>
        <v>1</v>
      </c>
      <c r="AX247">
        <f t="shared" si="103"/>
        <v>1</v>
      </c>
      <c r="AY247">
        <f t="shared" si="104"/>
        <v>60000</v>
      </c>
      <c r="AZ247">
        <f t="shared" si="105"/>
        <v>60000</v>
      </c>
      <c r="BA247">
        <f t="shared" si="106"/>
        <v>0</v>
      </c>
      <c r="BB247">
        <f t="shared" si="107"/>
        <v>0</v>
      </c>
      <c r="BC247">
        <f t="shared" si="108"/>
        <v>0</v>
      </c>
      <c r="BD247">
        <f t="shared" si="109"/>
        <v>0</v>
      </c>
      <c r="BE247">
        <f t="shared" si="110"/>
        <v>0</v>
      </c>
      <c r="BF247">
        <f t="shared" si="111"/>
        <v>0</v>
      </c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</row>
    <row r="248" spans="1:256" s="201" customFormat="1" ht="14.25" x14ac:dyDescent="0.2">
      <c r="A248" s="10">
        <v>3156</v>
      </c>
      <c r="B248" s="11" t="s">
        <v>808</v>
      </c>
      <c r="C248" s="105" t="s">
        <v>809</v>
      </c>
      <c r="D248" s="11" t="s">
        <v>106</v>
      </c>
      <c r="E248" s="12">
        <v>20015</v>
      </c>
      <c r="F248" s="202">
        <v>15</v>
      </c>
      <c r="G248" s="11">
        <v>55000</v>
      </c>
      <c r="H248" s="116">
        <v>0</v>
      </c>
      <c r="I248" s="192"/>
      <c r="J248" s="204"/>
      <c r="K248" s="193"/>
      <c r="L248" s="193"/>
      <c r="M248" s="193"/>
      <c r="N248" s="203">
        <f t="shared" si="84"/>
        <v>55000</v>
      </c>
      <c r="O248" s="203">
        <f t="shared" si="85"/>
        <v>55000</v>
      </c>
      <c r="P248" s="203">
        <f t="shared" si="86"/>
        <v>55000</v>
      </c>
      <c r="Q248" s="214"/>
      <c r="R248" s="215"/>
      <c r="S248" s="218">
        <v>45643</v>
      </c>
      <c r="T248" s="205"/>
      <c r="U248" s="205"/>
      <c r="V248" s="216"/>
      <c r="W248" s="212"/>
      <c r="X248" s="10">
        <v>7</v>
      </c>
      <c r="Y248" s="10">
        <v>7</v>
      </c>
      <c r="Z248" s="213">
        <f t="shared" si="87"/>
        <v>55000</v>
      </c>
      <c r="AA248" s="62"/>
      <c r="AB248" s="62"/>
      <c r="AC248" s="62"/>
      <c r="AD248" s="62"/>
      <c r="AE248" s="62"/>
      <c r="AF248" s="63"/>
      <c r="AG248" s="64"/>
      <c r="AH248" s="6">
        <v>1</v>
      </c>
      <c r="AI248">
        <f t="shared" si="88"/>
        <v>25</v>
      </c>
      <c r="AJ248">
        <f t="shared" si="89"/>
        <v>25</v>
      </c>
      <c r="AK248">
        <f t="shared" si="90"/>
        <v>0</v>
      </c>
      <c r="AL248">
        <f t="shared" si="91"/>
        <v>0</v>
      </c>
      <c r="AM248">
        <f t="shared" si="92"/>
        <v>0</v>
      </c>
      <c r="AN248">
        <f t="shared" si="93"/>
        <v>0</v>
      </c>
      <c r="AO248">
        <f t="shared" si="94"/>
        <v>0</v>
      </c>
      <c r="AP248">
        <f t="shared" si="95"/>
        <v>0</v>
      </c>
      <c r="AQ248">
        <f t="shared" si="96"/>
        <v>0</v>
      </c>
      <c r="AR248">
        <f t="shared" si="97"/>
        <v>0</v>
      </c>
      <c r="AS248">
        <f t="shared" si="98"/>
        <v>0</v>
      </c>
      <c r="AT248">
        <f t="shared" si="99"/>
        <v>0</v>
      </c>
      <c r="AU248">
        <f t="shared" si="100"/>
        <v>1</v>
      </c>
      <c r="AV248">
        <f t="shared" si="101"/>
        <v>1</v>
      </c>
      <c r="AW248">
        <f t="shared" si="102"/>
        <v>1</v>
      </c>
      <c r="AX248">
        <f t="shared" si="103"/>
        <v>1</v>
      </c>
      <c r="AY248">
        <f t="shared" si="104"/>
        <v>55000</v>
      </c>
      <c r="AZ248">
        <f t="shared" si="105"/>
        <v>55000</v>
      </c>
      <c r="BA248">
        <f t="shared" si="106"/>
        <v>0</v>
      </c>
      <c r="BB248">
        <f t="shared" si="107"/>
        <v>0</v>
      </c>
      <c r="BC248">
        <f t="shared" si="108"/>
        <v>0</v>
      </c>
      <c r="BD248">
        <f t="shared" si="109"/>
        <v>0</v>
      </c>
      <c r="BE248">
        <f t="shared" si="110"/>
        <v>0</v>
      </c>
      <c r="BF248">
        <f t="shared" si="111"/>
        <v>0</v>
      </c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</row>
    <row r="249" spans="1:256" s="201" customFormat="1" ht="14.25" x14ac:dyDescent="0.2">
      <c r="A249" s="10">
        <v>3158</v>
      </c>
      <c r="B249" s="11" t="s">
        <v>810</v>
      </c>
      <c r="C249" s="105" t="s">
        <v>811</v>
      </c>
      <c r="D249" s="11" t="s">
        <v>512</v>
      </c>
      <c r="E249" s="12">
        <v>20018</v>
      </c>
      <c r="F249" s="202">
        <v>15</v>
      </c>
      <c r="G249" s="11">
        <v>80000</v>
      </c>
      <c r="H249" s="116">
        <v>0</v>
      </c>
      <c r="I249" s="192"/>
      <c r="J249" s="204"/>
      <c r="K249" s="193"/>
      <c r="L249" s="193"/>
      <c r="M249" s="193"/>
      <c r="N249" s="203">
        <f t="shared" si="84"/>
        <v>80000</v>
      </c>
      <c r="O249" s="203">
        <f t="shared" si="85"/>
        <v>80000</v>
      </c>
      <c r="P249" s="203">
        <f t="shared" si="86"/>
        <v>80000</v>
      </c>
      <c r="Q249" s="214">
        <v>45663</v>
      </c>
      <c r="R249" s="215"/>
      <c r="S249" s="218">
        <v>45631</v>
      </c>
      <c r="T249" s="205"/>
      <c r="U249" s="205"/>
      <c r="V249" s="216" t="s">
        <v>1131</v>
      </c>
      <c r="W249" s="212"/>
      <c r="X249" s="10">
        <v>7</v>
      </c>
      <c r="Y249" s="10">
        <v>7</v>
      </c>
      <c r="Z249" s="213">
        <f t="shared" si="87"/>
        <v>80000</v>
      </c>
      <c r="AA249" s="62"/>
      <c r="AB249" s="62"/>
      <c r="AC249" s="62"/>
      <c r="AD249" s="62"/>
      <c r="AE249" s="62"/>
      <c r="AF249" s="63"/>
      <c r="AG249" s="64"/>
      <c r="AH249" s="6">
        <v>1</v>
      </c>
      <c r="AI249">
        <f t="shared" si="88"/>
        <v>25</v>
      </c>
      <c r="AJ249">
        <f t="shared" si="89"/>
        <v>25</v>
      </c>
      <c r="AK249">
        <f t="shared" si="90"/>
        <v>0</v>
      </c>
      <c r="AL249">
        <f t="shared" si="91"/>
        <v>0</v>
      </c>
      <c r="AM249">
        <f t="shared" si="92"/>
        <v>0</v>
      </c>
      <c r="AN249">
        <f t="shared" si="93"/>
        <v>0</v>
      </c>
      <c r="AO249">
        <f t="shared" si="94"/>
        <v>0</v>
      </c>
      <c r="AP249">
        <f t="shared" si="95"/>
        <v>0</v>
      </c>
      <c r="AQ249">
        <f t="shared" si="96"/>
        <v>0</v>
      </c>
      <c r="AR249">
        <f t="shared" si="97"/>
        <v>0</v>
      </c>
      <c r="AS249">
        <f t="shared" si="98"/>
        <v>0</v>
      </c>
      <c r="AT249">
        <f t="shared" si="99"/>
        <v>0</v>
      </c>
      <c r="AU249">
        <f t="shared" si="100"/>
        <v>1</v>
      </c>
      <c r="AV249">
        <f t="shared" si="101"/>
        <v>1</v>
      </c>
      <c r="AW249">
        <f t="shared" si="102"/>
        <v>1</v>
      </c>
      <c r="AX249">
        <f t="shared" si="103"/>
        <v>1</v>
      </c>
      <c r="AY249">
        <f t="shared" si="104"/>
        <v>80000</v>
      </c>
      <c r="AZ249">
        <f t="shared" si="105"/>
        <v>80000</v>
      </c>
      <c r="BA249">
        <f t="shared" si="106"/>
        <v>0</v>
      </c>
      <c r="BB249">
        <f t="shared" si="107"/>
        <v>0</v>
      </c>
      <c r="BC249">
        <f t="shared" si="108"/>
        <v>0</v>
      </c>
      <c r="BD249">
        <f t="shared" si="109"/>
        <v>0</v>
      </c>
      <c r="BE249">
        <f t="shared" si="110"/>
        <v>0</v>
      </c>
      <c r="BF249">
        <f t="shared" si="111"/>
        <v>0</v>
      </c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</row>
    <row r="250" spans="1:256" s="201" customFormat="1" ht="14.25" x14ac:dyDescent="0.2">
      <c r="A250" s="10">
        <v>3160</v>
      </c>
      <c r="B250" s="11" t="s">
        <v>812</v>
      </c>
      <c r="C250" s="105" t="s">
        <v>813</v>
      </c>
      <c r="D250" s="11" t="s">
        <v>106</v>
      </c>
      <c r="E250" s="12">
        <v>20022</v>
      </c>
      <c r="F250" s="202">
        <v>15</v>
      </c>
      <c r="G250" s="11">
        <v>60000</v>
      </c>
      <c r="H250" s="116">
        <v>0</v>
      </c>
      <c r="I250" s="192"/>
      <c r="J250" s="204"/>
      <c r="K250" s="193"/>
      <c r="L250" s="193"/>
      <c r="M250" s="193"/>
      <c r="N250" s="203">
        <f t="shared" si="84"/>
        <v>60000</v>
      </c>
      <c r="O250" s="203">
        <f t="shared" si="85"/>
        <v>60000</v>
      </c>
      <c r="P250" s="203">
        <f t="shared" si="86"/>
        <v>60000</v>
      </c>
      <c r="Q250" s="214"/>
      <c r="R250" s="215"/>
      <c r="S250" s="218">
        <v>45633</v>
      </c>
      <c r="T250" s="205"/>
      <c r="U250" s="205"/>
      <c r="V250" s="216"/>
      <c r="W250" s="212"/>
      <c r="X250" s="10">
        <v>7</v>
      </c>
      <c r="Y250" s="10">
        <v>7</v>
      </c>
      <c r="Z250" s="213">
        <f t="shared" si="87"/>
        <v>60000</v>
      </c>
      <c r="AA250" s="62"/>
      <c r="AB250" s="62"/>
      <c r="AC250" s="62"/>
      <c r="AD250" s="62"/>
      <c r="AE250" s="62"/>
      <c r="AF250" s="63"/>
      <c r="AG250" s="64"/>
      <c r="AH250" s="6">
        <v>1</v>
      </c>
      <c r="AI250">
        <f t="shared" si="88"/>
        <v>25</v>
      </c>
      <c r="AJ250">
        <f t="shared" si="89"/>
        <v>25</v>
      </c>
      <c r="AK250">
        <f t="shared" si="90"/>
        <v>0</v>
      </c>
      <c r="AL250">
        <f t="shared" si="91"/>
        <v>0</v>
      </c>
      <c r="AM250">
        <f t="shared" si="92"/>
        <v>0</v>
      </c>
      <c r="AN250">
        <f t="shared" si="93"/>
        <v>0</v>
      </c>
      <c r="AO250">
        <f t="shared" si="94"/>
        <v>0</v>
      </c>
      <c r="AP250">
        <f t="shared" si="95"/>
        <v>0</v>
      </c>
      <c r="AQ250">
        <f t="shared" si="96"/>
        <v>0</v>
      </c>
      <c r="AR250">
        <f t="shared" si="97"/>
        <v>0</v>
      </c>
      <c r="AS250">
        <f t="shared" si="98"/>
        <v>0</v>
      </c>
      <c r="AT250">
        <f t="shared" si="99"/>
        <v>0</v>
      </c>
      <c r="AU250">
        <f t="shared" si="100"/>
        <v>1</v>
      </c>
      <c r="AV250">
        <f t="shared" si="101"/>
        <v>1</v>
      </c>
      <c r="AW250">
        <f t="shared" si="102"/>
        <v>1</v>
      </c>
      <c r="AX250">
        <f t="shared" si="103"/>
        <v>1</v>
      </c>
      <c r="AY250">
        <f t="shared" si="104"/>
        <v>60000</v>
      </c>
      <c r="AZ250">
        <f t="shared" si="105"/>
        <v>60000</v>
      </c>
      <c r="BA250">
        <f t="shared" si="106"/>
        <v>0</v>
      </c>
      <c r="BB250">
        <f t="shared" si="107"/>
        <v>0</v>
      </c>
      <c r="BC250">
        <f t="shared" si="108"/>
        <v>0</v>
      </c>
      <c r="BD250">
        <f t="shared" si="109"/>
        <v>0</v>
      </c>
      <c r="BE250">
        <f t="shared" si="110"/>
        <v>0</v>
      </c>
      <c r="BF250">
        <f t="shared" si="111"/>
        <v>0</v>
      </c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</row>
    <row r="251" spans="1:256" s="201" customFormat="1" ht="14.25" x14ac:dyDescent="0.2">
      <c r="A251" s="10">
        <v>3161</v>
      </c>
      <c r="B251" s="11" t="s">
        <v>814</v>
      </c>
      <c r="C251" s="105" t="s">
        <v>815</v>
      </c>
      <c r="D251" s="11" t="s">
        <v>157</v>
      </c>
      <c r="E251" s="12">
        <v>20023</v>
      </c>
      <c r="F251" s="202">
        <v>15</v>
      </c>
      <c r="G251" s="11">
        <v>60000</v>
      </c>
      <c r="H251" s="116">
        <v>0</v>
      </c>
      <c r="I251" s="192"/>
      <c r="J251" s="204"/>
      <c r="K251" s="193"/>
      <c r="L251" s="193"/>
      <c r="M251" s="193"/>
      <c r="N251" s="203">
        <f t="shared" si="84"/>
        <v>60000</v>
      </c>
      <c r="O251" s="203">
        <f t="shared" si="85"/>
        <v>60000</v>
      </c>
      <c r="P251" s="203">
        <f t="shared" si="86"/>
        <v>60000</v>
      </c>
      <c r="Q251" s="214"/>
      <c r="R251" s="215"/>
      <c r="S251" s="218">
        <v>45635</v>
      </c>
      <c r="T251" s="205"/>
      <c r="U251" s="205"/>
      <c r="V251" s="216"/>
      <c r="W251" s="212"/>
      <c r="X251" s="10">
        <v>7</v>
      </c>
      <c r="Y251" s="10">
        <v>7</v>
      </c>
      <c r="Z251" s="213">
        <f t="shared" si="87"/>
        <v>60000</v>
      </c>
      <c r="AA251" s="62"/>
      <c r="AB251" s="62"/>
      <c r="AC251" s="62"/>
      <c r="AD251" s="62"/>
      <c r="AE251" s="62"/>
      <c r="AF251" s="63"/>
      <c r="AG251" s="64"/>
      <c r="AH251" s="6">
        <v>1</v>
      </c>
      <c r="AI251">
        <f t="shared" si="88"/>
        <v>25</v>
      </c>
      <c r="AJ251">
        <f t="shared" si="89"/>
        <v>25</v>
      </c>
      <c r="AK251">
        <f t="shared" si="90"/>
        <v>0</v>
      </c>
      <c r="AL251">
        <f t="shared" si="91"/>
        <v>0</v>
      </c>
      <c r="AM251">
        <f t="shared" si="92"/>
        <v>0</v>
      </c>
      <c r="AN251">
        <f t="shared" si="93"/>
        <v>0</v>
      </c>
      <c r="AO251">
        <f t="shared" si="94"/>
        <v>0</v>
      </c>
      <c r="AP251">
        <f t="shared" si="95"/>
        <v>0</v>
      </c>
      <c r="AQ251">
        <f t="shared" si="96"/>
        <v>0</v>
      </c>
      <c r="AR251">
        <f t="shared" si="97"/>
        <v>0</v>
      </c>
      <c r="AS251">
        <f t="shared" si="98"/>
        <v>0</v>
      </c>
      <c r="AT251">
        <f t="shared" si="99"/>
        <v>0</v>
      </c>
      <c r="AU251">
        <f t="shared" si="100"/>
        <v>1</v>
      </c>
      <c r="AV251">
        <f t="shared" si="101"/>
        <v>1</v>
      </c>
      <c r="AW251">
        <f t="shared" si="102"/>
        <v>1</v>
      </c>
      <c r="AX251">
        <f t="shared" si="103"/>
        <v>1</v>
      </c>
      <c r="AY251">
        <f t="shared" si="104"/>
        <v>60000</v>
      </c>
      <c r="AZ251">
        <f t="shared" si="105"/>
        <v>60000</v>
      </c>
      <c r="BA251">
        <f t="shared" si="106"/>
        <v>0</v>
      </c>
      <c r="BB251">
        <f t="shared" si="107"/>
        <v>0</v>
      </c>
      <c r="BC251">
        <f t="shared" si="108"/>
        <v>0</v>
      </c>
      <c r="BD251">
        <f t="shared" si="109"/>
        <v>0</v>
      </c>
      <c r="BE251">
        <f t="shared" si="110"/>
        <v>0</v>
      </c>
      <c r="BF251">
        <f t="shared" si="111"/>
        <v>0</v>
      </c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</row>
    <row r="252" spans="1:256" s="201" customFormat="1" ht="14.25" x14ac:dyDescent="0.2">
      <c r="A252" s="10">
        <v>3162</v>
      </c>
      <c r="B252" s="11" t="s">
        <v>816</v>
      </c>
      <c r="C252" s="105" t="s">
        <v>817</v>
      </c>
      <c r="D252" s="11" t="s">
        <v>105</v>
      </c>
      <c r="E252" s="12">
        <v>20024</v>
      </c>
      <c r="F252" s="202">
        <v>15</v>
      </c>
      <c r="G252" s="11">
        <v>60000</v>
      </c>
      <c r="H252" s="116">
        <v>0</v>
      </c>
      <c r="I252" s="192"/>
      <c r="J252" s="204"/>
      <c r="K252" s="193"/>
      <c r="L252" s="193"/>
      <c r="M252" s="193"/>
      <c r="N252" s="203">
        <f t="shared" si="84"/>
        <v>60000</v>
      </c>
      <c r="O252" s="203">
        <f t="shared" si="85"/>
        <v>60000</v>
      </c>
      <c r="P252" s="203">
        <f t="shared" si="86"/>
        <v>60000</v>
      </c>
      <c r="Q252" s="214"/>
      <c r="R252" s="215"/>
      <c r="S252" s="218">
        <v>45636</v>
      </c>
      <c r="T252" s="205"/>
      <c r="U252" s="205"/>
      <c r="V252" s="216"/>
      <c r="W252" s="212"/>
      <c r="X252" s="10">
        <v>7</v>
      </c>
      <c r="Y252" s="10">
        <v>7</v>
      </c>
      <c r="Z252" s="213">
        <f t="shared" si="87"/>
        <v>60000</v>
      </c>
      <c r="AA252" s="62"/>
      <c r="AB252" s="62"/>
      <c r="AC252" s="62"/>
      <c r="AD252" s="62"/>
      <c r="AE252" s="62"/>
      <c r="AF252" s="63"/>
      <c r="AG252" s="64"/>
      <c r="AH252" s="6">
        <v>1</v>
      </c>
      <c r="AI252">
        <f t="shared" si="88"/>
        <v>25</v>
      </c>
      <c r="AJ252">
        <f t="shared" si="89"/>
        <v>25</v>
      </c>
      <c r="AK252">
        <f t="shared" si="90"/>
        <v>0</v>
      </c>
      <c r="AL252">
        <f t="shared" si="91"/>
        <v>0</v>
      </c>
      <c r="AM252">
        <f t="shared" si="92"/>
        <v>0</v>
      </c>
      <c r="AN252">
        <f t="shared" si="93"/>
        <v>0</v>
      </c>
      <c r="AO252">
        <f t="shared" si="94"/>
        <v>0</v>
      </c>
      <c r="AP252">
        <f t="shared" si="95"/>
        <v>0</v>
      </c>
      <c r="AQ252">
        <f t="shared" si="96"/>
        <v>0</v>
      </c>
      <c r="AR252">
        <f t="shared" si="97"/>
        <v>0</v>
      </c>
      <c r="AS252">
        <f t="shared" si="98"/>
        <v>0</v>
      </c>
      <c r="AT252">
        <f t="shared" si="99"/>
        <v>0</v>
      </c>
      <c r="AU252">
        <f t="shared" si="100"/>
        <v>1</v>
      </c>
      <c r="AV252">
        <f t="shared" si="101"/>
        <v>1</v>
      </c>
      <c r="AW252">
        <f t="shared" si="102"/>
        <v>1</v>
      </c>
      <c r="AX252">
        <f t="shared" si="103"/>
        <v>1</v>
      </c>
      <c r="AY252">
        <f t="shared" si="104"/>
        <v>60000</v>
      </c>
      <c r="AZ252">
        <f t="shared" si="105"/>
        <v>60000</v>
      </c>
      <c r="BA252">
        <f t="shared" si="106"/>
        <v>0</v>
      </c>
      <c r="BB252">
        <f t="shared" si="107"/>
        <v>0</v>
      </c>
      <c r="BC252">
        <f t="shared" si="108"/>
        <v>0</v>
      </c>
      <c r="BD252">
        <f t="shared" si="109"/>
        <v>0</v>
      </c>
      <c r="BE252">
        <f t="shared" si="110"/>
        <v>0</v>
      </c>
      <c r="BF252">
        <f t="shared" si="111"/>
        <v>0</v>
      </c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</row>
    <row r="253" spans="1:256" s="201" customFormat="1" ht="14.25" x14ac:dyDescent="0.2">
      <c r="A253" s="10">
        <v>3163</v>
      </c>
      <c r="B253" s="11" t="s">
        <v>818</v>
      </c>
      <c r="C253" s="105" t="s">
        <v>819</v>
      </c>
      <c r="D253" s="11" t="s">
        <v>106</v>
      </c>
      <c r="E253" s="12">
        <v>20025</v>
      </c>
      <c r="F253" s="202">
        <v>15</v>
      </c>
      <c r="G253" s="11">
        <v>200000</v>
      </c>
      <c r="H253" s="116">
        <v>0</v>
      </c>
      <c r="I253" s="192"/>
      <c r="J253" s="204"/>
      <c r="K253" s="193"/>
      <c r="L253" s="193"/>
      <c r="M253" s="193"/>
      <c r="N253" s="203">
        <f t="shared" si="84"/>
        <v>200000</v>
      </c>
      <c r="O253" s="203">
        <f t="shared" si="85"/>
        <v>200000</v>
      </c>
      <c r="P253" s="203">
        <f t="shared" si="86"/>
        <v>200000</v>
      </c>
      <c r="Q253" s="214"/>
      <c r="R253" s="215"/>
      <c r="S253" s="218">
        <v>45635</v>
      </c>
      <c r="T253" s="205"/>
      <c r="U253" s="205"/>
      <c r="V253" s="216"/>
      <c r="W253" s="212"/>
      <c r="X253" s="10">
        <v>7</v>
      </c>
      <c r="Y253" s="10">
        <v>7</v>
      </c>
      <c r="Z253" s="213">
        <f t="shared" si="87"/>
        <v>200000</v>
      </c>
      <c r="AA253" s="62"/>
      <c r="AB253" s="62"/>
      <c r="AC253" s="62"/>
      <c r="AD253" s="62"/>
      <c r="AE253" s="62"/>
      <c r="AF253" s="63"/>
      <c r="AG253" s="64"/>
      <c r="AH253" s="6">
        <v>1</v>
      </c>
      <c r="AI253">
        <f t="shared" si="88"/>
        <v>25</v>
      </c>
      <c r="AJ253">
        <f t="shared" si="89"/>
        <v>25</v>
      </c>
      <c r="AK253">
        <f t="shared" si="90"/>
        <v>0</v>
      </c>
      <c r="AL253">
        <f t="shared" si="91"/>
        <v>0</v>
      </c>
      <c r="AM253">
        <f t="shared" si="92"/>
        <v>0</v>
      </c>
      <c r="AN253">
        <f t="shared" si="93"/>
        <v>0</v>
      </c>
      <c r="AO253">
        <f t="shared" si="94"/>
        <v>0</v>
      </c>
      <c r="AP253">
        <f t="shared" si="95"/>
        <v>0</v>
      </c>
      <c r="AQ253">
        <f t="shared" si="96"/>
        <v>0</v>
      </c>
      <c r="AR253">
        <f t="shared" si="97"/>
        <v>0</v>
      </c>
      <c r="AS253">
        <f t="shared" si="98"/>
        <v>0</v>
      </c>
      <c r="AT253">
        <f t="shared" si="99"/>
        <v>0</v>
      </c>
      <c r="AU253">
        <f t="shared" si="100"/>
        <v>1</v>
      </c>
      <c r="AV253">
        <f t="shared" si="101"/>
        <v>1</v>
      </c>
      <c r="AW253">
        <f t="shared" si="102"/>
        <v>1</v>
      </c>
      <c r="AX253">
        <f t="shared" si="103"/>
        <v>1</v>
      </c>
      <c r="AY253">
        <f t="shared" si="104"/>
        <v>200000</v>
      </c>
      <c r="AZ253">
        <f t="shared" si="105"/>
        <v>200000</v>
      </c>
      <c r="BA253">
        <f t="shared" si="106"/>
        <v>0</v>
      </c>
      <c r="BB253">
        <f t="shared" si="107"/>
        <v>0</v>
      </c>
      <c r="BC253">
        <f t="shared" si="108"/>
        <v>0</v>
      </c>
      <c r="BD253">
        <f t="shared" si="109"/>
        <v>0</v>
      </c>
      <c r="BE253">
        <f t="shared" si="110"/>
        <v>0</v>
      </c>
      <c r="BF253">
        <f t="shared" si="111"/>
        <v>0</v>
      </c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</row>
    <row r="254" spans="1:256" s="201" customFormat="1" ht="14.25" x14ac:dyDescent="0.2">
      <c r="A254" s="10">
        <v>3164</v>
      </c>
      <c r="B254" s="11" t="s">
        <v>407</v>
      </c>
      <c r="C254" s="105" t="s">
        <v>408</v>
      </c>
      <c r="D254" s="11" t="s">
        <v>147</v>
      </c>
      <c r="E254" s="12">
        <v>20251</v>
      </c>
      <c r="F254" s="202">
        <v>15</v>
      </c>
      <c r="G254" s="11">
        <v>25000</v>
      </c>
      <c r="H254" s="116">
        <v>0</v>
      </c>
      <c r="I254" s="192"/>
      <c r="J254" s="204"/>
      <c r="K254" s="193"/>
      <c r="L254" s="193"/>
      <c r="M254" s="193"/>
      <c r="N254" s="203">
        <f t="shared" si="84"/>
        <v>25000</v>
      </c>
      <c r="O254" s="203">
        <f t="shared" si="85"/>
        <v>25000</v>
      </c>
      <c r="P254" s="203">
        <f t="shared" si="86"/>
        <v>25000</v>
      </c>
      <c r="Q254" s="214"/>
      <c r="R254" s="215"/>
      <c r="S254" s="218">
        <v>45649</v>
      </c>
      <c r="T254" s="205"/>
      <c r="U254" s="205"/>
      <c r="V254" s="216"/>
      <c r="W254" s="212"/>
      <c r="X254" s="10">
        <v>7</v>
      </c>
      <c r="Y254" s="10">
        <v>7</v>
      </c>
      <c r="Z254" s="213">
        <f t="shared" si="87"/>
        <v>25000</v>
      </c>
      <c r="AA254" s="62"/>
      <c r="AB254" s="62"/>
      <c r="AC254" s="62"/>
      <c r="AD254" s="62"/>
      <c r="AE254" s="62"/>
      <c r="AF254" s="63"/>
      <c r="AG254" s="64"/>
      <c r="AH254" s="6">
        <v>1</v>
      </c>
      <c r="AI254">
        <f t="shared" si="88"/>
        <v>25</v>
      </c>
      <c r="AJ254">
        <f t="shared" si="89"/>
        <v>25</v>
      </c>
      <c r="AK254">
        <f t="shared" si="90"/>
        <v>0</v>
      </c>
      <c r="AL254">
        <f t="shared" si="91"/>
        <v>0</v>
      </c>
      <c r="AM254">
        <f t="shared" si="92"/>
        <v>0</v>
      </c>
      <c r="AN254">
        <f t="shared" si="93"/>
        <v>0</v>
      </c>
      <c r="AO254">
        <f t="shared" si="94"/>
        <v>0</v>
      </c>
      <c r="AP254">
        <f t="shared" si="95"/>
        <v>0</v>
      </c>
      <c r="AQ254">
        <f t="shared" si="96"/>
        <v>0</v>
      </c>
      <c r="AR254">
        <f t="shared" si="97"/>
        <v>0</v>
      </c>
      <c r="AS254">
        <f t="shared" si="98"/>
        <v>0</v>
      </c>
      <c r="AT254">
        <f t="shared" si="99"/>
        <v>0</v>
      </c>
      <c r="AU254">
        <f t="shared" si="100"/>
        <v>1</v>
      </c>
      <c r="AV254">
        <f t="shared" si="101"/>
        <v>1</v>
      </c>
      <c r="AW254">
        <f t="shared" si="102"/>
        <v>1</v>
      </c>
      <c r="AX254">
        <f t="shared" si="103"/>
        <v>1</v>
      </c>
      <c r="AY254">
        <f t="shared" si="104"/>
        <v>25000</v>
      </c>
      <c r="AZ254">
        <f t="shared" si="105"/>
        <v>25000</v>
      </c>
      <c r="BA254">
        <f t="shared" si="106"/>
        <v>0</v>
      </c>
      <c r="BB254">
        <f t="shared" si="107"/>
        <v>0</v>
      </c>
      <c r="BC254">
        <f t="shared" si="108"/>
        <v>0</v>
      </c>
      <c r="BD254">
        <f t="shared" si="109"/>
        <v>0</v>
      </c>
      <c r="BE254">
        <f t="shared" si="110"/>
        <v>0</v>
      </c>
      <c r="BF254">
        <f t="shared" si="111"/>
        <v>0</v>
      </c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</row>
    <row r="255" spans="1:256" s="201" customFormat="1" ht="14.25" x14ac:dyDescent="0.2">
      <c r="A255" s="10">
        <v>3165</v>
      </c>
      <c r="B255" s="11" t="s">
        <v>820</v>
      </c>
      <c r="C255" s="105" t="s">
        <v>821</v>
      </c>
      <c r="D255" s="11" t="s">
        <v>147</v>
      </c>
      <c r="E255" s="12">
        <v>20252</v>
      </c>
      <c r="F255" s="202">
        <v>15</v>
      </c>
      <c r="G255" s="11">
        <v>60000</v>
      </c>
      <c r="H255" s="116">
        <v>0</v>
      </c>
      <c r="I255" s="192"/>
      <c r="J255" s="204"/>
      <c r="K255" s="193"/>
      <c r="L255" s="193"/>
      <c r="M255" s="193"/>
      <c r="N255" s="203">
        <f t="shared" si="84"/>
        <v>60000</v>
      </c>
      <c r="O255" s="203">
        <f t="shared" si="85"/>
        <v>60000</v>
      </c>
      <c r="P255" s="203">
        <f t="shared" si="86"/>
        <v>60000</v>
      </c>
      <c r="Q255" s="214"/>
      <c r="R255" s="215"/>
      <c r="S255" s="218">
        <v>45645</v>
      </c>
      <c r="T255" s="205"/>
      <c r="U255" s="205"/>
      <c r="V255" s="216"/>
      <c r="W255" s="212"/>
      <c r="X255" s="10">
        <v>7</v>
      </c>
      <c r="Y255" s="10">
        <v>7</v>
      </c>
      <c r="Z255" s="213">
        <f t="shared" si="87"/>
        <v>60000</v>
      </c>
      <c r="AA255" s="62"/>
      <c r="AB255" s="62"/>
      <c r="AC255" s="62"/>
      <c r="AD255" s="62"/>
      <c r="AE255" s="62"/>
      <c r="AF255" s="63"/>
      <c r="AG255" s="64"/>
      <c r="AH255" s="6">
        <v>1</v>
      </c>
      <c r="AI255">
        <f t="shared" si="88"/>
        <v>25</v>
      </c>
      <c r="AJ255">
        <f t="shared" si="89"/>
        <v>25</v>
      </c>
      <c r="AK255">
        <f t="shared" si="90"/>
        <v>0</v>
      </c>
      <c r="AL255">
        <f t="shared" si="91"/>
        <v>0</v>
      </c>
      <c r="AM255">
        <f t="shared" si="92"/>
        <v>0</v>
      </c>
      <c r="AN255">
        <f t="shared" si="93"/>
        <v>0</v>
      </c>
      <c r="AO255">
        <f t="shared" si="94"/>
        <v>0</v>
      </c>
      <c r="AP255">
        <f t="shared" si="95"/>
        <v>0</v>
      </c>
      <c r="AQ255">
        <f t="shared" si="96"/>
        <v>0</v>
      </c>
      <c r="AR255">
        <f t="shared" si="97"/>
        <v>0</v>
      </c>
      <c r="AS255">
        <f t="shared" si="98"/>
        <v>0</v>
      </c>
      <c r="AT255">
        <f t="shared" si="99"/>
        <v>0</v>
      </c>
      <c r="AU255">
        <f t="shared" si="100"/>
        <v>1</v>
      </c>
      <c r="AV255">
        <f t="shared" si="101"/>
        <v>1</v>
      </c>
      <c r="AW255">
        <f t="shared" si="102"/>
        <v>1</v>
      </c>
      <c r="AX255">
        <f t="shared" si="103"/>
        <v>1</v>
      </c>
      <c r="AY255">
        <f t="shared" si="104"/>
        <v>60000</v>
      </c>
      <c r="AZ255">
        <f t="shared" si="105"/>
        <v>60000</v>
      </c>
      <c r="BA255">
        <f t="shared" si="106"/>
        <v>0</v>
      </c>
      <c r="BB255">
        <f t="shared" si="107"/>
        <v>0</v>
      </c>
      <c r="BC255">
        <f t="shared" si="108"/>
        <v>0</v>
      </c>
      <c r="BD255">
        <f t="shared" si="109"/>
        <v>0</v>
      </c>
      <c r="BE255">
        <f t="shared" si="110"/>
        <v>0</v>
      </c>
      <c r="BF255">
        <f t="shared" si="111"/>
        <v>0</v>
      </c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</row>
    <row r="256" spans="1:256" s="201" customFormat="1" ht="14.25" x14ac:dyDescent="0.2">
      <c r="A256" s="10">
        <v>3167</v>
      </c>
      <c r="B256" s="11" t="s">
        <v>822</v>
      </c>
      <c r="C256" s="105" t="s">
        <v>823</v>
      </c>
      <c r="D256" s="11" t="s">
        <v>173</v>
      </c>
      <c r="E256" s="12">
        <v>20255</v>
      </c>
      <c r="F256" s="202">
        <v>15</v>
      </c>
      <c r="G256" s="11">
        <v>60000</v>
      </c>
      <c r="H256" s="116">
        <v>-380000</v>
      </c>
      <c r="I256" s="192"/>
      <c r="J256" s="204"/>
      <c r="K256" s="193"/>
      <c r="L256" s="193"/>
      <c r="M256" s="193"/>
      <c r="N256" s="203">
        <f t="shared" si="84"/>
        <v>60000</v>
      </c>
      <c r="O256" s="203">
        <f t="shared" si="85"/>
        <v>-320000</v>
      </c>
      <c r="P256" s="203">
        <f t="shared" si="86"/>
        <v>0</v>
      </c>
      <c r="Q256" s="214">
        <v>45665</v>
      </c>
      <c r="R256" s="215"/>
      <c r="S256" s="218">
        <v>45628</v>
      </c>
      <c r="T256" s="205"/>
      <c r="U256" s="205"/>
      <c r="V256" s="216" t="s">
        <v>1142</v>
      </c>
      <c r="W256" s="212"/>
      <c r="X256" s="10">
        <v>7</v>
      </c>
      <c r="Y256" s="10">
        <v>7</v>
      </c>
      <c r="Z256" s="213">
        <f t="shared" si="87"/>
        <v>60000</v>
      </c>
      <c r="AA256" s="62"/>
      <c r="AB256" s="62"/>
      <c r="AC256" s="62"/>
      <c r="AD256" s="62"/>
      <c r="AE256" s="62"/>
      <c r="AF256" s="63"/>
      <c r="AG256" s="64"/>
      <c r="AH256" s="6">
        <v>1</v>
      </c>
      <c r="AI256">
        <f t="shared" si="88"/>
        <v>25</v>
      </c>
      <c r="AJ256">
        <f t="shared" si="89"/>
        <v>25</v>
      </c>
      <c r="AK256">
        <f t="shared" si="90"/>
        <v>0</v>
      </c>
      <c r="AL256">
        <f t="shared" si="91"/>
        <v>0</v>
      </c>
      <c r="AM256">
        <f t="shared" si="92"/>
        <v>0</v>
      </c>
      <c r="AN256">
        <f t="shared" si="93"/>
        <v>0</v>
      </c>
      <c r="AO256">
        <f t="shared" si="94"/>
        <v>0</v>
      </c>
      <c r="AP256">
        <f t="shared" si="95"/>
        <v>0</v>
      </c>
      <c r="AQ256">
        <f t="shared" si="96"/>
        <v>0</v>
      </c>
      <c r="AR256">
        <f t="shared" si="97"/>
        <v>0</v>
      </c>
      <c r="AS256">
        <f t="shared" si="98"/>
        <v>0</v>
      </c>
      <c r="AT256">
        <f t="shared" si="99"/>
        <v>0</v>
      </c>
      <c r="AU256">
        <f t="shared" si="100"/>
        <v>0</v>
      </c>
      <c r="AV256">
        <f t="shared" si="101"/>
        <v>0</v>
      </c>
      <c r="AW256">
        <f t="shared" si="102"/>
        <v>0</v>
      </c>
      <c r="AX256">
        <f t="shared" si="103"/>
        <v>0</v>
      </c>
      <c r="AY256">
        <f t="shared" si="104"/>
        <v>0</v>
      </c>
      <c r="AZ256">
        <f t="shared" si="105"/>
        <v>0</v>
      </c>
      <c r="BA256">
        <f t="shared" si="106"/>
        <v>0</v>
      </c>
      <c r="BB256">
        <f t="shared" si="107"/>
        <v>0</v>
      </c>
      <c r="BC256">
        <f t="shared" si="108"/>
        <v>0</v>
      </c>
      <c r="BD256">
        <f t="shared" si="109"/>
        <v>0</v>
      </c>
      <c r="BE256">
        <f t="shared" si="110"/>
        <v>0</v>
      </c>
      <c r="BF256">
        <f t="shared" si="111"/>
        <v>0</v>
      </c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</row>
    <row r="257" spans="1:256" s="201" customFormat="1" ht="14.25" x14ac:dyDescent="0.2">
      <c r="A257" s="10">
        <v>3170</v>
      </c>
      <c r="B257" s="11" t="s">
        <v>824</v>
      </c>
      <c r="C257" s="105" t="s">
        <v>825</v>
      </c>
      <c r="D257" s="11" t="s">
        <v>105</v>
      </c>
      <c r="E257" s="12">
        <v>20260</v>
      </c>
      <c r="F257" s="202">
        <v>15</v>
      </c>
      <c r="G257" s="11">
        <v>60000</v>
      </c>
      <c r="H257" s="116">
        <v>0</v>
      </c>
      <c r="I257" s="192"/>
      <c r="J257" s="204"/>
      <c r="K257" s="193"/>
      <c r="L257" s="193"/>
      <c r="M257" s="193"/>
      <c r="N257" s="203">
        <f t="shared" si="84"/>
        <v>60000</v>
      </c>
      <c r="O257" s="203">
        <f t="shared" si="85"/>
        <v>60000</v>
      </c>
      <c r="P257" s="203">
        <f t="shared" si="86"/>
        <v>60000</v>
      </c>
      <c r="Q257" s="214"/>
      <c r="R257" s="215"/>
      <c r="S257" s="218">
        <v>45653</v>
      </c>
      <c r="T257" s="205"/>
      <c r="U257" s="205"/>
      <c r="V257" s="216"/>
      <c r="W257" s="212"/>
      <c r="X257" s="10">
        <v>7</v>
      </c>
      <c r="Y257" s="10">
        <v>7</v>
      </c>
      <c r="Z257" s="213">
        <f t="shared" si="87"/>
        <v>60000</v>
      </c>
      <c r="AA257" s="62"/>
      <c r="AB257" s="62"/>
      <c r="AC257" s="62"/>
      <c r="AD257" s="62"/>
      <c r="AE257" s="62"/>
      <c r="AF257" s="63"/>
      <c r="AG257" s="64"/>
      <c r="AH257" s="6">
        <v>1</v>
      </c>
      <c r="AI257">
        <f t="shared" si="88"/>
        <v>25</v>
      </c>
      <c r="AJ257">
        <f t="shared" si="89"/>
        <v>25</v>
      </c>
      <c r="AK257">
        <f t="shared" si="90"/>
        <v>0</v>
      </c>
      <c r="AL257">
        <f t="shared" si="91"/>
        <v>0</v>
      </c>
      <c r="AM257">
        <f t="shared" si="92"/>
        <v>0</v>
      </c>
      <c r="AN257">
        <f t="shared" si="93"/>
        <v>0</v>
      </c>
      <c r="AO257">
        <f t="shared" si="94"/>
        <v>0</v>
      </c>
      <c r="AP257">
        <f t="shared" si="95"/>
        <v>0</v>
      </c>
      <c r="AQ257">
        <f t="shared" si="96"/>
        <v>0</v>
      </c>
      <c r="AR257">
        <f t="shared" si="97"/>
        <v>0</v>
      </c>
      <c r="AS257">
        <f t="shared" si="98"/>
        <v>0</v>
      </c>
      <c r="AT257">
        <f t="shared" si="99"/>
        <v>0</v>
      </c>
      <c r="AU257">
        <f t="shared" si="100"/>
        <v>1</v>
      </c>
      <c r="AV257">
        <f t="shared" si="101"/>
        <v>1</v>
      </c>
      <c r="AW257">
        <f t="shared" si="102"/>
        <v>1</v>
      </c>
      <c r="AX257">
        <f t="shared" si="103"/>
        <v>1</v>
      </c>
      <c r="AY257">
        <f t="shared" si="104"/>
        <v>60000</v>
      </c>
      <c r="AZ257">
        <f t="shared" si="105"/>
        <v>60000</v>
      </c>
      <c r="BA257">
        <f t="shared" si="106"/>
        <v>0</v>
      </c>
      <c r="BB257">
        <f t="shared" si="107"/>
        <v>0</v>
      </c>
      <c r="BC257">
        <f t="shared" si="108"/>
        <v>0</v>
      </c>
      <c r="BD257">
        <f t="shared" si="109"/>
        <v>0</v>
      </c>
      <c r="BE257">
        <f t="shared" si="110"/>
        <v>0</v>
      </c>
      <c r="BF257">
        <f t="shared" si="111"/>
        <v>0</v>
      </c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</row>
    <row r="258" spans="1:256" s="201" customFormat="1" ht="14.25" x14ac:dyDescent="0.2">
      <c r="A258" s="10">
        <v>3173</v>
      </c>
      <c r="B258" s="11" t="s">
        <v>826</v>
      </c>
      <c r="C258" s="105" t="s">
        <v>827</v>
      </c>
      <c r="D258" s="11" t="s">
        <v>106</v>
      </c>
      <c r="E258" s="12">
        <v>20266</v>
      </c>
      <c r="F258" s="202">
        <v>15</v>
      </c>
      <c r="G258" s="11">
        <v>90000</v>
      </c>
      <c r="H258" s="116">
        <v>-325000</v>
      </c>
      <c r="I258" s="192"/>
      <c r="J258" s="204"/>
      <c r="K258" s="193"/>
      <c r="L258" s="193"/>
      <c r="M258" s="193"/>
      <c r="N258" s="203">
        <f t="shared" si="84"/>
        <v>90000</v>
      </c>
      <c r="O258" s="203">
        <f t="shared" si="85"/>
        <v>-235000</v>
      </c>
      <c r="P258" s="203">
        <f t="shared" si="86"/>
        <v>0</v>
      </c>
      <c r="Q258" s="214">
        <v>45660</v>
      </c>
      <c r="R258" s="215"/>
      <c r="S258" s="218">
        <v>45629</v>
      </c>
      <c r="T258" s="205"/>
      <c r="U258" s="205"/>
      <c r="V258" s="216" t="s">
        <v>1134</v>
      </c>
      <c r="W258" s="212"/>
      <c r="X258" s="10">
        <v>7</v>
      </c>
      <c r="Y258" s="10">
        <v>7</v>
      </c>
      <c r="Z258" s="213">
        <f t="shared" si="87"/>
        <v>90000</v>
      </c>
      <c r="AA258" s="62"/>
      <c r="AB258" s="62"/>
      <c r="AC258" s="62"/>
      <c r="AD258" s="62"/>
      <c r="AE258" s="62"/>
      <c r="AF258" s="63"/>
      <c r="AG258" s="64"/>
      <c r="AH258" s="6">
        <v>1</v>
      </c>
      <c r="AI258">
        <f t="shared" si="88"/>
        <v>25</v>
      </c>
      <c r="AJ258">
        <f t="shared" si="89"/>
        <v>25</v>
      </c>
      <c r="AK258">
        <f t="shared" si="90"/>
        <v>0</v>
      </c>
      <c r="AL258">
        <f t="shared" si="91"/>
        <v>0</v>
      </c>
      <c r="AM258">
        <f t="shared" si="92"/>
        <v>0</v>
      </c>
      <c r="AN258">
        <f t="shared" si="93"/>
        <v>0</v>
      </c>
      <c r="AO258">
        <f t="shared" si="94"/>
        <v>0</v>
      </c>
      <c r="AP258">
        <f t="shared" si="95"/>
        <v>0</v>
      </c>
      <c r="AQ258">
        <f t="shared" si="96"/>
        <v>0</v>
      </c>
      <c r="AR258">
        <f t="shared" si="97"/>
        <v>0</v>
      </c>
      <c r="AS258">
        <f t="shared" si="98"/>
        <v>0</v>
      </c>
      <c r="AT258">
        <f t="shared" si="99"/>
        <v>0</v>
      </c>
      <c r="AU258">
        <f t="shared" si="100"/>
        <v>0</v>
      </c>
      <c r="AV258">
        <f t="shared" si="101"/>
        <v>0</v>
      </c>
      <c r="AW258">
        <f t="shared" si="102"/>
        <v>0</v>
      </c>
      <c r="AX258">
        <f t="shared" si="103"/>
        <v>0</v>
      </c>
      <c r="AY258">
        <f t="shared" si="104"/>
        <v>0</v>
      </c>
      <c r="AZ258">
        <f t="shared" si="105"/>
        <v>0</v>
      </c>
      <c r="BA258">
        <f t="shared" si="106"/>
        <v>0</v>
      </c>
      <c r="BB258">
        <f t="shared" si="107"/>
        <v>0</v>
      </c>
      <c r="BC258">
        <f t="shared" si="108"/>
        <v>0</v>
      </c>
      <c r="BD258">
        <f t="shared" si="109"/>
        <v>0</v>
      </c>
      <c r="BE258">
        <f t="shared" si="110"/>
        <v>0</v>
      </c>
      <c r="BF258">
        <f t="shared" si="111"/>
        <v>0</v>
      </c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</row>
    <row r="259" spans="1:256" s="201" customFormat="1" ht="14.25" x14ac:dyDescent="0.2">
      <c r="A259" s="10">
        <v>3174</v>
      </c>
      <c r="B259" s="11" t="s">
        <v>195</v>
      </c>
      <c r="C259" s="105" t="s">
        <v>298</v>
      </c>
      <c r="D259" s="11" t="s">
        <v>105</v>
      </c>
      <c r="E259" s="12">
        <v>3968</v>
      </c>
      <c r="F259" s="202">
        <v>15</v>
      </c>
      <c r="G259" s="11">
        <v>30000</v>
      </c>
      <c r="H259" s="116">
        <v>0</v>
      </c>
      <c r="I259" s="192"/>
      <c r="J259" s="204"/>
      <c r="K259" s="193"/>
      <c r="L259" s="193"/>
      <c r="M259" s="193"/>
      <c r="N259" s="203">
        <f t="shared" si="84"/>
        <v>30000</v>
      </c>
      <c r="O259" s="203">
        <f t="shared" si="85"/>
        <v>30000</v>
      </c>
      <c r="P259" s="203">
        <f t="shared" si="86"/>
        <v>30000</v>
      </c>
      <c r="Q259" s="214"/>
      <c r="R259" s="215"/>
      <c r="S259" s="218">
        <v>45652</v>
      </c>
      <c r="T259" s="205"/>
      <c r="U259" s="205"/>
      <c r="V259" s="216"/>
      <c r="W259" s="212"/>
      <c r="X259" s="10">
        <v>7</v>
      </c>
      <c r="Y259" s="10">
        <v>7</v>
      </c>
      <c r="Z259" s="213">
        <f t="shared" si="87"/>
        <v>30000</v>
      </c>
      <c r="AA259" s="62"/>
      <c r="AB259" s="62"/>
      <c r="AC259" s="62"/>
      <c r="AD259" s="62"/>
      <c r="AE259" s="62"/>
      <c r="AF259" s="63"/>
      <c r="AG259" s="64"/>
      <c r="AH259" s="6">
        <v>1</v>
      </c>
      <c r="AI259">
        <f t="shared" si="88"/>
        <v>25</v>
      </c>
      <c r="AJ259">
        <f t="shared" si="89"/>
        <v>25</v>
      </c>
      <c r="AK259">
        <f t="shared" si="90"/>
        <v>0</v>
      </c>
      <c r="AL259">
        <f t="shared" si="91"/>
        <v>0</v>
      </c>
      <c r="AM259">
        <f t="shared" si="92"/>
        <v>0</v>
      </c>
      <c r="AN259">
        <f t="shared" si="93"/>
        <v>0</v>
      </c>
      <c r="AO259">
        <f t="shared" si="94"/>
        <v>0</v>
      </c>
      <c r="AP259">
        <f t="shared" si="95"/>
        <v>0</v>
      </c>
      <c r="AQ259">
        <f t="shared" si="96"/>
        <v>0</v>
      </c>
      <c r="AR259">
        <f t="shared" si="97"/>
        <v>0</v>
      </c>
      <c r="AS259">
        <f t="shared" si="98"/>
        <v>0</v>
      </c>
      <c r="AT259">
        <f t="shared" si="99"/>
        <v>0</v>
      </c>
      <c r="AU259">
        <f t="shared" si="100"/>
        <v>1</v>
      </c>
      <c r="AV259">
        <f t="shared" si="101"/>
        <v>1</v>
      </c>
      <c r="AW259">
        <f t="shared" si="102"/>
        <v>1</v>
      </c>
      <c r="AX259">
        <f t="shared" si="103"/>
        <v>1</v>
      </c>
      <c r="AY259">
        <f t="shared" si="104"/>
        <v>30000</v>
      </c>
      <c r="AZ259">
        <f t="shared" si="105"/>
        <v>30000</v>
      </c>
      <c r="BA259">
        <f t="shared" si="106"/>
        <v>0</v>
      </c>
      <c r="BB259">
        <f t="shared" si="107"/>
        <v>0</v>
      </c>
      <c r="BC259">
        <f t="shared" si="108"/>
        <v>0</v>
      </c>
      <c r="BD259">
        <f t="shared" si="109"/>
        <v>0</v>
      </c>
      <c r="BE259">
        <f t="shared" si="110"/>
        <v>0</v>
      </c>
      <c r="BF259">
        <f t="shared" si="111"/>
        <v>0</v>
      </c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</row>
    <row r="260" spans="1:256" s="201" customFormat="1" ht="14.25" x14ac:dyDescent="0.2">
      <c r="A260" s="10">
        <v>3176</v>
      </c>
      <c r="B260" s="11" t="s">
        <v>828</v>
      </c>
      <c r="C260" s="105" t="s">
        <v>829</v>
      </c>
      <c r="D260" s="11" t="s">
        <v>105</v>
      </c>
      <c r="E260" s="12">
        <v>11626</v>
      </c>
      <c r="F260" s="202">
        <v>15</v>
      </c>
      <c r="G260" s="11">
        <v>60000</v>
      </c>
      <c r="H260" s="116">
        <v>0</v>
      </c>
      <c r="I260" s="192"/>
      <c r="J260" s="204"/>
      <c r="K260" s="193"/>
      <c r="L260" s="193"/>
      <c r="M260" s="193"/>
      <c r="N260" s="203">
        <f t="shared" ref="N260:N323" si="112">IF(H260&gt;0,G260+H260-I260-J260-K260-L260-M260,G260-I260-J260-K260-L260-M260)</f>
        <v>60000</v>
      </c>
      <c r="O260" s="203">
        <f t="shared" ref="O260:O323" si="113">G260+H260-J260-I260-K260-L260-M260</f>
        <v>60000</v>
      </c>
      <c r="P260" s="203">
        <f t="shared" ref="P260:P323" si="114">IF(G260+H260&lt;0,0,G260+H260)</f>
        <v>60000</v>
      </c>
      <c r="Q260" s="214"/>
      <c r="R260" s="215"/>
      <c r="S260" s="218">
        <v>45656</v>
      </c>
      <c r="T260" s="205"/>
      <c r="U260" s="205"/>
      <c r="V260" s="216"/>
      <c r="W260" s="212"/>
      <c r="X260" s="10">
        <v>7</v>
      </c>
      <c r="Y260" s="10">
        <v>7</v>
      </c>
      <c r="Z260" s="213">
        <f t="shared" ref="Z260:Z323" si="115">IF(N260&lt;0,0,N260)</f>
        <v>60000</v>
      </c>
      <c r="AA260" s="62"/>
      <c r="AB260" s="62"/>
      <c r="AC260" s="62"/>
      <c r="AD260" s="62"/>
      <c r="AE260" s="62"/>
      <c r="AF260" s="63"/>
      <c r="AG260" s="64"/>
      <c r="AH260" s="6">
        <v>1</v>
      </c>
      <c r="AI260">
        <f t="shared" ref="AI260:AI323" si="116">IF(F260&lt;=6,15,25)</f>
        <v>25</v>
      </c>
      <c r="AJ260">
        <f t="shared" ref="AJ260:AJ323" si="117">IF(O260&lt;&gt;0,25,15)</f>
        <v>25</v>
      </c>
      <c r="AK260">
        <f t="shared" ref="AK260:AK323" si="118">IF(AI260-T260=24,1,0)</f>
        <v>0</v>
      </c>
      <c r="AL260">
        <f t="shared" ref="AL260:AL323" si="119">IF(AH260-AK260=AH260,0,AH260)</f>
        <v>0</v>
      </c>
      <c r="AM260">
        <f t="shared" ref="AM260:AM323" si="120">IF(AK260&lt;&gt;0,U260,0)</f>
        <v>0</v>
      </c>
      <c r="AN260">
        <f t="shared" ref="AN260:AN323" si="121">IF(AK260=1,O260,0)</f>
        <v>0</v>
      </c>
      <c r="AO260">
        <f t="shared" ref="AO260:AO323" si="122">IF(AI260-T260=14,1,0)</f>
        <v>0</v>
      </c>
      <c r="AP260">
        <f t="shared" ref="AP260:AP323" si="123">IF(AH260-AO260=AH260,0,AH260)</f>
        <v>0</v>
      </c>
      <c r="AQ260">
        <f t="shared" ref="AQ260:AQ323" si="124">IF(AO260&lt;&gt;0,U260,0)</f>
        <v>0</v>
      </c>
      <c r="AR260">
        <f t="shared" ref="AR260:AR323" si="125">IF(AO260=1,O260,0)</f>
        <v>0</v>
      </c>
      <c r="AS260">
        <f t="shared" ref="AS260:AS323" si="126">IF(SUM(I260:M260)&lt;&gt;0,1,0)</f>
        <v>0</v>
      </c>
      <c r="AT260">
        <f t="shared" ref="AT260:AT323" si="127">AS260</f>
        <v>0</v>
      </c>
      <c r="AU260">
        <f t="shared" ref="AU260:AU323" si="128">IF(O260&gt;0,1,0)</f>
        <v>1</v>
      </c>
      <c r="AV260">
        <f t="shared" ref="AV260:AV323" si="129">IF(AK260+AO260+AU260=1,AU260,0)</f>
        <v>1</v>
      </c>
      <c r="AW260">
        <f t="shared" ref="AW260:AW323" si="130">IF(AI260-AV260=24,1,0)</f>
        <v>1</v>
      </c>
      <c r="AX260">
        <f t="shared" ref="AX260:AX323" si="131">IF(AH260-AW260=AH260,0,AH260)</f>
        <v>1</v>
      </c>
      <c r="AY260">
        <f t="shared" ref="AY260:AY323" si="132">IF(AW260=1,O260,0)</f>
        <v>60000</v>
      </c>
      <c r="AZ260">
        <f t="shared" ref="AZ260:AZ323" si="133">IF(AY260-BA260&lt;&gt;0,AY260,0)</f>
        <v>60000</v>
      </c>
      <c r="BA260">
        <f t="shared" ref="BA260:BA323" si="134">IF(AY260&lt;0,AY260,0)</f>
        <v>0</v>
      </c>
      <c r="BB260">
        <f t="shared" ref="BB260:BB323" si="135">IF(AI260-AV260=14,1,0)</f>
        <v>0</v>
      </c>
      <c r="BC260">
        <f t="shared" ref="BC260:BC323" si="136">IF(AH260-BB260=AH260,0,AH260)</f>
        <v>0</v>
      </c>
      <c r="BD260">
        <f t="shared" ref="BD260:BD323" si="137">IF(BB260=1,O260,0)</f>
        <v>0</v>
      </c>
      <c r="BE260">
        <f t="shared" ref="BE260:BE323" si="138">IF(BD260&lt;0,BD260,0)</f>
        <v>0</v>
      </c>
      <c r="BF260">
        <f t="shared" ref="BF260:BF323" si="139">IF(BD260-BE260&lt;&gt;0,BD260,0)</f>
        <v>0</v>
      </c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</row>
    <row r="261" spans="1:256" s="201" customFormat="1" ht="14.25" x14ac:dyDescent="0.2">
      <c r="A261" s="10">
        <v>3177</v>
      </c>
      <c r="B261" s="11" t="s">
        <v>409</v>
      </c>
      <c r="C261" s="105" t="s">
        <v>410</v>
      </c>
      <c r="D261" s="11" t="s">
        <v>411</v>
      </c>
      <c r="E261" s="12">
        <v>11939</v>
      </c>
      <c r="F261" s="202">
        <v>15</v>
      </c>
      <c r="G261" s="11">
        <v>5000</v>
      </c>
      <c r="H261" s="116">
        <v>-5000</v>
      </c>
      <c r="I261" s="192"/>
      <c r="J261" s="204"/>
      <c r="K261" s="193"/>
      <c r="L261" s="193"/>
      <c r="M261" s="193"/>
      <c r="N261" s="203">
        <f t="shared" si="112"/>
        <v>5000</v>
      </c>
      <c r="O261" s="203">
        <f t="shared" si="113"/>
        <v>0</v>
      </c>
      <c r="P261" s="203">
        <f t="shared" si="114"/>
        <v>0</v>
      </c>
      <c r="Q261" s="214">
        <v>45659</v>
      </c>
      <c r="R261" s="215"/>
      <c r="S261" s="218">
        <v>45628</v>
      </c>
      <c r="T261" s="205"/>
      <c r="U261" s="205"/>
      <c r="V261" s="216" t="s">
        <v>1131</v>
      </c>
      <c r="W261" s="212"/>
      <c r="X261" s="10">
        <v>7</v>
      </c>
      <c r="Y261" s="10">
        <v>7</v>
      </c>
      <c r="Z261" s="213">
        <f t="shared" si="115"/>
        <v>5000</v>
      </c>
      <c r="AA261" s="62"/>
      <c r="AB261" s="62"/>
      <c r="AC261" s="62"/>
      <c r="AD261" s="62"/>
      <c r="AE261" s="62"/>
      <c r="AF261" s="63"/>
      <c r="AG261" s="64"/>
      <c r="AH261" s="6">
        <v>1</v>
      </c>
      <c r="AI261">
        <f t="shared" si="116"/>
        <v>25</v>
      </c>
      <c r="AJ261">
        <f t="shared" si="117"/>
        <v>15</v>
      </c>
      <c r="AK261">
        <f t="shared" si="118"/>
        <v>0</v>
      </c>
      <c r="AL261">
        <f t="shared" si="119"/>
        <v>0</v>
      </c>
      <c r="AM261">
        <f t="shared" si="120"/>
        <v>0</v>
      </c>
      <c r="AN261">
        <f t="shared" si="121"/>
        <v>0</v>
      </c>
      <c r="AO261">
        <f t="shared" si="122"/>
        <v>0</v>
      </c>
      <c r="AP261">
        <f t="shared" si="123"/>
        <v>0</v>
      </c>
      <c r="AQ261">
        <f t="shared" si="124"/>
        <v>0</v>
      </c>
      <c r="AR261">
        <f t="shared" si="125"/>
        <v>0</v>
      </c>
      <c r="AS261">
        <f t="shared" si="126"/>
        <v>0</v>
      </c>
      <c r="AT261">
        <f t="shared" si="127"/>
        <v>0</v>
      </c>
      <c r="AU261">
        <f t="shared" si="128"/>
        <v>0</v>
      </c>
      <c r="AV261">
        <f t="shared" si="129"/>
        <v>0</v>
      </c>
      <c r="AW261">
        <f t="shared" si="130"/>
        <v>0</v>
      </c>
      <c r="AX261">
        <f t="shared" si="131"/>
        <v>0</v>
      </c>
      <c r="AY261">
        <f t="shared" si="132"/>
        <v>0</v>
      </c>
      <c r="AZ261">
        <f t="shared" si="133"/>
        <v>0</v>
      </c>
      <c r="BA261">
        <f t="shared" si="134"/>
        <v>0</v>
      </c>
      <c r="BB261">
        <f t="shared" si="135"/>
        <v>0</v>
      </c>
      <c r="BC261">
        <f t="shared" si="136"/>
        <v>0</v>
      </c>
      <c r="BD261">
        <f t="shared" si="137"/>
        <v>0</v>
      </c>
      <c r="BE261">
        <f t="shared" si="138"/>
        <v>0</v>
      </c>
      <c r="BF261">
        <f t="shared" si="139"/>
        <v>0</v>
      </c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</row>
    <row r="262" spans="1:256" s="201" customFormat="1" ht="14.25" x14ac:dyDescent="0.2">
      <c r="A262" s="10">
        <v>3179</v>
      </c>
      <c r="B262" s="11" t="s">
        <v>830</v>
      </c>
      <c r="C262" s="105" t="s">
        <v>831</v>
      </c>
      <c r="D262" s="11" t="s">
        <v>106</v>
      </c>
      <c r="E262" s="12">
        <v>11947</v>
      </c>
      <c r="F262" s="202">
        <v>15</v>
      </c>
      <c r="G262" s="11">
        <v>60000</v>
      </c>
      <c r="H262" s="116">
        <v>0</v>
      </c>
      <c r="I262" s="192"/>
      <c r="J262" s="204"/>
      <c r="K262" s="193"/>
      <c r="L262" s="193"/>
      <c r="M262" s="193"/>
      <c r="N262" s="203">
        <f t="shared" si="112"/>
        <v>60000</v>
      </c>
      <c r="O262" s="203">
        <f t="shared" si="113"/>
        <v>60000</v>
      </c>
      <c r="P262" s="203">
        <f t="shared" si="114"/>
        <v>60000</v>
      </c>
      <c r="Q262" s="214"/>
      <c r="R262" s="215"/>
      <c r="S262" s="218">
        <v>45644</v>
      </c>
      <c r="T262" s="205"/>
      <c r="U262" s="205"/>
      <c r="V262" s="216"/>
      <c r="W262" s="212"/>
      <c r="X262" s="10">
        <v>7</v>
      </c>
      <c r="Y262" s="10">
        <v>7</v>
      </c>
      <c r="Z262" s="213">
        <f t="shared" si="115"/>
        <v>60000</v>
      </c>
      <c r="AA262" s="62"/>
      <c r="AB262" s="62"/>
      <c r="AC262" s="62"/>
      <c r="AD262" s="62"/>
      <c r="AE262" s="62"/>
      <c r="AF262" s="63"/>
      <c r="AG262" s="64"/>
      <c r="AH262" s="6">
        <v>1</v>
      </c>
      <c r="AI262">
        <f t="shared" si="116"/>
        <v>25</v>
      </c>
      <c r="AJ262">
        <f t="shared" si="117"/>
        <v>25</v>
      </c>
      <c r="AK262">
        <f t="shared" si="118"/>
        <v>0</v>
      </c>
      <c r="AL262">
        <f t="shared" si="119"/>
        <v>0</v>
      </c>
      <c r="AM262">
        <f t="shared" si="120"/>
        <v>0</v>
      </c>
      <c r="AN262">
        <f t="shared" si="121"/>
        <v>0</v>
      </c>
      <c r="AO262">
        <f t="shared" si="122"/>
        <v>0</v>
      </c>
      <c r="AP262">
        <f t="shared" si="123"/>
        <v>0</v>
      </c>
      <c r="AQ262">
        <f t="shared" si="124"/>
        <v>0</v>
      </c>
      <c r="AR262">
        <f t="shared" si="125"/>
        <v>0</v>
      </c>
      <c r="AS262">
        <f t="shared" si="126"/>
        <v>0</v>
      </c>
      <c r="AT262">
        <f t="shared" si="127"/>
        <v>0</v>
      </c>
      <c r="AU262">
        <f t="shared" si="128"/>
        <v>1</v>
      </c>
      <c r="AV262">
        <f t="shared" si="129"/>
        <v>1</v>
      </c>
      <c r="AW262">
        <f t="shared" si="130"/>
        <v>1</v>
      </c>
      <c r="AX262">
        <f t="shared" si="131"/>
        <v>1</v>
      </c>
      <c r="AY262">
        <f t="shared" si="132"/>
        <v>60000</v>
      </c>
      <c r="AZ262">
        <f t="shared" si="133"/>
        <v>60000</v>
      </c>
      <c r="BA262">
        <f t="shared" si="134"/>
        <v>0</v>
      </c>
      <c r="BB262">
        <f t="shared" si="135"/>
        <v>0</v>
      </c>
      <c r="BC262">
        <f t="shared" si="136"/>
        <v>0</v>
      </c>
      <c r="BD262">
        <f t="shared" si="137"/>
        <v>0</v>
      </c>
      <c r="BE262">
        <f t="shared" si="138"/>
        <v>0</v>
      </c>
      <c r="BF262">
        <f t="shared" si="139"/>
        <v>0</v>
      </c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</row>
    <row r="263" spans="1:256" s="201" customFormat="1" ht="14.25" x14ac:dyDescent="0.2">
      <c r="A263" s="10">
        <v>3182</v>
      </c>
      <c r="B263" s="11" t="s">
        <v>832</v>
      </c>
      <c r="C263" s="105" t="s">
        <v>833</v>
      </c>
      <c r="D263" s="11" t="s">
        <v>220</v>
      </c>
      <c r="E263" s="12">
        <v>11970</v>
      </c>
      <c r="F263" s="202">
        <v>15</v>
      </c>
      <c r="G263" s="11">
        <v>55000</v>
      </c>
      <c r="H263" s="116">
        <v>0</v>
      </c>
      <c r="I263" s="192"/>
      <c r="J263" s="204"/>
      <c r="K263" s="193"/>
      <c r="L263" s="193"/>
      <c r="M263" s="193"/>
      <c r="N263" s="203">
        <f t="shared" si="112"/>
        <v>55000</v>
      </c>
      <c r="O263" s="203">
        <f t="shared" si="113"/>
        <v>55000</v>
      </c>
      <c r="P263" s="203">
        <f t="shared" si="114"/>
        <v>55000</v>
      </c>
      <c r="Q263" s="214"/>
      <c r="R263" s="215"/>
      <c r="S263" s="218">
        <v>45636</v>
      </c>
      <c r="T263" s="205"/>
      <c r="U263" s="205"/>
      <c r="V263" s="216"/>
      <c r="W263" s="212"/>
      <c r="X263" s="10">
        <v>7</v>
      </c>
      <c r="Y263" s="10">
        <v>7</v>
      </c>
      <c r="Z263" s="213">
        <f t="shared" si="115"/>
        <v>55000</v>
      </c>
      <c r="AA263" s="62"/>
      <c r="AB263" s="62"/>
      <c r="AC263" s="62"/>
      <c r="AD263" s="62"/>
      <c r="AE263" s="62"/>
      <c r="AF263" s="63"/>
      <c r="AG263" s="64"/>
      <c r="AH263" s="6">
        <v>1</v>
      </c>
      <c r="AI263">
        <f t="shared" si="116"/>
        <v>25</v>
      </c>
      <c r="AJ263">
        <f t="shared" si="117"/>
        <v>25</v>
      </c>
      <c r="AK263">
        <f t="shared" si="118"/>
        <v>0</v>
      </c>
      <c r="AL263">
        <f t="shared" si="119"/>
        <v>0</v>
      </c>
      <c r="AM263">
        <f t="shared" si="120"/>
        <v>0</v>
      </c>
      <c r="AN263">
        <f t="shared" si="121"/>
        <v>0</v>
      </c>
      <c r="AO263">
        <f t="shared" si="122"/>
        <v>0</v>
      </c>
      <c r="AP263">
        <f t="shared" si="123"/>
        <v>0</v>
      </c>
      <c r="AQ263">
        <f t="shared" si="124"/>
        <v>0</v>
      </c>
      <c r="AR263">
        <f t="shared" si="125"/>
        <v>0</v>
      </c>
      <c r="AS263">
        <f t="shared" si="126"/>
        <v>0</v>
      </c>
      <c r="AT263">
        <f t="shared" si="127"/>
        <v>0</v>
      </c>
      <c r="AU263">
        <f t="shared" si="128"/>
        <v>1</v>
      </c>
      <c r="AV263">
        <f t="shared" si="129"/>
        <v>1</v>
      </c>
      <c r="AW263">
        <f t="shared" si="130"/>
        <v>1</v>
      </c>
      <c r="AX263">
        <f t="shared" si="131"/>
        <v>1</v>
      </c>
      <c r="AY263">
        <f t="shared" si="132"/>
        <v>55000</v>
      </c>
      <c r="AZ263">
        <f t="shared" si="133"/>
        <v>55000</v>
      </c>
      <c r="BA263">
        <f t="shared" si="134"/>
        <v>0</v>
      </c>
      <c r="BB263">
        <f t="shared" si="135"/>
        <v>0</v>
      </c>
      <c r="BC263">
        <f t="shared" si="136"/>
        <v>0</v>
      </c>
      <c r="BD263">
        <f t="shared" si="137"/>
        <v>0</v>
      </c>
      <c r="BE263">
        <f t="shared" si="138"/>
        <v>0</v>
      </c>
      <c r="BF263">
        <f t="shared" si="139"/>
        <v>0</v>
      </c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</row>
    <row r="264" spans="1:256" s="201" customFormat="1" ht="14.25" x14ac:dyDescent="0.2">
      <c r="A264" s="10">
        <v>3184</v>
      </c>
      <c r="B264" s="11" t="s">
        <v>314</v>
      </c>
      <c r="C264" s="105" t="s">
        <v>315</v>
      </c>
      <c r="D264" s="11" t="s">
        <v>147</v>
      </c>
      <c r="E264" s="12">
        <v>11981</v>
      </c>
      <c r="F264" s="202">
        <v>15</v>
      </c>
      <c r="G264" s="11">
        <v>30000</v>
      </c>
      <c r="H264" s="116">
        <v>0</v>
      </c>
      <c r="I264" s="192"/>
      <c r="J264" s="204"/>
      <c r="K264" s="193"/>
      <c r="L264" s="193"/>
      <c r="M264" s="193"/>
      <c r="N264" s="203">
        <f t="shared" si="112"/>
        <v>30000</v>
      </c>
      <c r="O264" s="203">
        <f t="shared" si="113"/>
        <v>30000</v>
      </c>
      <c r="P264" s="203">
        <f t="shared" si="114"/>
        <v>30000</v>
      </c>
      <c r="Q264" s="214">
        <v>45661</v>
      </c>
      <c r="R264" s="215"/>
      <c r="S264" s="218">
        <v>45640</v>
      </c>
      <c r="T264" s="205"/>
      <c r="U264" s="205"/>
      <c r="V264" s="216" t="s">
        <v>1131</v>
      </c>
      <c r="W264" s="212"/>
      <c r="X264" s="10">
        <v>7</v>
      </c>
      <c r="Y264" s="10">
        <v>7</v>
      </c>
      <c r="Z264" s="213">
        <f t="shared" si="115"/>
        <v>30000</v>
      </c>
      <c r="AA264" s="62"/>
      <c r="AB264" s="62"/>
      <c r="AC264" s="62"/>
      <c r="AD264" s="62"/>
      <c r="AE264" s="62"/>
      <c r="AF264" s="63"/>
      <c r="AG264" s="64"/>
      <c r="AH264" s="6">
        <v>1</v>
      </c>
      <c r="AI264">
        <f t="shared" si="116"/>
        <v>25</v>
      </c>
      <c r="AJ264">
        <f t="shared" si="117"/>
        <v>25</v>
      </c>
      <c r="AK264">
        <f t="shared" si="118"/>
        <v>0</v>
      </c>
      <c r="AL264">
        <f t="shared" si="119"/>
        <v>0</v>
      </c>
      <c r="AM264">
        <f t="shared" si="120"/>
        <v>0</v>
      </c>
      <c r="AN264">
        <f t="shared" si="121"/>
        <v>0</v>
      </c>
      <c r="AO264">
        <f t="shared" si="122"/>
        <v>0</v>
      </c>
      <c r="AP264">
        <f t="shared" si="123"/>
        <v>0</v>
      </c>
      <c r="AQ264">
        <f t="shared" si="124"/>
        <v>0</v>
      </c>
      <c r="AR264">
        <f t="shared" si="125"/>
        <v>0</v>
      </c>
      <c r="AS264">
        <f t="shared" si="126"/>
        <v>0</v>
      </c>
      <c r="AT264">
        <f t="shared" si="127"/>
        <v>0</v>
      </c>
      <c r="AU264">
        <f t="shared" si="128"/>
        <v>1</v>
      </c>
      <c r="AV264">
        <f t="shared" si="129"/>
        <v>1</v>
      </c>
      <c r="AW264">
        <f t="shared" si="130"/>
        <v>1</v>
      </c>
      <c r="AX264">
        <f t="shared" si="131"/>
        <v>1</v>
      </c>
      <c r="AY264">
        <f t="shared" si="132"/>
        <v>30000</v>
      </c>
      <c r="AZ264">
        <f t="shared" si="133"/>
        <v>30000</v>
      </c>
      <c r="BA264">
        <f t="shared" si="134"/>
        <v>0</v>
      </c>
      <c r="BB264">
        <f t="shared" si="135"/>
        <v>0</v>
      </c>
      <c r="BC264">
        <f t="shared" si="136"/>
        <v>0</v>
      </c>
      <c r="BD264">
        <f t="shared" si="137"/>
        <v>0</v>
      </c>
      <c r="BE264">
        <f t="shared" si="138"/>
        <v>0</v>
      </c>
      <c r="BF264">
        <f t="shared" si="139"/>
        <v>0</v>
      </c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</row>
    <row r="265" spans="1:256" s="201" customFormat="1" ht="14.25" x14ac:dyDescent="0.2">
      <c r="A265" s="10">
        <v>3185</v>
      </c>
      <c r="B265" s="11" t="s">
        <v>412</v>
      </c>
      <c r="C265" s="105" t="s">
        <v>413</v>
      </c>
      <c r="D265" s="11" t="s">
        <v>157</v>
      </c>
      <c r="E265" s="12">
        <v>11982</v>
      </c>
      <c r="F265" s="202">
        <v>15</v>
      </c>
      <c r="G265" s="11">
        <v>10000</v>
      </c>
      <c r="H265" s="116">
        <v>0</v>
      </c>
      <c r="I265" s="192"/>
      <c r="J265" s="204"/>
      <c r="K265" s="193"/>
      <c r="L265" s="193"/>
      <c r="M265" s="193"/>
      <c r="N265" s="203">
        <f t="shared" si="112"/>
        <v>10000</v>
      </c>
      <c r="O265" s="203">
        <f t="shared" si="113"/>
        <v>10000</v>
      </c>
      <c r="P265" s="203">
        <f t="shared" si="114"/>
        <v>10000</v>
      </c>
      <c r="Q265" s="214">
        <v>45665</v>
      </c>
      <c r="R265" s="215"/>
      <c r="S265" s="218">
        <v>45643</v>
      </c>
      <c r="T265" s="205"/>
      <c r="U265" s="205"/>
      <c r="V265" s="216" t="s">
        <v>1131</v>
      </c>
      <c r="W265" s="212"/>
      <c r="X265" s="10">
        <v>7</v>
      </c>
      <c r="Y265" s="10">
        <v>7</v>
      </c>
      <c r="Z265" s="213">
        <f t="shared" si="115"/>
        <v>10000</v>
      </c>
      <c r="AA265" s="62"/>
      <c r="AB265" s="62"/>
      <c r="AC265" s="62"/>
      <c r="AD265" s="62"/>
      <c r="AE265" s="62"/>
      <c r="AF265" s="63"/>
      <c r="AG265" s="64"/>
      <c r="AH265" s="6">
        <v>1</v>
      </c>
      <c r="AI265">
        <f t="shared" si="116"/>
        <v>25</v>
      </c>
      <c r="AJ265">
        <f t="shared" si="117"/>
        <v>25</v>
      </c>
      <c r="AK265">
        <f t="shared" si="118"/>
        <v>0</v>
      </c>
      <c r="AL265">
        <f t="shared" si="119"/>
        <v>0</v>
      </c>
      <c r="AM265">
        <f t="shared" si="120"/>
        <v>0</v>
      </c>
      <c r="AN265">
        <f t="shared" si="121"/>
        <v>0</v>
      </c>
      <c r="AO265">
        <f t="shared" si="122"/>
        <v>0</v>
      </c>
      <c r="AP265">
        <f t="shared" si="123"/>
        <v>0</v>
      </c>
      <c r="AQ265">
        <f t="shared" si="124"/>
        <v>0</v>
      </c>
      <c r="AR265">
        <f t="shared" si="125"/>
        <v>0</v>
      </c>
      <c r="AS265">
        <f t="shared" si="126"/>
        <v>0</v>
      </c>
      <c r="AT265">
        <f t="shared" si="127"/>
        <v>0</v>
      </c>
      <c r="AU265">
        <f t="shared" si="128"/>
        <v>1</v>
      </c>
      <c r="AV265">
        <f t="shared" si="129"/>
        <v>1</v>
      </c>
      <c r="AW265">
        <f t="shared" si="130"/>
        <v>1</v>
      </c>
      <c r="AX265">
        <f t="shared" si="131"/>
        <v>1</v>
      </c>
      <c r="AY265">
        <f t="shared" si="132"/>
        <v>10000</v>
      </c>
      <c r="AZ265">
        <f t="shared" si="133"/>
        <v>10000</v>
      </c>
      <c r="BA265">
        <f t="shared" si="134"/>
        <v>0</v>
      </c>
      <c r="BB265">
        <f t="shared" si="135"/>
        <v>0</v>
      </c>
      <c r="BC265">
        <f t="shared" si="136"/>
        <v>0</v>
      </c>
      <c r="BD265">
        <f t="shared" si="137"/>
        <v>0</v>
      </c>
      <c r="BE265">
        <f t="shared" si="138"/>
        <v>0</v>
      </c>
      <c r="BF265">
        <f t="shared" si="139"/>
        <v>0</v>
      </c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</row>
    <row r="266" spans="1:256" s="201" customFormat="1" ht="14.25" x14ac:dyDescent="0.2">
      <c r="A266" s="10">
        <v>3186</v>
      </c>
      <c r="B266" s="11" t="s">
        <v>414</v>
      </c>
      <c r="C266" s="105" t="s">
        <v>415</v>
      </c>
      <c r="D266" s="11" t="s">
        <v>160</v>
      </c>
      <c r="E266" s="12">
        <v>11983</v>
      </c>
      <c r="F266" s="202">
        <v>15</v>
      </c>
      <c r="G266" s="11">
        <v>50000</v>
      </c>
      <c r="H266" s="116">
        <v>0</v>
      </c>
      <c r="I266" s="192"/>
      <c r="J266" s="204"/>
      <c r="K266" s="193"/>
      <c r="L266" s="193"/>
      <c r="M266" s="193"/>
      <c r="N266" s="203">
        <f t="shared" si="112"/>
        <v>50000</v>
      </c>
      <c r="O266" s="203">
        <f t="shared" si="113"/>
        <v>50000</v>
      </c>
      <c r="P266" s="203">
        <f t="shared" si="114"/>
        <v>50000</v>
      </c>
      <c r="Q266" s="214"/>
      <c r="R266" s="215"/>
      <c r="S266" s="218">
        <v>45654</v>
      </c>
      <c r="T266" s="205"/>
      <c r="U266" s="205"/>
      <c r="V266" s="216"/>
      <c r="W266" s="212"/>
      <c r="X266" s="10">
        <v>7</v>
      </c>
      <c r="Y266" s="10">
        <v>7</v>
      </c>
      <c r="Z266" s="213">
        <f t="shared" si="115"/>
        <v>50000</v>
      </c>
      <c r="AA266" s="62"/>
      <c r="AB266" s="62"/>
      <c r="AC266" s="62"/>
      <c r="AD266" s="62"/>
      <c r="AE266" s="62"/>
      <c r="AF266" s="63"/>
      <c r="AG266" s="64"/>
      <c r="AH266" s="6">
        <v>1</v>
      </c>
      <c r="AI266">
        <f t="shared" si="116"/>
        <v>25</v>
      </c>
      <c r="AJ266">
        <f t="shared" si="117"/>
        <v>25</v>
      </c>
      <c r="AK266">
        <f t="shared" si="118"/>
        <v>0</v>
      </c>
      <c r="AL266">
        <f t="shared" si="119"/>
        <v>0</v>
      </c>
      <c r="AM266">
        <f t="shared" si="120"/>
        <v>0</v>
      </c>
      <c r="AN266">
        <f t="shared" si="121"/>
        <v>0</v>
      </c>
      <c r="AO266">
        <f t="shared" si="122"/>
        <v>0</v>
      </c>
      <c r="AP266">
        <f t="shared" si="123"/>
        <v>0</v>
      </c>
      <c r="AQ266">
        <f t="shared" si="124"/>
        <v>0</v>
      </c>
      <c r="AR266">
        <f t="shared" si="125"/>
        <v>0</v>
      </c>
      <c r="AS266">
        <f t="shared" si="126"/>
        <v>0</v>
      </c>
      <c r="AT266">
        <f t="shared" si="127"/>
        <v>0</v>
      </c>
      <c r="AU266">
        <f t="shared" si="128"/>
        <v>1</v>
      </c>
      <c r="AV266">
        <f t="shared" si="129"/>
        <v>1</v>
      </c>
      <c r="AW266">
        <f t="shared" si="130"/>
        <v>1</v>
      </c>
      <c r="AX266">
        <f t="shared" si="131"/>
        <v>1</v>
      </c>
      <c r="AY266">
        <f t="shared" si="132"/>
        <v>50000</v>
      </c>
      <c r="AZ266">
        <f t="shared" si="133"/>
        <v>50000</v>
      </c>
      <c r="BA266">
        <f t="shared" si="134"/>
        <v>0</v>
      </c>
      <c r="BB266">
        <f t="shared" si="135"/>
        <v>0</v>
      </c>
      <c r="BC266">
        <f t="shared" si="136"/>
        <v>0</v>
      </c>
      <c r="BD266">
        <f t="shared" si="137"/>
        <v>0</v>
      </c>
      <c r="BE266">
        <f t="shared" si="138"/>
        <v>0</v>
      </c>
      <c r="BF266">
        <f t="shared" si="139"/>
        <v>0</v>
      </c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</row>
    <row r="267" spans="1:256" s="201" customFormat="1" ht="14.25" x14ac:dyDescent="0.2">
      <c r="A267" s="10">
        <v>3187</v>
      </c>
      <c r="B267" s="11" t="s">
        <v>264</v>
      </c>
      <c r="C267" s="105" t="s">
        <v>299</v>
      </c>
      <c r="D267" s="11" t="s">
        <v>157</v>
      </c>
      <c r="E267" s="12">
        <v>11986</v>
      </c>
      <c r="F267" s="202">
        <v>15</v>
      </c>
      <c r="G267" s="11">
        <v>30000</v>
      </c>
      <c r="H267" s="116">
        <v>0</v>
      </c>
      <c r="I267" s="192"/>
      <c r="J267" s="204"/>
      <c r="K267" s="193"/>
      <c r="L267" s="193"/>
      <c r="M267" s="193"/>
      <c r="N267" s="203">
        <f t="shared" si="112"/>
        <v>30000</v>
      </c>
      <c r="O267" s="203">
        <f t="shared" si="113"/>
        <v>30000</v>
      </c>
      <c r="P267" s="203">
        <f t="shared" si="114"/>
        <v>30000</v>
      </c>
      <c r="Q267" s="214"/>
      <c r="R267" s="215"/>
      <c r="S267" s="218">
        <v>45656</v>
      </c>
      <c r="T267" s="205"/>
      <c r="U267" s="205"/>
      <c r="V267" s="216"/>
      <c r="W267" s="212"/>
      <c r="X267" s="10">
        <v>7</v>
      </c>
      <c r="Y267" s="10">
        <v>7</v>
      </c>
      <c r="Z267" s="213">
        <f t="shared" si="115"/>
        <v>30000</v>
      </c>
      <c r="AA267" s="62"/>
      <c r="AB267" s="62"/>
      <c r="AC267" s="62"/>
      <c r="AD267" s="62"/>
      <c r="AE267" s="62"/>
      <c r="AF267" s="63"/>
      <c r="AG267" s="64"/>
      <c r="AH267" s="6">
        <v>1</v>
      </c>
      <c r="AI267">
        <f t="shared" si="116"/>
        <v>25</v>
      </c>
      <c r="AJ267">
        <f t="shared" si="117"/>
        <v>25</v>
      </c>
      <c r="AK267">
        <f t="shared" si="118"/>
        <v>0</v>
      </c>
      <c r="AL267">
        <f t="shared" si="119"/>
        <v>0</v>
      </c>
      <c r="AM267">
        <f t="shared" si="120"/>
        <v>0</v>
      </c>
      <c r="AN267">
        <f t="shared" si="121"/>
        <v>0</v>
      </c>
      <c r="AO267">
        <f t="shared" si="122"/>
        <v>0</v>
      </c>
      <c r="AP267">
        <f t="shared" si="123"/>
        <v>0</v>
      </c>
      <c r="AQ267">
        <f t="shared" si="124"/>
        <v>0</v>
      </c>
      <c r="AR267">
        <f t="shared" si="125"/>
        <v>0</v>
      </c>
      <c r="AS267">
        <f t="shared" si="126"/>
        <v>0</v>
      </c>
      <c r="AT267">
        <f t="shared" si="127"/>
        <v>0</v>
      </c>
      <c r="AU267">
        <f t="shared" si="128"/>
        <v>1</v>
      </c>
      <c r="AV267">
        <f t="shared" si="129"/>
        <v>1</v>
      </c>
      <c r="AW267">
        <f t="shared" si="130"/>
        <v>1</v>
      </c>
      <c r="AX267">
        <f t="shared" si="131"/>
        <v>1</v>
      </c>
      <c r="AY267">
        <f t="shared" si="132"/>
        <v>30000</v>
      </c>
      <c r="AZ267">
        <f t="shared" si="133"/>
        <v>30000</v>
      </c>
      <c r="BA267">
        <f t="shared" si="134"/>
        <v>0</v>
      </c>
      <c r="BB267">
        <f t="shared" si="135"/>
        <v>0</v>
      </c>
      <c r="BC267">
        <f t="shared" si="136"/>
        <v>0</v>
      </c>
      <c r="BD267">
        <f t="shared" si="137"/>
        <v>0</v>
      </c>
      <c r="BE267">
        <f t="shared" si="138"/>
        <v>0</v>
      </c>
      <c r="BF267">
        <f t="shared" si="139"/>
        <v>0</v>
      </c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</row>
    <row r="268" spans="1:256" s="201" customFormat="1" ht="14.25" x14ac:dyDescent="0.2">
      <c r="A268" s="10">
        <v>3188</v>
      </c>
      <c r="B268" s="11" t="s">
        <v>834</v>
      </c>
      <c r="C268" s="105" t="s">
        <v>835</v>
      </c>
      <c r="D268" s="11" t="s">
        <v>105</v>
      </c>
      <c r="E268" s="12">
        <v>20012</v>
      </c>
      <c r="F268" s="202">
        <v>15</v>
      </c>
      <c r="G268" s="11">
        <v>70000</v>
      </c>
      <c r="H268" s="116">
        <v>0</v>
      </c>
      <c r="I268" s="192"/>
      <c r="J268" s="204"/>
      <c r="K268" s="193"/>
      <c r="L268" s="193"/>
      <c r="M268" s="193"/>
      <c r="N268" s="203">
        <f t="shared" si="112"/>
        <v>70000</v>
      </c>
      <c r="O268" s="203">
        <f t="shared" si="113"/>
        <v>70000</v>
      </c>
      <c r="P268" s="203">
        <f t="shared" si="114"/>
        <v>70000</v>
      </c>
      <c r="Q268" s="214"/>
      <c r="R268" s="215"/>
      <c r="S268" s="218">
        <v>45648</v>
      </c>
      <c r="T268" s="205"/>
      <c r="U268" s="205"/>
      <c r="V268" s="216"/>
      <c r="W268" s="212"/>
      <c r="X268" s="10">
        <v>7</v>
      </c>
      <c r="Y268" s="10">
        <v>7</v>
      </c>
      <c r="Z268" s="213">
        <f t="shared" si="115"/>
        <v>70000</v>
      </c>
      <c r="AA268" s="62"/>
      <c r="AB268" s="62"/>
      <c r="AC268" s="62"/>
      <c r="AD268" s="62"/>
      <c r="AE268" s="62"/>
      <c r="AF268" s="63"/>
      <c r="AG268" s="64"/>
      <c r="AH268" s="6">
        <v>1</v>
      </c>
      <c r="AI268">
        <f t="shared" si="116"/>
        <v>25</v>
      </c>
      <c r="AJ268">
        <f t="shared" si="117"/>
        <v>25</v>
      </c>
      <c r="AK268">
        <f t="shared" si="118"/>
        <v>0</v>
      </c>
      <c r="AL268">
        <f t="shared" si="119"/>
        <v>0</v>
      </c>
      <c r="AM268">
        <f t="shared" si="120"/>
        <v>0</v>
      </c>
      <c r="AN268">
        <f t="shared" si="121"/>
        <v>0</v>
      </c>
      <c r="AO268">
        <f t="shared" si="122"/>
        <v>0</v>
      </c>
      <c r="AP268">
        <f t="shared" si="123"/>
        <v>0</v>
      </c>
      <c r="AQ268">
        <f t="shared" si="124"/>
        <v>0</v>
      </c>
      <c r="AR268">
        <f t="shared" si="125"/>
        <v>0</v>
      </c>
      <c r="AS268">
        <f t="shared" si="126"/>
        <v>0</v>
      </c>
      <c r="AT268">
        <f t="shared" si="127"/>
        <v>0</v>
      </c>
      <c r="AU268">
        <f t="shared" si="128"/>
        <v>1</v>
      </c>
      <c r="AV268">
        <f t="shared" si="129"/>
        <v>1</v>
      </c>
      <c r="AW268">
        <f t="shared" si="130"/>
        <v>1</v>
      </c>
      <c r="AX268">
        <f t="shared" si="131"/>
        <v>1</v>
      </c>
      <c r="AY268">
        <f t="shared" si="132"/>
        <v>70000</v>
      </c>
      <c r="AZ268">
        <f t="shared" si="133"/>
        <v>70000</v>
      </c>
      <c r="BA268">
        <f t="shared" si="134"/>
        <v>0</v>
      </c>
      <c r="BB268">
        <f t="shared" si="135"/>
        <v>0</v>
      </c>
      <c r="BC268">
        <f t="shared" si="136"/>
        <v>0</v>
      </c>
      <c r="BD268">
        <f t="shared" si="137"/>
        <v>0</v>
      </c>
      <c r="BE268">
        <f t="shared" si="138"/>
        <v>0</v>
      </c>
      <c r="BF268">
        <f t="shared" si="139"/>
        <v>0</v>
      </c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</row>
    <row r="269" spans="1:256" s="201" customFormat="1" ht="14.25" x14ac:dyDescent="0.2">
      <c r="A269" s="10">
        <v>3189</v>
      </c>
      <c r="B269" s="11" t="s">
        <v>836</v>
      </c>
      <c r="C269" s="105" t="s">
        <v>837</v>
      </c>
      <c r="D269" s="11" t="s">
        <v>157</v>
      </c>
      <c r="E269" s="12">
        <v>20026</v>
      </c>
      <c r="F269" s="202">
        <v>15</v>
      </c>
      <c r="G269" s="11">
        <v>60000</v>
      </c>
      <c r="H269" s="116">
        <v>-60000</v>
      </c>
      <c r="I269" s="192"/>
      <c r="J269" s="204"/>
      <c r="K269" s="193"/>
      <c r="L269" s="193"/>
      <c r="M269" s="193"/>
      <c r="N269" s="203">
        <f t="shared" si="112"/>
        <v>60000</v>
      </c>
      <c r="O269" s="203">
        <f t="shared" si="113"/>
        <v>0</v>
      </c>
      <c r="P269" s="203">
        <f t="shared" si="114"/>
        <v>0</v>
      </c>
      <c r="Q269" s="214"/>
      <c r="R269" s="215"/>
      <c r="S269" s="218">
        <v>45642</v>
      </c>
      <c r="T269" s="205"/>
      <c r="U269" s="205"/>
      <c r="V269" s="216"/>
      <c r="W269" s="212"/>
      <c r="X269" s="10">
        <v>7</v>
      </c>
      <c r="Y269" s="10">
        <v>7</v>
      </c>
      <c r="Z269" s="213">
        <f t="shared" si="115"/>
        <v>60000</v>
      </c>
      <c r="AA269" s="62"/>
      <c r="AB269" s="62"/>
      <c r="AC269" s="62"/>
      <c r="AD269" s="62"/>
      <c r="AE269" s="62"/>
      <c r="AF269" s="63"/>
      <c r="AG269" s="64"/>
      <c r="AH269" s="6">
        <v>1</v>
      </c>
      <c r="AI269">
        <f t="shared" si="116"/>
        <v>25</v>
      </c>
      <c r="AJ269">
        <f t="shared" si="117"/>
        <v>15</v>
      </c>
      <c r="AK269">
        <f t="shared" si="118"/>
        <v>0</v>
      </c>
      <c r="AL269">
        <f t="shared" si="119"/>
        <v>0</v>
      </c>
      <c r="AM269">
        <f t="shared" si="120"/>
        <v>0</v>
      </c>
      <c r="AN269">
        <f t="shared" si="121"/>
        <v>0</v>
      </c>
      <c r="AO269">
        <f t="shared" si="122"/>
        <v>0</v>
      </c>
      <c r="AP269">
        <f t="shared" si="123"/>
        <v>0</v>
      </c>
      <c r="AQ269">
        <f t="shared" si="124"/>
        <v>0</v>
      </c>
      <c r="AR269">
        <f t="shared" si="125"/>
        <v>0</v>
      </c>
      <c r="AS269">
        <f t="shared" si="126"/>
        <v>0</v>
      </c>
      <c r="AT269">
        <f t="shared" si="127"/>
        <v>0</v>
      </c>
      <c r="AU269">
        <f t="shared" si="128"/>
        <v>0</v>
      </c>
      <c r="AV269">
        <f t="shared" si="129"/>
        <v>0</v>
      </c>
      <c r="AW269">
        <f t="shared" si="130"/>
        <v>0</v>
      </c>
      <c r="AX269">
        <f t="shared" si="131"/>
        <v>0</v>
      </c>
      <c r="AY269">
        <f t="shared" si="132"/>
        <v>0</v>
      </c>
      <c r="AZ269">
        <f t="shared" si="133"/>
        <v>0</v>
      </c>
      <c r="BA269">
        <f t="shared" si="134"/>
        <v>0</v>
      </c>
      <c r="BB269">
        <f t="shared" si="135"/>
        <v>0</v>
      </c>
      <c r="BC269">
        <f t="shared" si="136"/>
        <v>0</v>
      </c>
      <c r="BD269">
        <f t="shared" si="137"/>
        <v>0</v>
      </c>
      <c r="BE269">
        <f t="shared" si="138"/>
        <v>0</v>
      </c>
      <c r="BF269">
        <f t="shared" si="139"/>
        <v>0</v>
      </c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</row>
    <row r="270" spans="1:256" s="201" customFormat="1" ht="14.25" x14ac:dyDescent="0.2">
      <c r="A270" s="10">
        <v>3191</v>
      </c>
      <c r="B270" s="11" t="s">
        <v>416</v>
      </c>
      <c r="C270" s="105" t="s">
        <v>417</v>
      </c>
      <c r="D270" s="11" t="s">
        <v>157</v>
      </c>
      <c r="E270" s="12">
        <v>20256</v>
      </c>
      <c r="F270" s="202">
        <v>15</v>
      </c>
      <c r="G270" s="11">
        <v>20000</v>
      </c>
      <c r="H270" s="116">
        <v>20000</v>
      </c>
      <c r="I270" s="192"/>
      <c r="J270" s="204"/>
      <c r="K270" s="193"/>
      <c r="L270" s="193"/>
      <c r="M270" s="193"/>
      <c r="N270" s="203">
        <f t="shared" si="112"/>
        <v>40000</v>
      </c>
      <c r="O270" s="203">
        <f t="shared" si="113"/>
        <v>40000</v>
      </c>
      <c r="P270" s="203">
        <f t="shared" si="114"/>
        <v>40000</v>
      </c>
      <c r="Q270" s="214"/>
      <c r="R270" s="215"/>
      <c r="S270" s="218">
        <v>45626</v>
      </c>
      <c r="T270" s="205"/>
      <c r="U270" s="205"/>
      <c r="V270" s="216"/>
      <c r="W270" s="212"/>
      <c r="X270" s="10">
        <v>7</v>
      </c>
      <c r="Y270" s="10">
        <v>7</v>
      </c>
      <c r="Z270" s="213">
        <f t="shared" si="115"/>
        <v>40000</v>
      </c>
      <c r="AA270" s="62"/>
      <c r="AB270" s="62"/>
      <c r="AC270" s="62"/>
      <c r="AD270" s="62"/>
      <c r="AE270" s="62"/>
      <c r="AF270" s="63"/>
      <c r="AG270" s="64"/>
      <c r="AH270" s="6">
        <v>1</v>
      </c>
      <c r="AI270">
        <f t="shared" si="116"/>
        <v>25</v>
      </c>
      <c r="AJ270">
        <f t="shared" si="117"/>
        <v>25</v>
      </c>
      <c r="AK270">
        <f t="shared" si="118"/>
        <v>0</v>
      </c>
      <c r="AL270">
        <f t="shared" si="119"/>
        <v>0</v>
      </c>
      <c r="AM270">
        <f t="shared" si="120"/>
        <v>0</v>
      </c>
      <c r="AN270">
        <f t="shared" si="121"/>
        <v>0</v>
      </c>
      <c r="AO270">
        <f t="shared" si="122"/>
        <v>0</v>
      </c>
      <c r="AP270">
        <f t="shared" si="123"/>
        <v>0</v>
      </c>
      <c r="AQ270">
        <f t="shared" si="124"/>
        <v>0</v>
      </c>
      <c r="AR270">
        <f t="shared" si="125"/>
        <v>0</v>
      </c>
      <c r="AS270">
        <f t="shared" si="126"/>
        <v>0</v>
      </c>
      <c r="AT270">
        <f t="shared" si="127"/>
        <v>0</v>
      </c>
      <c r="AU270">
        <f t="shared" si="128"/>
        <v>1</v>
      </c>
      <c r="AV270">
        <f t="shared" si="129"/>
        <v>1</v>
      </c>
      <c r="AW270">
        <f t="shared" si="130"/>
        <v>1</v>
      </c>
      <c r="AX270">
        <f t="shared" si="131"/>
        <v>1</v>
      </c>
      <c r="AY270">
        <f t="shared" si="132"/>
        <v>40000</v>
      </c>
      <c r="AZ270">
        <f t="shared" si="133"/>
        <v>40000</v>
      </c>
      <c r="BA270">
        <f t="shared" si="134"/>
        <v>0</v>
      </c>
      <c r="BB270">
        <f t="shared" si="135"/>
        <v>0</v>
      </c>
      <c r="BC270">
        <f t="shared" si="136"/>
        <v>0</v>
      </c>
      <c r="BD270">
        <f t="shared" si="137"/>
        <v>0</v>
      </c>
      <c r="BE270">
        <f t="shared" si="138"/>
        <v>0</v>
      </c>
      <c r="BF270">
        <f t="shared" si="139"/>
        <v>0</v>
      </c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</row>
    <row r="271" spans="1:256" s="201" customFormat="1" ht="14.25" x14ac:dyDescent="0.2">
      <c r="A271" s="10">
        <v>3192</v>
      </c>
      <c r="B271" s="11" t="s">
        <v>838</v>
      </c>
      <c r="C271" s="105" t="s">
        <v>839</v>
      </c>
      <c r="D271" s="11" t="s">
        <v>160</v>
      </c>
      <c r="E271" s="12">
        <v>20268</v>
      </c>
      <c r="F271" s="202">
        <v>15</v>
      </c>
      <c r="G271" s="11">
        <v>60000</v>
      </c>
      <c r="H271" s="116">
        <v>-120000</v>
      </c>
      <c r="I271" s="192"/>
      <c r="J271" s="204"/>
      <c r="K271" s="193"/>
      <c r="L271" s="193"/>
      <c r="M271" s="193"/>
      <c r="N271" s="203">
        <f t="shared" si="112"/>
        <v>60000</v>
      </c>
      <c r="O271" s="203">
        <f t="shared" si="113"/>
        <v>-60000</v>
      </c>
      <c r="P271" s="203">
        <f t="shared" si="114"/>
        <v>0</v>
      </c>
      <c r="Q271" s="214"/>
      <c r="R271" s="215"/>
      <c r="S271" s="218">
        <v>45636</v>
      </c>
      <c r="T271" s="205"/>
      <c r="U271" s="205"/>
      <c r="V271" s="216"/>
      <c r="W271" s="212"/>
      <c r="X271" s="10">
        <v>7</v>
      </c>
      <c r="Y271" s="10">
        <v>7</v>
      </c>
      <c r="Z271" s="213">
        <f t="shared" si="115"/>
        <v>60000</v>
      </c>
      <c r="AA271" s="62"/>
      <c r="AB271" s="62"/>
      <c r="AC271" s="62"/>
      <c r="AD271" s="62"/>
      <c r="AE271" s="62"/>
      <c r="AF271" s="63"/>
      <c r="AG271" s="64"/>
      <c r="AH271" s="6">
        <v>1</v>
      </c>
      <c r="AI271">
        <f t="shared" si="116"/>
        <v>25</v>
      </c>
      <c r="AJ271">
        <f t="shared" si="117"/>
        <v>25</v>
      </c>
      <c r="AK271">
        <f t="shared" si="118"/>
        <v>0</v>
      </c>
      <c r="AL271">
        <f t="shared" si="119"/>
        <v>0</v>
      </c>
      <c r="AM271">
        <f t="shared" si="120"/>
        <v>0</v>
      </c>
      <c r="AN271">
        <f t="shared" si="121"/>
        <v>0</v>
      </c>
      <c r="AO271">
        <f t="shared" si="122"/>
        <v>0</v>
      </c>
      <c r="AP271">
        <f t="shared" si="123"/>
        <v>0</v>
      </c>
      <c r="AQ271">
        <f t="shared" si="124"/>
        <v>0</v>
      </c>
      <c r="AR271">
        <f t="shared" si="125"/>
        <v>0</v>
      </c>
      <c r="AS271">
        <f t="shared" si="126"/>
        <v>0</v>
      </c>
      <c r="AT271">
        <f t="shared" si="127"/>
        <v>0</v>
      </c>
      <c r="AU271">
        <f t="shared" si="128"/>
        <v>0</v>
      </c>
      <c r="AV271">
        <f t="shared" si="129"/>
        <v>0</v>
      </c>
      <c r="AW271">
        <f t="shared" si="130"/>
        <v>0</v>
      </c>
      <c r="AX271">
        <f t="shared" si="131"/>
        <v>0</v>
      </c>
      <c r="AY271">
        <f t="shared" si="132"/>
        <v>0</v>
      </c>
      <c r="AZ271">
        <f t="shared" si="133"/>
        <v>0</v>
      </c>
      <c r="BA271">
        <f t="shared" si="134"/>
        <v>0</v>
      </c>
      <c r="BB271">
        <f t="shared" si="135"/>
        <v>0</v>
      </c>
      <c r="BC271">
        <f t="shared" si="136"/>
        <v>0</v>
      </c>
      <c r="BD271">
        <f t="shared" si="137"/>
        <v>0</v>
      </c>
      <c r="BE271">
        <f t="shared" si="138"/>
        <v>0</v>
      </c>
      <c r="BF271">
        <f t="shared" si="139"/>
        <v>0</v>
      </c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</row>
    <row r="272" spans="1:256" s="201" customFormat="1" ht="14.25" x14ac:dyDescent="0.2">
      <c r="A272" s="10">
        <v>3193</v>
      </c>
      <c r="B272" s="11" t="s">
        <v>300</v>
      </c>
      <c r="C272" s="105" t="s">
        <v>301</v>
      </c>
      <c r="D272" s="11" t="s">
        <v>220</v>
      </c>
      <c r="E272" s="12">
        <v>11988</v>
      </c>
      <c r="F272" s="202">
        <v>15</v>
      </c>
      <c r="G272" s="11">
        <v>55000</v>
      </c>
      <c r="H272" s="116">
        <v>-35000</v>
      </c>
      <c r="I272" s="192"/>
      <c r="J272" s="204"/>
      <c r="K272" s="193"/>
      <c r="L272" s="193"/>
      <c r="M272" s="193"/>
      <c r="N272" s="203">
        <f t="shared" si="112"/>
        <v>55000</v>
      </c>
      <c r="O272" s="203">
        <f t="shared" si="113"/>
        <v>20000</v>
      </c>
      <c r="P272" s="203">
        <f t="shared" si="114"/>
        <v>20000</v>
      </c>
      <c r="Q272" s="214"/>
      <c r="R272" s="215"/>
      <c r="S272" s="218">
        <v>45637</v>
      </c>
      <c r="T272" s="205"/>
      <c r="U272" s="205"/>
      <c r="V272" s="216"/>
      <c r="W272" s="212"/>
      <c r="X272" s="10">
        <v>7</v>
      </c>
      <c r="Y272" s="10">
        <v>7</v>
      </c>
      <c r="Z272" s="213">
        <f t="shared" si="115"/>
        <v>55000</v>
      </c>
      <c r="AA272" s="62"/>
      <c r="AB272" s="62"/>
      <c r="AC272" s="62"/>
      <c r="AD272" s="62"/>
      <c r="AE272" s="62"/>
      <c r="AF272" s="63"/>
      <c r="AG272" s="64"/>
      <c r="AH272" s="6">
        <v>1</v>
      </c>
      <c r="AI272">
        <f t="shared" si="116"/>
        <v>25</v>
      </c>
      <c r="AJ272">
        <f t="shared" si="117"/>
        <v>25</v>
      </c>
      <c r="AK272">
        <f t="shared" si="118"/>
        <v>0</v>
      </c>
      <c r="AL272">
        <f t="shared" si="119"/>
        <v>0</v>
      </c>
      <c r="AM272">
        <f t="shared" si="120"/>
        <v>0</v>
      </c>
      <c r="AN272">
        <f t="shared" si="121"/>
        <v>0</v>
      </c>
      <c r="AO272">
        <f t="shared" si="122"/>
        <v>0</v>
      </c>
      <c r="AP272">
        <f t="shared" si="123"/>
        <v>0</v>
      </c>
      <c r="AQ272">
        <f t="shared" si="124"/>
        <v>0</v>
      </c>
      <c r="AR272">
        <f t="shared" si="125"/>
        <v>0</v>
      </c>
      <c r="AS272">
        <f t="shared" si="126"/>
        <v>0</v>
      </c>
      <c r="AT272">
        <f t="shared" si="127"/>
        <v>0</v>
      </c>
      <c r="AU272">
        <f t="shared" si="128"/>
        <v>1</v>
      </c>
      <c r="AV272">
        <f t="shared" si="129"/>
        <v>1</v>
      </c>
      <c r="AW272">
        <f t="shared" si="130"/>
        <v>1</v>
      </c>
      <c r="AX272">
        <f t="shared" si="131"/>
        <v>1</v>
      </c>
      <c r="AY272">
        <f t="shared" si="132"/>
        <v>20000</v>
      </c>
      <c r="AZ272">
        <f t="shared" si="133"/>
        <v>20000</v>
      </c>
      <c r="BA272">
        <f t="shared" si="134"/>
        <v>0</v>
      </c>
      <c r="BB272">
        <f t="shared" si="135"/>
        <v>0</v>
      </c>
      <c r="BC272">
        <f t="shared" si="136"/>
        <v>0</v>
      </c>
      <c r="BD272">
        <f t="shared" si="137"/>
        <v>0</v>
      </c>
      <c r="BE272">
        <f t="shared" si="138"/>
        <v>0</v>
      </c>
      <c r="BF272">
        <f t="shared" si="139"/>
        <v>0</v>
      </c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</row>
    <row r="273" spans="1:256" s="201" customFormat="1" ht="14.25" x14ac:dyDescent="0.2">
      <c r="A273" s="10">
        <v>3197</v>
      </c>
      <c r="B273" s="11" t="s">
        <v>316</v>
      </c>
      <c r="C273" s="105" t="s">
        <v>317</v>
      </c>
      <c r="D273" s="11" t="s">
        <v>220</v>
      </c>
      <c r="E273" s="12">
        <v>11985</v>
      </c>
      <c r="F273" s="202">
        <v>14</v>
      </c>
      <c r="G273" s="11">
        <v>30000</v>
      </c>
      <c r="H273" s="116">
        <v>0</v>
      </c>
      <c r="I273" s="192"/>
      <c r="J273" s="204"/>
      <c r="K273" s="193"/>
      <c r="L273" s="193"/>
      <c r="M273" s="193"/>
      <c r="N273" s="203">
        <f t="shared" si="112"/>
        <v>30000</v>
      </c>
      <c r="O273" s="203">
        <f t="shared" si="113"/>
        <v>30000</v>
      </c>
      <c r="P273" s="203">
        <f t="shared" si="114"/>
        <v>30000</v>
      </c>
      <c r="Q273" s="214"/>
      <c r="R273" s="215"/>
      <c r="S273" s="218">
        <v>45636</v>
      </c>
      <c r="T273" s="205"/>
      <c r="U273" s="205"/>
      <c r="V273" s="216"/>
      <c r="W273" s="212"/>
      <c r="X273" s="10">
        <v>7</v>
      </c>
      <c r="Y273" s="10">
        <v>7</v>
      </c>
      <c r="Z273" s="213">
        <f t="shared" si="115"/>
        <v>30000</v>
      </c>
      <c r="AA273" s="62"/>
      <c r="AB273" s="62"/>
      <c r="AC273" s="62"/>
      <c r="AD273" s="62"/>
      <c r="AE273" s="62"/>
      <c r="AF273" s="63"/>
      <c r="AG273" s="64"/>
      <c r="AH273" s="6">
        <v>1</v>
      </c>
      <c r="AI273">
        <f t="shared" si="116"/>
        <v>25</v>
      </c>
      <c r="AJ273">
        <f t="shared" si="117"/>
        <v>25</v>
      </c>
      <c r="AK273">
        <f t="shared" si="118"/>
        <v>0</v>
      </c>
      <c r="AL273">
        <f t="shared" si="119"/>
        <v>0</v>
      </c>
      <c r="AM273">
        <f t="shared" si="120"/>
        <v>0</v>
      </c>
      <c r="AN273">
        <f t="shared" si="121"/>
        <v>0</v>
      </c>
      <c r="AO273">
        <f t="shared" si="122"/>
        <v>0</v>
      </c>
      <c r="AP273">
        <f t="shared" si="123"/>
        <v>0</v>
      </c>
      <c r="AQ273">
        <f t="shared" si="124"/>
        <v>0</v>
      </c>
      <c r="AR273">
        <f t="shared" si="125"/>
        <v>0</v>
      </c>
      <c r="AS273">
        <f t="shared" si="126"/>
        <v>0</v>
      </c>
      <c r="AT273">
        <f t="shared" si="127"/>
        <v>0</v>
      </c>
      <c r="AU273">
        <f t="shared" si="128"/>
        <v>1</v>
      </c>
      <c r="AV273">
        <f t="shared" si="129"/>
        <v>1</v>
      </c>
      <c r="AW273">
        <f t="shared" si="130"/>
        <v>1</v>
      </c>
      <c r="AX273">
        <f t="shared" si="131"/>
        <v>1</v>
      </c>
      <c r="AY273">
        <f t="shared" si="132"/>
        <v>30000</v>
      </c>
      <c r="AZ273">
        <f t="shared" si="133"/>
        <v>30000</v>
      </c>
      <c r="BA273">
        <f t="shared" si="134"/>
        <v>0</v>
      </c>
      <c r="BB273">
        <f t="shared" si="135"/>
        <v>0</v>
      </c>
      <c r="BC273">
        <f t="shared" si="136"/>
        <v>0</v>
      </c>
      <c r="BD273">
        <f t="shared" si="137"/>
        <v>0</v>
      </c>
      <c r="BE273">
        <f t="shared" si="138"/>
        <v>0</v>
      </c>
      <c r="BF273">
        <f t="shared" si="139"/>
        <v>0</v>
      </c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</row>
    <row r="274" spans="1:256" s="201" customFormat="1" ht="14.25" x14ac:dyDescent="0.2">
      <c r="A274" s="10">
        <v>3198</v>
      </c>
      <c r="B274" s="11" t="s">
        <v>318</v>
      </c>
      <c r="C274" s="105" t="s">
        <v>319</v>
      </c>
      <c r="D274" s="11" t="s">
        <v>220</v>
      </c>
      <c r="E274" s="12">
        <v>11987</v>
      </c>
      <c r="F274" s="202">
        <v>14</v>
      </c>
      <c r="G274" s="11">
        <v>30000</v>
      </c>
      <c r="H274" s="116">
        <v>0</v>
      </c>
      <c r="I274" s="192"/>
      <c r="J274" s="204"/>
      <c r="K274" s="193"/>
      <c r="L274" s="193"/>
      <c r="M274" s="193"/>
      <c r="N274" s="203">
        <f t="shared" si="112"/>
        <v>30000</v>
      </c>
      <c r="O274" s="203">
        <f t="shared" si="113"/>
        <v>30000</v>
      </c>
      <c r="P274" s="203">
        <f t="shared" si="114"/>
        <v>30000</v>
      </c>
      <c r="Q274" s="214"/>
      <c r="R274" s="215"/>
      <c r="S274" s="218">
        <v>45645</v>
      </c>
      <c r="T274" s="205">
        <v>1</v>
      </c>
      <c r="U274" s="205">
        <v>1</v>
      </c>
      <c r="V274" s="216" t="s">
        <v>9</v>
      </c>
      <c r="W274" s="212"/>
      <c r="X274" s="10">
        <v>7</v>
      </c>
      <c r="Y274" s="10">
        <v>7</v>
      </c>
      <c r="Z274" s="213">
        <f t="shared" si="115"/>
        <v>30000</v>
      </c>
      <c r="AA274" s="62"/>
      <c r="AB274" s="62"/>
      <c r="AC274" s="62"/>
      <c r="AD274" s="62"/>
      <c r="AE274" s="62"/>
      <c r="AF274" s="63"/>
      <c r="AG274" s="64"/>
      <c r="AH274" s="6">
        <v>1</v>
      </c>
      <c r="AI274">
        <f t="shared" si="116"/>
        <v>25</v>
      </c>
      <c r="AJ274">
        <f t="shared" si="117"/>
        <v>25</v>
      </c>
      <c r="AK274">
        <f t="shared" si="118"/>
        <v>1</v>
      </c>
      <c r="AL274">
        <f t="shared" si="119"/>
        <v>1</v>
      </c>
      <c r="AM274">
        <f t="shared" si="120"/>
        <v>1</v>
      </c>
      <c r="AN274">
        <f t="shared" si="121"/>
        <v>30000</v>
      </c>
      <c r="AO274">
        <f t="shared" si="122"/>
        <v>0</v>
      </c>
      <c r="AP274">
        <f t="shared" si="123"/>
        <v>0</v>
      </c>
      <c r="AQ274">
        <f t="shared" si="124"/>
        <v>0</v>
      </c>
      <c r="AR274">
        <f t="shared" si="125"/>
        <v>0</v>
      </c>
      <c r="AS274">
        <f t="shared" si="126"/>
        <v>0</v>
      </c>
      <c r="AT274">
        <f t="shared" si="127"/>
        <v>0</v>
      </c>
      <c r="AU274">
        <f t="shared" si="128"/>
        <v>1</v>
      </c>
      <c r="AV274">
        <f t="shared" si="129"/>
        <v>0</v>
      </c>
      <c r="AW274">
        <f t="shared" si="130"/>
        <v>0</v>
      </c>
      <c r="AX274">
        <f t="shared" si="131"/>
        <v>0</v>
      </c>
      <c r="AY274">
        <f t="shared" si="132"/>
        <v>0</v>
      </c>
      <c r="AZ274">
        <f t="shared" si="133"/>
        <v>0</v>
      </c>
      <c r="BA274">
        <f t="shared" si="134"/>
        <v>0</v>
      </c>
      <c r="BB274">
        <f t="shared" si="135"/>
        <v>0</v>
      </c>
      <c r="BC274">
        <f t="shared" si="136"/>
        <v>0</v>
      </c>
      <c r="BD274">
        <f t="shared" si="137"/>
        <v>0</v>
      </c>
      <c r="BE274">
        <f t="shared" si="138"/>
        <v>0</v>
      </c>
      <c r="BF274">
        <f t="shared" si="139"/>
        <v>0</v>
      </c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</row>
    <row r="275" spans="1:256" s="201" customFormat="1" ht="14.25" x14ac:dyDescent="0.2">
      <c r="A275" s="10">
        <v>3199</v>
      </c>
      <c r="B275" s="11" t="s">
        <v>840</v>
      </c>
      <c r="C275" s="105" t="s">
        <v>841</v>
      </c>
      <c r="D275" s="11" t="s">
        <v>160</v>
      </c>
      <c r="E275" s="12">
        <v>11989</v>
      </c>
      <c r="F275" s="202">
        <v>14</v>
      </c>
      <c r="G275" s="11">
        <v>60000</v>
      </c>
      <c r="H275" s="116">
        <v>0</v>
      </c>
      <c r="I275" s="192"/>
      <c r="J275" s="204"/>
      <c r="K275" s="193"/>
      <c r="L275" s="193"/>
      <c r="M275" s="193"/>
      <c r="N275" s="203">
        <f t="shared" si="112"/>
        <v>60000</v>
      </c>
      <c r="O275" s="203">
        <f t="shared" si="113"/>
        <v>60000</v>
      </c>
      <c r="P275" s="203">
        <f t="shared" si="114"/>
        <v>60000</v>
      </c>
      <c r="Q275" s="214"/>
      <c r="R275" s="215"/>
      <c r="S275" s="218">
        <v>45636</v>
      </c>
      <c r="T275" s="205"/>
      <c r="U275" s="205"/>
      <c r="V275" s="216"/>
      <c r="W275" s="212"/>
      <c r="X275" s="10">
        <v>7</v>
      </c>
      <c r="Y275" s="10">
        <v>7</v>
      </c>
      <c r="Z275" s="213">
        <f t="shared" si="115"/>
        <v>60000</v>
      </c>
      <c r="AA275" s="62"/>
      <c r="AB275" s="62"/>
      <c r="AC275" s="62"/>
      <c r="AD275" s="62"/>
      <c r="AE275" s="62"/>
      <c r="AF275" s="63"/>
      <c r="AG275" s="64"/>
      <c r="AH275" s="6">
        <v>1</v>
      </c>
      <c r="AI275">
        <f t="shared" si="116"/>
        <v>25</v>
      </c>
      <c r="AJ275">
        <f t="shared" si="117"/>
        <v>25</v>
      </c>
      <c r="AK275">
        <f t="shared" si="118"/>
        <v>0</v>
      </c>
      <c r="AL275">
        <f t="shared" si="119"/>
        <v>0</v>
      </c>
      <c r="AM275">
        <f t="shared" si="120"/>
        <v>0</v>
      </c>
      <c r="AN275">
        <f t="shared" si="121"/>
        <v>0</v>
      </c>
      <c r="AO275">
        <f t="shared" si="122"/>
        <v>0</v>
      </c>
      <c r="AP275">
        <f t="shared" si="123"/>
        <v>0</v>
      </c>
      <c r="AQ275">
        <f t="shared" si="124"/>
        <v>0</v>
      </c>
      <c r="AR275">
        <f t="shared" si="125"/>
        <v>0</v>
      </c>
      <c r="AS275">
        <f t="shared" si="126"/>
        <v>0</v>
      </c>
      <c r="AT275">
        <f t="shared" si="127"/>
        <v>0</v>
      </c>
      <c r="AU275">
        <f t="shared" si="128"/>
        <v>1</v>
      </c>
      <c r="AV275">
        <f t="shared" si="129"/>
        <v>1</v>
      </c>
      <c r="AW275">
        <f t="shared" si="130"/>
        <v>1</v>
      </c>
      <c r="AX275">
        <f t="shared" si="131"/>
        <v>1</v>
      </c>
      <c r="AY275">
        <f t="shared" si="132"/>
        <v>60000</v>
      </c>
      <c r="AZ275">
        <f t="shared" si="133"/>
        <v>60000</v>
      </c>
      <c r="BA275">
        <f t="shared" si="134"/>
        <v>0</v>
      </c>
      <c r="BB275">
        <f t="shared" si="135"/>
        <v>0</v>
      </c>
      <c r="BC275">
        <f t="shared" si="136"/>
        <v>0</v>
      </c>
      <c r="BD275">
        <f t="shared" si="137"/>
        <v>0</v>
      </c>
      <c r="BE275">
        <f t="shared" si="138"/>
        <v>0</v>
      </c>
      <c r="BF275">
        <f t="shared" si="139"/>
        <v>0</v>
      </c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</row>
    <row r="276" spans="1:256" s="201" customFormat="1" ht="14.25" x14ac:dyDescent="0.2">
      <c r="A276" s="10">
        <v>3200</v>
      </c>
      <c r="B276" s="11" t="s">
        <v>842</v>
      </c>
      <c r="C276" s="105" t="s">
        <v>843</v>
      </c>
      <c r="D276" s="11" t="s">
        <v>105</v>
      </c>
      <c r="E276" s="12">
        <v>11990</v>
      </c>
      <c r="F276" s="202">
        <v>14</v>
      </c>
      <c r="G276" s="11">
        <v>60000</v>
      </c>
      <c r="H276" s="116">
        <v>0</v>
      </c>
      <c r="I276" s="192"/>
      <c r="J276" s="204"/>
      <c r="K276" s="193"/>
      <c r="L276" s="193"/>
      <c r="M276" s="193"/>
      <c r="N276" s="203">
        <f t="shared" si="112"/>
        <v>60000</v>
      </c>
      <c r="O276" s="203">
        <f t="shared" si="113"/>
        <v>60000</v>
      </c>
      <c r="P276" s="203">
        <f t="shared" si="114"/>
        <v>60000</v>
      </c>
      <c r="Q276" s="214">
        <v>45660</v>
      </c>
      <c r="R276" s="215"/>
      <c r="S276" s="218">
        <v>45631</v>
      </c>
      <c r="T276" s="205"/>
      <c r="U276" s="205"/>
      <c r="V276" s="216" t="s">
        <v>1131</v>
      </c>
      <c r="W276" s="212"/>
      <c r="X276" s="10">
        <v>7</v>
      </c>
      <c r="Y276" s="10">
        <v>7</v>
      </c>
      <c r="Z276" s="213">
        <f t="shared" si="115"/>
        <v>60000</v>
      </c>
      <c r="AA276" s="62"/>
      <c r="AB276" s="62"/>
      <c r="AC276" s="62"/>
      <c r="AD276" s="62"/>
      <c r="AE276" s="62"/>
      <c r="AF276" s="63"/>
      <c r="AG276" s="64"/>
      <c r="AH276" s="6">
        <v>1</v>
      </c>
      <c r="AI276">
        <f t="shared" si="116"/>
        <v>25</v>
      </c>
      <c r="AJ276">
        <f t="shared" si="117"/>
        <v>25</v>
      </c>
      <c r="AK276">
        <f t="shared" si="118"/>
        <v>0</v>
      </c>
      <c r="AL276">
        <f t="shared" si="119"/>
        <v>0</v>
      </c>
      <c r="AM276">
        <f t="shared" si="120"/>
        <v>0</v>
      </c>
      <c r="AN276">
        <f t="shared" si="121"/>
        <v>0</v>
      </c>
      <c r="AO276">
        <f t="shared" si="122"/>
        <v>0</v>
      </c>
      <c r="AP276">
        <f t="shared" si="123"/>
        <v>0</v>
      </c>
      <c r="AQ276">
        <f t="shared" si="124"/>
        <v>0</v>
      </c>
      <c r="AR276">
        <f t="shared" si="125"/>
        <v>0</v>
      </c>
      <c r="AS276">
        <f t="shared" si="126"/>
        <v>0</v>
      </c>
      <c r="AT276">
        <f t="shared" si="127"/>
        <v>0</v>
      </c>
      <c r="AU276">
        <f t="shared" si="128"/>
        <v>1</v>
      </c>
      <c r="AV276">
        <f t="shared" si="129"/>
        <v>1</v>
      </c>
      <c r="AW276">
        <f t="shared" si="130"/>
        <v>1</v>
      </c>
      <c r="AX276">
        <f t="shared" si="131"/>
        <v>1</v>
      </c>
      <c r="AY276">
        <f t="shared" si="132"/>
        <v>60000</v>
      </c>
      <c r="AZ276">
        <f t="shared" si="133"/>
        <v>60000</v>
      </c>
      <c r="BA276">
        <f t="shared" si="134"/>
        <v>0</v>
      </c>
      <c r="BB276">
        <f t="shared" si="135"/>
        <v>0</v>
      </c>
      <c r="BC276">
        <f t="shared" si="136"/>
        <v>0</v>
      </c>
      <c r="BD276">
        <f t="shared" si="137"/>
        <v>0</v>
      </c>
      <c r="BE276">
        <f t="shared" si="138"/>
        <v>0</v>
      </c>
      <c r="BF276">
        <f t="shared" si="139"/>
        <v>0</v>
      </c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</row>
    <row r="277" spans="1:256" s="201" customFormat="1" ht="14.25" x14ac:dyDescent="0.2">
      <c r="A277" s="10">
        <v>3201</v>
      </c>
      <c r="B277" s="11" t="s">
        <v>418</v>
      </c>
      <c r="C277" s="105" t="s">
        <v>419</v>
      </c>
      <c r="D277" s="11" t="s">
        <v>106</v>
      </c>
      <c r="E277" s="12">
        <v>20028</v>
      </c>
      <c r="F277" s="202">
        <v>14</v>
      </c>
      <c r="G277" s="11">
        <v>20000</v>
      </c>
      <c r="H277" s="116">
        <v>0</v>
      </c>
      <c r="I277" s="192"/>
      <c r="J277" s="204"/>
      <c r="K277" s="193"/>
      <c r="L277" s="193"/>
      <c r="M277" s="193"/>
      <c r="N277" s="203">
        <f t="shared" si="112"/>
        <v>20000</v>
      </c>
      <c r="O277" s="203">
        <f t="shared" si="113"/>
        <v>20000</v>
      </c>
      <c r="P277" s="203">
        <f t="shared" si="114"/>
        <v>20000</v>
      </c>
      <c r="Q277" s="214"/>
      <c r="R277" s="215"/>
      <c r="S277" s="218">
        <v>45647</v>
      </c>
      <c r="T277" s="205"/>
      <c r="U277" s="205"/>
      <c r="V277" s="216"/>
      <c r="W277" s="212"/>
      <c r="X277" s="10">
        <v>7</v>
      </c>
      <c r="Y277" s="10">
        <v>7</v>
      </c>
      <c r="Z277" s="213">
        <f t="shared" si="115"/>
        <v>20000</v>
      </c>
      <c r="AA277" s="62"/>
      <c r="AB277" s="62"/>
      <c r="AC277" s="62"/>
      <c r="AD277" s="62"/>
      <c r="AE277" s="62"/>
      <c r="AF277" s="63"/>
      <c r="AG277" s="64"/>
      <c r="AH277" s="6">
        <v>1</v>
      </c>
      <c r="AI277">
        <f t="shared" si="116"/>
        <v>25</v>
      </c>
      <c r="AJ277">
        <f t="shared" si="117"/>
        <v>25</v>
      </c>
      <c r="AK277">
        <f t="shared" si="118"/>
        <v>0</v>
      </c>
      <c r="AL277">
        <f t="shared" si="119"/>
        <v>0</v>
      </c>
      <c r="AM277">
        <f t="shared" si="120"/>
        <v>0</v>
      </c>
      <c r="AN277">
        <f t="shared" si="121"/>
        <v>0</v>
      </c>
      <c r="AO277">
        <f t="shared" si="122"/>
        <v>0</v>
      </c>
      <c r="AP277">
        <f t="shared" si="123"/>
        <v>0</v>
      </c>
      <c r="AQ277">
        <f t="shared" si="124"/>
        <v>0</v>
      </c>
      <c r="AR277">
        <f t="shared" si="125"/>
        <v>0</v>
      </c>
      <c r="AS277">
        <f t="shared" si="126"/>
        <v>0</v>
      </c>
      <c r="AT277">
        <f t="shared" si="127"/>
        <v>0</v>
      </c>
      <c r="AU277">
        <f t="shared" si="128"/>
        <v>1</v>
      </c>
      <c r="AV277">
        <f t="shared" si="129"/>
        <v>1</v>
      </c>
      <c r="AW277">
        <f t="shared" si="130"/>
        <v>1</v>
      </c>
      <c r="AX277">
        <f t="shared" si="131"/>
        <v>1</v>
      </c>
      <c r="AY277">
        <f t="shared" si="132"/>
        <v>20000</v>
      </c>
      <c r="AZ277">
        <f t="shared" si="133"/>
        <v>20000</v>
      </c>
      <c r="BA277">
        <f t="shared" si="134"/>
        <v>0</v>
      </c>
      <c r="BB277">
        <f t="shared" si="135"/>
        <v>0</v>
      </c>
      <c r="BC277">
        <f t="shared" si="136"/>
        <v>0</v>
      </c>
      <c r="BD277">
        <f t="shared" si="137"/>
        <v>0</v>
      </c>
      <c r="BE277">
        <f t="shared" si="138"/>
        <v>0</v>
      </c>
      <c r="BF277">
        <f t="shared" si="139"/>
        <v>0</v>
      </c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</row>
    <row r="278" spans="1:256" s="201" customFormat="1" ht="14.25" x14ac:dyDescent="0.2">
      <c r="A278" s="10">
        <v>3202</v>
      </c>
      <c r="B278" s="11" t="s">
        <v>320</v>
      </c>
      <c r="C278" s="105" t="s">
        <v>321</v>
      </c>
      <c r="D278" s="11" t="s">
        <v>160</v>
      </c>
      <c r="E278" s="12">
        <v>20030</v>
      </c>
      <c r="F278" s="202">
        <v>14</v>
      </c>
      <c r="G278" s="11">
        <v>30000</v>
      </c>
      <c r="H278" s="116">
        <v>0</v>
      </c>
      <c r="I278" s="192"/>
      <c r="J278" s="204"/>
      <c r="K278" s="193"/>
      <c r="L278" s="193"/>
      <c r="M278" s="193"/>
      <c r="N278" s="203">
        <f t="shared" si="112"/>
        <v>30000</v>
      </c>
      <c r="O278" s="203">
        <f t="shared" si="113"/>
        <v>30000</v>
      </c>
      <c r="P278" s="203">
        <f t="shared" si="114"/>
        <v>30000</v>
      </c>
      <c r="Q278" s="214"/>
      <c r="R278" s="215"/>
      <c r="S278" s="218">
        <v>45656</v>
      </c>
      <c r="T278" s="205"/>
      <c r="U278" s="205"/>
      <c r="V278" s="216"/>
      <c r="W278" s="212"/>
      <c r="X278" s="10">
        <v>7</v>
      </c>
      <c r="Y278" s="10">
        <v>7</v>
      </c>
      <c r="Z278" s="213">
        <f t="shared" si="115"/>
        <v>30000</v>
      </c>
      <c r="AA278" s="62"/>
      <c r="AB278" s="62"/>
      <c r="AC278" s="62"/>
      <c r="AD278" s="62"/>
      <c r="AE278" s="62"/>
      <c r="AF278" s="63"/>
      <c r="AG278" s="64"/>
      <c r="AH278" s="6">
        <v>1</v>
      </c>
      <c r="AI278">
        <f t="shared" si="116"/>
        <v>25</v>
      </c>
      <c r="AJ278">
        <f t="shared" si="117"/>
        <v>25</v>
      </c>
      <c r="AK278">
        <f t="shared" si="118"/>
        <v>0</v>
      </c>
      <c r="AL278">
        <f t="shared" si="119"/>
        <v>0</v>
      </c>
      <c r="AM278">
        <f t="shared" si="120"/>
        <v>0</v>
      </c>
      <c r="AN278">
        <f t="shared" si="121"/>
        <v>0</v>
      </c>
      <c r="AO278">
        <f t="shared" si="122"/>
        <v>0</v>
      </c>
      <c r="AP278">
        <f t="shared" si="123"/>
        <v>0</v>
      </c>
      <c r="AQ278">
        <f t="shared" si="124"/>
        <v>0</v>
      </c>
      <c r="AR278">
        <f t="shared" si="125"/>
        <v>0</v>
      </c>
      <c r="AS278">
        <f t="shared" si="126"/>
        <v>0</v>
      </c>
      <c r="AT278">
        <f t="shared" si="127"/>
        <v>0</v>
      </c>
      <c r="AU278">
        <f t="shared" si="128"/>
        <v>1</v>
      </c>
      <c r="AV278">
        <f t="shared" si="129"/>
        <v>1</v>
      </c>
      <c r="AW278">
        <f t="shared" si="130"/>
        <v>1</v>
      </c>
      <c r="AX278">
        <f t="shared" si="131"/>
        <v>1</v>
      </c>
      <c r="AY278">
        <f t="shared" si="132"/>
        <v>30000</v>
      </c>
      <c r="AZ278">
        <f t="shared" si="133"/>
        <v>30000</v>
      </c>
      <c r="BA278">
        <f t="shared" si="134"/>
        <v>0</v>
      </c>
      <c r="BB278">
        <f t="shared" si="135"/>
        <v>0</v>
      </c>
      <c r="BC278">
        <f t="shared" si="136"/>
        <v>0</v>
      </c>
      <c r="BD278">
        <f t="shared" si="137"/>
        <v>0</v>
      </c>
      <c r="BE278">
        <f t="shared" si="138"/>
        <v>0</v>
      </c>
      <c r="BF278">
        <f t="shared" si="139"/>
        <v>0</v>
      </c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</row>
    <row r="279" spans="1:256" s="201" customFormat="1" ht="14.25" x14ac:dyDescent="0.2">
      <c r="A279" s="10">
        <v>3203</v>
      </c>
      <c r="B279" s="11" t="s">
        <v>844</v>
      </c>
      <c r="C279" s="105" t="s">
        <v>845</v>
      </c>
      <c r="D279" s="11" t="s">
        <v>147</v>
      </c>
      <c r="E279" s="12">
        <v>20032</v>
      </c>
      <c r="F279" s="202">
        <v>14</v>
      </c>
      <c r="G279" s="11">
        <v>60000</v>
      </c>
      <c r="H279" s="116">
        <v>0</v>
      </c>
      <c r="I279" s="192"/>
      <c r="J279" s="204"/>
      <c r="K279" s="193"/>
      <c r="L279" s="193"/>
      <c r="M279" s="193"/>
      <c r="N279" s="203">
        <f t="shared" si="112"/>
        <v>60000</v>
      </c>
      <c r="O279" s="203">
        <f t="shared" si="113"/>
        <v>60000</v>
      </c>
      <c r="P279" s="203">
        <f t="shared" si="114"/>
        <v>60000</v>
      </c>
      <c r="Q279" s="214"/>
      <c r="R279" s="215"/>
      <c r="S279" s="218">
        <v>45638</v>
      </c>
      <c r="T279" s="205"/>
      <c r="U279" s="205"/>
      <c r="V279" s="216"/>
      <c r="W279" s="212"/>
      <c r="X279" s="10">
        <v>7</v>
      </c>
      <c r="Y279" s="10">
        <v>7</v>
      </c>
      <c r="Z279" s="213">
        <f t="shared" si="115"/>
        <v>60000</v>
      </c>
      <c r="AA279" s="62"/>
      <c r="AB279" s="62"/>
      <c r="AC279" s="62"/>
      <c r="AD279" s="62"/>
      <c r="AE279" s="62"/>
      <c r="AF279" s="63"/>
      <c r="AG279" s="64"/>
      <c r="AH279" s="6">
        <v>1</v>
      </c>
      <c r="AI279">
        <f t="shared" si="116"/>
        <v>25</v>
      </c>
      <c r="AJ279">
        <f t="shared" si="117"/>
        <v>25</v>
      </c>
      <c r="AK279">
        <f t="shared" si="118"/>
        <v>0</v>
      </c>
      <c r="AL279">
        <f t="shared" si="119"/>
        <v>0</v>
      </c>
      <c r="AM279">
        <f t="shared" si="120"/>
        <v>0</v>
      </c>
      <c r="AN279">
        <f t="shared" si="121"/>
        <v>0</v>
      </c>
      <c r="AO279">
        <f t="shared" si="122"/>
        <v>0</v>
      </c>
      <c r="AP279">
        <f t="shared" si="123"/>
        <v>0</v>
      </c>
      <c r="AQ279">
        <f t="shared" si="124"/>
        <v>0</v>
      </c>
      <c r="AR279">
        <f t="shared" si="125"/>
        <v>0</v>
      </c>
      <c r="AS279">
        <f t="shared" si="126"/>
        <v>0</v>
      </c>
      <c r="AT279">
        <f t="shared" si="127"/>
        <v>0</v>
      </c>
      <c r="AU279">
        <f t="shared" si="128"/>
        <v>1</v>
      </c>
      <c r="AV279">
        <f t="shared" si="129"/>
        <v>1</v>
      </c>
      <c r="AW279">
        <f t="shared" si="130"/>
        <v>1</v>
      </c>
      <c r="AX279">
        <f t="shared" si="131"/>
        <v>1</v>
      </c>
      <c r="AY279">
        <f t="shared" si="132"/>
        <v>60000</v>
      </c>
      <c r="AZ279">
        <f t="shared" si="133"/>
        <v>60000</v>
      </c>
      <c r="BA279">
        <f t="shared" si="134"/>
        <v>0</v>
      </c>
      <c r="BB279">
        <f t="shared" si="135"/>
        <v>0</v>
      </c>
      <c r="BC279">
        <f t="shared" si="136"/>
        <v>0</v>
      </c>
      <c r="BD279">
        <f t="shared" si="137"/>
        <v>0</v>
      </c>
      <c r="BE279">
        <f t="shared" si="138"/>
        <v>0</v>
      </c>
      <c r="BF279">
        <f t="shared" si="139"/>
        <v>0</v>
      </c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</row>
    <row r="280" spans="1:256" s="201" customFormat="1" ht="14.25" x14ac:dyDescent="0.2">
      <c r="A280" s="10">
        <v>3204</v>
      </c>
      <c r="B280" s="11" t="s">
        <v>846</v>
      </c>
      <c r="C280" s="105" t="s">
        <v>847</v>
      </c>
      <c r="D280" s="11" t="s">
        <v>173</v>
      </c>
      <c r="E280" s="12">
        <v>20254</v>
      </c>
      <c r="F280" s="202">
        <v>14</v>
      </c>
      <c r="G280" s="11">
        <v>60000</v>
      </c>
      <c r="H280" s="116">
        <v>0</v>
      </c>
      <c r="I280" s="192"/>
      <c r="J280" s="204"/>
      <c r="K280" s="193"/>
      <c r="L280" s="193"/>
      <c r="M280" s="193"/>
      <c r="N280" s="203">
        <f t="shared" si="112"/>
        <v>60000</v>
      </c>
      <c r="O280" s="203">
        <f t="shared" si="113"/>
        <v>60000</v>
      </c>
      <c r="P280" s="203">
        <f t="shared" si="114"/>
        <v>60000</v>
      </c>
      <c r="Q280" s="214"/>
      <c r="R280" s="215"/>
      <c r="S280" s="218">
        <v>45650</v>
      </c>
      <c r="T280" s="205"/>
      <c r="U280" s="205"/>
      <c r="V280" s="216"/>
      <c r="W280" s="212"/>
      <c r="X280" s="10">
        <v>7</v>
      </c>
      <c r="Y280" s="10">
        <v>7</v>
      </c>
      <c r="Z280" s="213">
        <f t="shared" si="115"/>
        <v>60000</v>
      </c>
      <c r="AA280" s="62"/>
      <c r="AB280" s="62"/>
      <c r="AC280" s="62"/>
      <c r="AD280" s="62"/>
      <c r="AE280" s="62"/>
      <c r="AF280" s="63"/>
      <c r="AG280" s="64"/>
      <c r="AH280" s="6">
        <v>1</v>
      </c>
      <c r="AI280">
        <f t="shared" si="116"/>
        <v>25</v>
      </c>
      <c r="AJ280">
        <f t="shared" si="117"/>
        <v>25</v>
      </c>
      <c r="AK280">
        <f t="shared" si="118"/>
        <v>0</v>
      </c>
      <c r="AL280">
        <f t="shared" si="119"/>
        <v>0</v>
      </c>
      <c r="AM280">
        <f t="shared" si="120"/>
        <v>0</v>
      </c>
      <c r="AN280">
        <f t="shared" si="121"/>
        <v>0</v>
      </c>
      <c r="AO280">
        <f t="shared" si="122"/>
        <v>0</v>
      </c>
      <c r="AP280">
        <f t="shared" si="123"/>
        <v>0</v>
      </c>
      <c r="AQ280">
        <f t="shared" si="124"/>
        <v>0</v>
      </c>
      <c r="AR280">
        <f t="shared" si="125"/>
        <v>0</v>
      </c>
      <c r="AS280">
        <f t="shared" si="126"/>
        <v>0</v>
      </c>
      <c r="AT280">
        <f t="shared" si="127"/>
        <v>0</v>
      </c>
      <c r="AU280">
        <f t="shared" si="128"/>
        <v>1</v>
      </c>
      <c r="AV280">
        <f t="shared" si="129"/>
        <v>1</v>
      </c>
      <c r="AW280">
        <f t="shared" si="130"/>
        <v>1</v>
      </c>
      <c r="AX280">
        <f t="shared" si="131"/>
        <v>1</v>
      </c>
      <c r="AY280">
        <f t="shared" si="132"/>
        <v>60000</v>
      </c>
      <c r="AZ280">
        <f t="shared" si="133"/>
        <v>60000</v>
      </c>
      <c r="BA280">
        <f t="shared" si="134"/>
        <v>0</v>
      </c>
      <c r="BB280">
        <f t="shared" si="135"/>
        <v>0</v>
      </c>
      <c r="BC280">
        <f t="shared" si="136"/>
        <v>0</v>
      </c>
      <c r="BD280">
        <f t="shared" si="137"/>
        <v>0</v>
      </c>
      <c r="BE280">
        <f t="shared" si="138"/>
        <v>0</v>
      </c>
      <c r="BF280">
        <f t="shared" si="139"/>
        <v>0</v>
      </c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</row>
    <row r="281" spans="1:256" s="201" customFormat="1" ht="14.25" x14ac:dyDescent="0.2">
      <c r="A281" s="10">
        <v>3207</v>
      </c>
      <c r="B281" s="11" t="s">
        <v>848</v>
      </c>
      <c r="C281" s="105" t="s">
        <v>849</v>
      </c>
      <c r="D281" s="11" t="s">
        <v>173</v>
      </c>
      <c r="E281" s="12">
        <v>20265</v>
      </c>
      <c r="F281" s="202">
        <v>14</v>
      </c>
      <c r="G281" s="11">
        <v>65000</v>
      </c>
      <c r="H281" s="116">
        <v>0</v>
      </c>
      <c r="I281" s="192"/>
      <c r="J281" s="204"/>
      <c r="K281" s="193"/>
      <c r="L281" s="193"/>
      <c r="M281" s="193"/>
      <c r="N281" s="203">
        <f t="shared" si="112"/>
        <v>65000</v>
      </c>
      <c r="O281" s="203">
        <f t="shared" si="113"/>
        <v>65000</v>
      </c>
      <c r="P281" s="203">
        <f t="shared" si="114"/>
        <v>65000</v>
      </c>
      <c r="Q281" s="214"/>
      <c r="R281" s="215"/>
      <c r="S281" s="218">
        <v>45642</v>
      </c>
      <c r="T281" s="205"/>
      <c r="U281" s="205"/>
      <c r="V281" s="216"/>
      <c r="W281" s="212"/>
      <c r="X281" s="10">
        <v>7</v>
      </c>
      <c r="Y281" s="10">
        <v>7</v>
      </c>
      <c r="Z281" s="213">
        <f t="shared" si="115"/>
        <v>65000</v>
      </c>
      <c r="AA281" s="62"/>
      <c r="AB281" s="62"/>
      <c r="AC281" s="62"/>
      <c r="AD281" s="62"/>
      <c r="AE281" s="62"/>
      <c r="AF281" s="63"/>
      <c r="AG281" s="64"/>
      <c r="AH281" s="6">
        <v>1</v>
      </c>
      <c r="AI281">
        <f t="shared" si="116"/>
        <v>25</v>
      </c>
      <c r="AJ281">
        <f t="shared" si="117"/>
        <v>25</v>
      </c>
      <c r="AK281">
        <f t="shared" si="118"/>
        <v>0</v>
      </c>
      <c r="AL281">
        <f t="shared" si="119"/>
        <v>0</v>
      </c>
      <c r="AM281">
        <f t="shared" si="120"/>
        <v>0</v>
      </c>
      <c r="AN281">
        <f t="shared" si="121"/>
        <v>0</v>
      </c>
      <c r="AO281">
        <f t="shared" si="122"/>
        <v>0</v>
      </c>
      <c r="AP281">
        <f t="shared" si="123"/>
        <v>0</v>
      </c>
      <c r="AQ281">
        <f t="shared" si="124"/>
        <v>0</v>
      </c>
      <c r="AR281">
        <f t="shared" si="125"/>
        <v>0</v>
      </c>
      <c r="AS281">
        <f t="shared" si="126"/>
        <v>0</v>
      </c>
      <c r="AT281">
        <f t="shared" si="127"/>
        <v>0</v>
      </c>
      <c r="AU281">
        <f t="shared" si="128"/>
        <v>1</v>
      </c>
      <c r="AV281">
        <f t="shared" si="129"/>
        <v>1</v>
      </c>
      <c r="AW281">
        <f t="shared" si="130"/>
        <v>1</v>
      </c>
      <c r="AX281">
        <f t="shared" si="131"/>
        <v>1</v>
      </c>
      <c r="AY281">
        <f t="shared" si="132"/>
        <v>65000</v>
      </c>
      <c r="AZ281">
        <f t="shared" si="133"/>
        <v>65000</v>
      </c>
      <c r="BA281">
        <f t="shared" si="134"/>
        <v>0</v>
      </c>
      <c r="BB281">
        <f t="shared" si="135"/>
        <v>0</v>
      </c>
      <c r="BC281">
        <f t="shared" si="136"/>
        <v>0</v>
      </c>
      <c r="BD281">
        <f t="shared" si="137"/>
        <v>0</v>
      </c>
      <c r="BE281">
        <f t="shared" si="138"/>
        <v>0</v>
      </c>
      <c r="BF281">
        <f t="shared" si="139"/>
        <v>0</v>
      </c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</row>
    <row r="282" spans="1:256" s="201" customFormat="1" ht="14.25" x14ac:dyDescent="0.2">
      <c r="A282" s="10">
        <v>3209</v>
      </c>
      <c r="B282" s="11" t="s">
        <v>850</v>
      </c>
      <c r="C282" s="105" t="s">
        <v>851</v>
      </c>
      <c r="D282" s="11" t="s">
        <v>105</v>
      </c>
      <c r="E282" s="12">
        <v>20272</v>
      </c>
      <c r="F282" s="202">
        <v>14</v>
      </c>
      <c r="G282" s="11">
        <v>60000</v>
      </c>
      <c r="H282" s="116">
        <v>0</v>
      </c>
      <c r="I282" s="192"/>
      <c r="J282" s="204"/>
      <c r="K282" s="193"/>
      <c r="L282" s="193"/>
      <c r="M282" s="193"/>
      <c r="N282" s="203">
        <f t="shared" si="112"/>
        <v>60000</v>
      </c>
      <c r="O282" s="203">
        <f t="shared" si="113"/>
        <v>60000</v>
      </c>
      <c r="P282" s="203">
        <f t="shared" si="114"/>
        <v>60000</v>
      </c>
      <c r="Q282" s="214"/>
      <c r="R282" s="215"/>
      <c r="S282" s="218">
        <v>45656</v>
      </c>
      <c r="T282" s="205"/>
      <c r="U282" s="205"/>
      <c r="V282" s="216"/>
      <c r="W282" s="212"/>
      <c r="X282" s="10">
        <v>7</v>
      </c>
      <c r="Y282" s="10">
        <v>7</v>
      </c>
      <c r="Z282" s="213">
        <f t="shared" si="115"/>
        <v>60000</v>
      </c>
      <c r="AA282" s="62"/>
      <c r="AB282" s="62"/>
      <c r="AC282" s="62"/>
      <c r="AD282" s="62"/>
      <c r="AE282" s="62"/>
      <c r="AF282" s="63"/>
      <c r="AG282" s="64"/>
      <c r="AH282" s="6">
        <v>1</v>
      </c>
      <c r="AI282">
        <f t="shared" si="116"/>
        <v>25</v>
      </c>
      <c r="AJ282">
        <f t="shared" si="117"/>
        <v>25</v>
      </c>
      <c r="AK282">
        <f t="shared" si="118"/>
        <v>0</v>
      </c>
      <c r="AL282">
        <f t="shared" si="119"/>
        <v>0</v>
      </c>
      <c r="AM282">
        <f t="shared" si="120"/>
        <v>0</v>
      </c>
      <c r="AN282">
        <f t="shared" si="121"/>
        <v>0</v>
      </c>
      <c r="AO282">
        <f t="shared" si="122"/>
        <v>0</v>
      </c>
      <c r="AP282">
        <f t="shared" si="123"/>
        <v>0</v>
      </c>
      <c r="AQ282">
        <f t="shared" si="124"/>
        <v>0</v>
      </c>
      <c r="AR282">
        <f t="shared" si="125"/>
        <v>0</v>
      </c>
      <c r="AS282">
        <f t="shared" si="126"/>
        <v>0</v>
      </c>
      <c r="AT282">
        <f t="shared" si="127"/>
        <v>0</v>
      </c>
      <c r="AU282">
        <f t="shared" si="128"/>
        <v>1</v>
      </c>
      <c r="AV282">
        <f t="shared" si="129"/>
        <v>1</v>
      </c>
      <c r="AW282">
        <f t="shared" si="130"/>
        <v>1</v>
      </c>
      <c r="AX282">
        <f t="shared" si="131"/>
        <v>1</v>
      </c>
      <c r="AY282">
        <f t="shared" si="132"/>
        <v>60000</v>
      </c>
      <c r="AZ282">
        <f t="shared" si="133"/>
        <v>60000</v>
      </c>
      <c r="BA282">
        <f t="shared" si="134"/>
        <v>0</v>
      </c>
      <c r="BB282">
        <f t="shared" si="135"/>
        <v>0</v>
      </c>
      <c r="BC282">
        <f t="shared" si="136"/>
        <v>0</v>
      </c>
      <c r="BD282">
        <f t="shared" si="137"/>
        <v>0</v>
      </c>
      <c r="BE282">
        <f t="shared" si="138"/>
        <v>0</v>
      </c>
      <c r="BF282">
        <f t="shared" si="139"/>
        <v>0</v>
      </c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1:256" s="201" customFormat="1" ht="14.25" x14ac:dyDescent="0.2">
      <c r="A283" s="10">
        <v>3211</v>
      </c>
      <c r="B283" s="11" t="s">
        <v>852</v>
      </c>
      <c r="C283" s="105" t="s">
        <v>853</v>
      </c>
      <c r="D283" s="11" t="s">
        <v>160</v>
      </c>
      <c r="E283" s="12">
        <v>20274</v>
      </c>
      <c r="F283" s="202">
        <v>14</v>
      </c>
      <c r="G283" s="11">
        <v>60000</v>
      </c>
      <c r="H283" s="116">
        <v>0</v>
      </c>
      <c r="I283" s="192"/>
      <c r="J283" s="204"/>
      <c r="K283" s="193"/>
      <c r="L283" s="193"/>
      <c r="M283" s="193"/>
      <c r="N283" s="203">
        <f t="shared" si="112"/>
        <v>60000</v>
      </c>
      <c r="O283" s="203">
        <f t="shared" si="113"/>
        <v>60000</v>
      </c>
      <c r="P283" s="203">
        <f t="shared" si="114"/>
        <v>60000</v>
      </c>
      <c r="Q283" s="214"/>
      <c r="R283" s="215"/>
      <c r="S283" s="218">
        <v>45633</v>
      </c>
      <c r="T283" s="205"/>
      <c r="U283" s="205"/>
      <c r="V283" s="216"/>
      <c r="W283" s="212"/>
      <c r="X283" s="10">
        <v>7</v>
      </c>
      <c r="Y283" s="10">
        <v>7</v>
      </c>
      <c r="Z283" s="213">
        <f t="shared" si="115"/>
        <v>60000</v>
      </c>
      <c r="AA283" s="62"/>
      <c r="AB283" s="62"/>
      <c r="AC283" s="62"/>
      <c r="AD283" s="62"/>
      <c r="AE283" s="62"/>
      <c r="AF283" s="63"/>
      <c r="AG283" s="64"/>
      <c r="AH283" s="6">
        <v>1</v>
      </c>
      <c r="AI283">
        <f t="shared" si="116"/>
        <v>25</v>
      </c>
      <c r="AJ283">
        <f t="shared" si="117"/>
        <v>25</v>
      </c>
      <c r="AK283">
        <f t="shared" si="118"/>
        <v>0</v>
      </c>
      <c r="AL283">
        <f t="shared" si="119"/>
        <v>0</v>
      </c>
      <c r="AM283">
        <f t="shared" si="120"/>
        <v>0</v>
      </c>
      <c r="AN283">
        <f t="shared" si="121"/>
        <v>0</v>
      </c>
      <c r="AO283">
        <f t="shared" si="122"/>
        <v>0</v>
      </c>
      <c r="AP283">
        <f t="shared" si="123"/>
        <v>0</v>
      </c>
      <c r="AQ283">
        <f t="shared" si="124"/>
        <v>0</v>
      </c>
      <c r="AR283">
        <f t="shared" si="125"/>
        <v>0</v>
      </c>
      <c r="AS283">
        <f t="shared" si="126"/>
        <v>0</v>
      </c>
      <c r="AT283">
        <f t="shared" si="127"/>
        <v>0</v>
      </c>
      <c r="AU283">
        <f t="shared" si="128"/>
        <v>1</v>
      </c>
      <c r="AV283">
        <f t="shared" si="129"/>
        <v>1</v>
      </c>
      <c r="AW283">
        <f t="shared" si="130"/>
        <v>1</v>
      </c>
      <c r="AX283">
        <f t="shared" si="131"/>
        <v>1</v>
      </c>
      <c r="AY283">
        <f t="shared" si="132"/>
        <v>60000</v>
      </c>
      <c r="AZ283">
        <f t="shared" si="133"/>
        <v>60000</v>
      </c>
      <c r="BA283">
        <f t="shared" si="134"/>
        <v>0</v>
      </c>
      <c r="BB283">
        <f t="shared" si="135"/>
        <v>0</v>
      </c>
      <c r="BC283">
        <f t="shared" si="136"/>
        <v>0</v>
      </c>
      <c r="BD283">
        <f t="shared" si="137"/>
        <v>0</v>
      </c>
      <c r="BE283">
        <f t="shared" si="138"/>
        <v>0</v>
      </c>
      <c r="BF283">
        <f t="shared" si="139"/>
        <v>0</v>
      </c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1:256" s="201" customFormat="1" ht="14.25" x14ac:dyDescent="0.2">
      <c r="A284" s="10">
        <v>3212</v>
      </c>
      <c r="B284" s="11" t="s">
        <v>854</v>
      </c>
      <c r="C284" s="105" t="s">
        <v>855</v>
      </c>
      <c r="D284" s="11" t="s">
        <v>106</v>
      </c>
      <c r="E284" s="12">
        <v>20275</v>
      </c>
      <c r="F284" s="202">
        <v>14</v>
      </c>
      <c r="G284" s="11">
        <v>150000</v>
      </c>
      <c r="H284" s="116">
        <v>-100000</v>
      </c>
      <c r="I284" s="192"/>
      <c r="J284" s="204"/>
      <c r="K284" s="193"/>
      <c r="L284" s="193"/>
      <c r="M284" s="193"/>
      <c r="N284" s="203">
        <f t="shared" si="112"/>
        <v>150000</v>
      </c>
      <c r="O284" s="203">
        <f t="shared" si="113"/>
        <v>50000</v>
      </c>
      <c r="P284" s="203">
        <f t="shared" si="114"/>
        <v>50000</v>
      </c>
      <c r="Q284" s="214"/>
      <c r="R284" s="215"/>
      <c r="S284" s="218">
        <v>45652</v>
      </c>
      <c r="T284" s="205"/>
      <c r="U284" s="205"/>
      <c r="V284" s="216"/>
      <c r="W284" s="212"/>
      <c r="X284" s="10">
        <v>7</v>
      </c>
      <c r="Y284" s="10">
        <v>7</v>
      </c>
      <c r="Z284" s="213">
        <f t="shared" si="115"/>
        <v>150000</v>
      </c>
      <c r="AA284" s="62"/>
      <c r="AB284" s="62"/>
      <c r="AC284" s="62"/>
      <c r="AD284" s="62"/>
      <c r="AE284" s="62"/>
      <c r="AF284" s="63"/>
      <c r="AG284" s="64"/>
      <c r="AH284" s="6">
        <v>1</v>
      </c>
      <c r="AI284">
        <f t="shared" si="116"/>
        <v>25</v>
      </c>
      <c r="AJ284">
        <f t="shared" si="117"/>
        <v>25</v>
      </c>
      <c r="AK284">
        <f t="shared" si="118"/>
        <v>0</v>
      </c>
      <c r="AL284">
        <f t="shared" si="119"/>
        <v>0</v>
      </c>
      <c r="AM284">
        <f t="shared" si="120"/>
        <v>0</v>
      </c>
      <c r="AN284">
        <f t="shared" si="121"/>
        <v>0</v>
      </c>
      <c r="AO284">
        <f t="shared" si="122"/>
        <v>0</v>
      </c>
      <c r="AP284">
        <f t="shared" si="123"/>
        <v>0</v>
      </c>
      <c r="AQ284">
        <f t="shared" si="124"/>
        <v>0</v>
      </c>
      <c r="AR284">
        <f t="shared" si="125"/>
        <v>0</v>
      </c>
      <c r="AS284">
        <f t="shared" si="126"/>
        <v>0</v>
      </c>
      <c r="AT284">
        <f t="shared" si="127"/>
        <v>0</v>
      </c>
      <c r="AU284">
        <f t="shared" si="128"/>
        <v>1</v>
      </c>
      <c r="AV284">
        <f t="shared" si="129"/>
        <v>1</v>
      </c>
      <c r="AW284">
        <f t="shared" si="130"/>
        <v>1</v>
      </c>
      <c r="AX284">
        <f t="shared" si="131"/>
        <v>1</v>
      </c>
      <c r="AY284">
        <f t="shared" si="132"/>
        <v>50000</v>
      </c>
      <c r="AZ284">
        <f t="shared" si="133"/>
        <v>50000</v>
      </c>
      <c r="BA284">
        <f t="shared" si="134"/>
        <v>0</v>
      </c>
      <c r="BB284">
        <f t="shared" si="135"/>
        <v>0</v>
      </c>
      <c r="BC284">
        <f t="shared" si="136"/>
        <v>0</v>
      </c>
      <c r="BD284">
        <f t="shared" si="137"/>
        <v>0</v>
      </c>
      <c r="BE284">
        <f t="shared" si="138"/>
        <v>0</v>
      </c>
      <c r="BF284">
        <f t="shared" si="139"/>
        <v>0</v>
      </c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1:256" s="201" customFormat="1" ht="14.25" x14ac:dyDescent="0.2">
      <c r="A285" s="10">
        <v>3213</v>
      </c>
      <c r="B285" s="11" t="s">
        <v>856</v>
      </c>
      <c r="C285" s="105" t="s">
        <v>857</v>
      </c>
      <c r="D285" s="11" t="s">
        <v>157</v>
      </c>
      <c r="E285" s="12">
        <v>20276</v>
      </c>
      <c r="F285" s="202">
        <v>14</v>
      </c>
      <c r="G285" s="11">
        <v>60000</v>
      </c>
      <c r="H285" s="116">
        <v>0</v>
      </c>
      <c r="I285" s="192"/>
      <c r="J285" s="204"/>
      <c r="K285" s="193"/>
      <c r="L285" s="193"/>
      <c r="M285" s="193"/>
      <c r="N285" s="203">
        <f t="shared" si="112"/>
        <v>60000</v>
      </c>
      <c r="O285" s="203">
        <f t="shared" si="113"/>
        <v>60000</v>
      </c>
      <c r="P285" s="203">
        <f t="shared" si="114"/>
        <v>60000</v>
      </c>
      <c r="Q285" s="214"/>
      <c r="R285" s="215"/>
      <c r="S285" s="218">
        <v>45642</v>
      </c>
      <c r="T285" s="205"/>
      <c r="U285" s="205"/>
      <c r="V285" s="216"/>
      <c r="W285" s="212"/>
      <c r="X285" s="10">
        <v>7</v>
      </c>
      <c r="Y285" s="10">
        <v>7</v>
      </c>
      <c r="Z285" s="213">
        <f t="shared" si="115"/>
        <v>60000</v>
      </c>
      <c r="AA285" s="62"/>
      <c r="AB285" s="62"/>
      <c r="AC285" s="62"/>
      <c r="AD285" s="62"/>
      <c r="AE285" s="62"/>
      <c r="AF285" s="63"/>
      <c r="AG285" s="64"/>
      <c r="AH285" s="6">
        <v>1</v>
      </c>
      <c r="AI285">
        <f t="shared" si="116"/>
        <v>25</v>
      </c>
      <c r="AJ285">
        <f t="shared" si="117"/>
        <v>25</v>
      </c>
      <c r="AK285">
        <f t="shared" si="118"/>
        <v>0</v>
      </c>
      <c r="AL285">
        <f t="shared" si="119"/>
        <v>0</v>
      </c>
      <c r="AM285">
        <f t="shared" si="120"/>
        <v>0</v>
      </c>
      <c r="AN285">
        <f t="shared" si="121"/>
        <v>0</v>
      </c>
      <c r="AO285">
        <f t="shared" si="122"/>
        <v>0</v>
      </c>
      <c r="AP285">
        <f t="shared" si="123"/>
        <v>0</v>
      </c>
      <c r="AQ285">
        <f t="shared" si="124"/>
        <v>0</v>
      </c>
      <c r="AR285">
        <f t="shared" si="125"/>
        <v>0</v>
      </c>
      <c r="AS285">
        <f t="shared" si="126"/>
        <v>0</v>
      </c>
      <c r="AT285">
        <f t="shared" si="127"/>
        <v>0</v>
      </c>
      <c r="AU285">
        <f t="shared" si="128"/>
        <v>1</v>
      </c>
      <c r="AV285">
        <f t="shared" si="129"/>
        <v>1</v>
      </c>
      <c r="AW285">
        <f t="shared" si="130"/>
        <v>1</v>
      </c>
      <c r="AX285">
        <f t="shared" si="131"/>
        <v>1</v>
      </c>
      <c r="AY285">
        <f t="shared" si="132"/>
        <v>60000</v>
      </c>
      <c r="AZ285">
        <f t="shared" si="133"/>
        <v>60000</v>
      </c>
      <c r="BA285">
        <f t="shared" si="134"/>
        <v>0</v>
      </c>
      <c r="BB285">
        <f t="shared" si="135"/>
        <v>0</v>
      </c>
      <c r="BC285">
        <f t="shared" si="136"/>
        <v>0</v>
      </c>
      <c r="BD285">
        <f t="shared" si="137"/>
        <v>0</v>
      </c>
      <c r="BE285">
        <f t="shared" si="138"/>
        <v>0</v>
      </c>
      <c r="BF285">
        <f t="shared" si="139"/>
        <v>0</v>
      </c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1:256" s="201" customFormat="1" ht="14.25" x14ac:dyDescent="0.2">
      <c r="A286" s="10">
        <v>3216</v>
      </c>
      <c r="B286" s="11" t="s">
        <v>858</v>
      </c>
      <c r="C286" s="105" t="s">
        <v>859</v>
      </c>
      <c r="D286" s="11" t="s">
        <v>105</v>
      </c>
      <c r="E286" s="12">
        <v>20279</v>
      </c>
      <c r="F286" s="202">
        <v>14</v>
      </c>
      <c r="G286" s="11">
        <v>60000</v>
      </c>
      <c r="H286" s="116">
        <v>0</v>
      </c>
      <c r="I286" s="192"/>
      <c r="J286" s="204"/>
      <c r="K286" s="193"/>
      <c r="L286" s="193"/>
      <c r="M286" s="193"/>
      <c r="N286" s="203">
        <f t="shared" si="112"/>
        <v>60000</v>
      </c>
      <c r="O286" s="203">
        <f t="shared" si="113"/>
        <v>60000</v>
      </c>
      <c r="P286" s="203">
        <f t="shared" si="114"/>
        <v>60000</v>
      </c>
      <c r="Q286" s="214"/>
      <c r="R286" s="215"/>
      <c r="S286" s="218">
        <v>45635</v>
      </c>
      <c r="T286" s="205"/>
      <c r="U286" s="205"/>
      <c r="V286" s="216"/>
      <c r="W286" s="212"/>
      <c r="X286" s="10">
        <v>7</v>
      </c>
      <c r="Y286" s="10">
        <v>7</v>
      </c>
      <c r="Z286" s="213">
        <f t="shared" si="115"/>
        <v>60000</v>
      </c>
      <c r="AA286" s="62"/>
      <c r="AB286" s="62"/>
      <c r="AC286" s="62"/>
      <c r="AD286" s="62"/>
      <c r="AE286" s="62"/>
      <c r="AF286" s="63"/>
      <c r="AG286" s="64"/>
      <c r="AH286" s="6">
        <v>1</v>
      </c>
      <c r="AI286">
        <f t="shared" si="116"/>
        <v>25</v>
      </c>
      <c r="AJ286">
        <f t="shared" si="117"/>
        <v>25</v>
      </c>
      <c r="AK286">
        <f t="shared" si="118"/>
        <v>0</v>
      </c>
      <c r="AL286">
        <f t="shared" si="119"/>
        <v>0</v>
      </c>
      <c r="AM286">
        <f t="shared" si="120"/>
        <v>0</v>
      </c>
      <c r="AN286">
        <f t="shared" si="121"/>
        <v>0</v>
      </c>
      <c r="AO286">
        <f t="shared" si="122"/>
        <v>0</v>
      </c>
      <c r="AP286">
        <f t="shared" si="123"/>
        <v>0</v>
      </c>
      <c r="AQ286">
        <f t="shared" si="124"/>
        <v>0</v>
      </c>
      <c r="AR286">
        <f t="shared" si="125"/>
        <v>0</v>
      </c>
      <c r="AS286">
        <f t="shared" si="126"/>
        <v>0</v>
      </c>
      <c r="AT286">
        <f t="shared" si="127"/>
        <v>0</v>
      </c>
      <c r="AU286">
        <f t="shared" si="128"/>
        <v>1</v>
      </c>
      <c r="AV286">
        <f t="shared" si="129"/>
        <v>1</v>
      </c>
      <c r="AW286">
        <f t="shared" si="130"/>
        <v>1</v>
      </c>
      <c r="AX286">
        <f t="shared" si="131"/>
        <v>1</v>
      </c>
      <c r="AY286">
        <f t="shared" si="132"/>
        <v>60000</v>
      </c>
      <c r="AZ286">
        <f t="shared" si="133"/>
        <v>60000</v>
      </c>
      <c r="BA286">
        <f t="shared" si="134"/>
        <v>0</v>
      </c>
      <c r="BB286">
        <f t="shared" si="135"/>
        <v>0</v>
      </c>
      <c r="BC286">
        <f t="shared" si="136"/>
        <v>0</v>
      </c>
      <c r="BD286">
        <f t="shared" si="137"/>
        <v>0</v>
      </c>
      <c r="BE286">
        <f t="shared" si="138"/>
        <v>0</v>
      </c>
      <c r="BF286">
        <f t="shared" si="139"/>
        <v>0</v>
      </c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1:256" s="201" customFormat="1" ht="14.25" x14ac:dyDescent="0.2">
      <c r="A287" s="10">
        <v>3217</v>
      </c>
      <c r="B287" s="11" t="s">
        <v>860</v>
      </c>
      <c r="C287" s="105" t="s">
        <v>861</v>
      </c>
      <c r="D287" s="11" t="s">
        <v>220</v>
      </c>
      <c r="E287" s="12">
        <v>20280</v>
      </c>
      <c r="F287" s="202">
        <v>14</v>
      </c>
      <c r="G287" s="11">
        <v>60000</v>
      </c>
      <c r="H287" s="116">
        <v>0</v>
      </c>
      <c r="I287" s="192"/>
      <c r="J287" s="204"/>
      <c r="K287" s="193"/>
      <c r="L287" s="193"/>
      <c r="M287" s="193"/>
      <c r="N287" s="203">
        <f t="shared" si="112"/>
        <v>60000</v>
      </c>
      <c r="O287" s="203">
        <f t="shared" si="113"/>
        <v>60000</v>
      </c>
      <c r="P287" s="203">
        <f t="shared" si="114"/>
        <v>60000</v>
      </c>
      <c r="Q287" s="214"/>
      <c r="R287" s="215"/>
      <c r="S287" s="218">
        <v>45637</v>
      </c>
      <c r="T287" s="205"/>
      <c r="U287" s="205"/>
      <c r="V287" s="216"/>
      <c r="W287" s="212"/>
      <c r="X287" s="10">
        <v>7</v>
      </c>
      <c r="Y287" s="10">
        <v>7</v>
      </c>
      <c r="Z287" s="213">
        <f t="shared" si="115"/>
        <v>60000</v>
      </c>
      <c r="AA287" s="62"/>
      <c r="AB287" s="62"/>
      <c r="AC287" s="62"/>
      <c r="AD287" s="62"/>
      <c r="AE287" s="62"/>
      <c r="AF287" s="63"/>
      <c r="AG287" s="64"/>
      <c r="AH287" s="6">
        <v>1</v>
      </c>
      <c r="AI287">
        <f t="shared" si="116"/>
        <v>25</v>
      </c>
      <c r="AJ287">
        <f t="shared" si="117"/>
        <v>25</v>
      </c>
      <c r="AK287">
        <f t="shared" si="118"/>
        <v>0</v>
      </c>
      <c r="AL287">
        <f t="shared" si="119"/>
        <v>0</v>
      </c>
      <c r="AM287">
        <f t="shared" si="120"/>
        <v>0</v>
      </c>
      <c r="AN287">
        <f t="shared" si="121"/>
        <v>0</v>
      </c>
      <c r="AO287">
        <f t="shared" si="122"/>
        <v>0</v>
      </c>
      <c r="AP287">
        <f t="shared" si="123"/>
        <v>0</v>
      </c>
      <c r="AQ287">
        <f t="shared" si="124"/>
        <v>0</v>
      </c>
      <c r="AR287">
        <f t="shared" si="125"/>
        <v>0</v>
      </c>
      <c r="AS287">
        <f t="shared" si="126"/>
        <v>0</v>
      </c>
      <c r="AT287">
        <f t="shared" si="127"/>
        <v>0</v>
      </c>
      <c r="AU287">
        <f t="shared" si="128"/>
        <v>1</v>
      </c>
      <c r="AV287">
        <f t="shared" si="129"/>
        <v>1</v>
      </c>
      <c r="AW287">
        <f t="shared" si="130"/>
        <v>1</v>
      </c>
      <c r="AX287">
        <f t="shared" si="131"/>
        <v>1</v>
      </c>
      <c r="AY287">
        <f t="shared" si="132"/>
        <v>60000</v>
      </c>
      <c r="AZ287">
        <f t="shared" si="133"/>
        <v>60000</v>
      </c>
      <c r="BA287">
        <f t="shared" si="134"/>
        <v>0</v>
      </c>
      <c r="BB287">
        <f t="shared" si="135"/>
        <v>0</v>
      </c>
      <c r="BC287">
        <f t="shared" si="136"/>
        <v>0</v>
      </c>
      <c r="BD287">
        <f t="shared" si="137"/>
        <v>0</v>
      </c>
      <c r="BE287">
        <f t="shared" si="138"/>
        <v>0</v>
      </c>
      <c r="BF287">
        <f t="shared" si="139"/>
        <v>0</v>
      </c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1:256" s="201" customFormat="1" ht="14.25" x14ac:dyDescent="0.2">
      <c r="A288" s="10">
        <v>3218</v>
      </c>
      <c r="B288" s="11" t="s">
        <v>862</v>
      </c>
      <c r="C288" s="105" t="s">
        <v>863</v>
      </c>
      <c r="D288" s="11" t="s">
        <v>106</v>
      </c>
      <c r="E288" s="12">
        <v>20281</v>
      </c>
      <c r="F288" s="202">
        <v>14</v>
      </c>
      <c r="G288" s="11">
        <v>60000</v>
      </c>
      <c r="H288" s="116">
        <v>60000</v>
      </c>
      <c r="I288" s="192"/>
      <c r="J288" s="204"/>
      <c r="K288" s="193"/>
      <c r="L288" s="193"/>
      <c r="M288" s="193"/>
      <c r="N288" s="203">
        <f t="shared" si="112"/>
        <v>120000</v>
      </c>
      <c r="O288" s="203">
        <f t="shared" si="113"/>
        <v>120000</v>
      </c>
      <c r="P288" s="203">
        <f t="shared" si="114"/>
        <v>120000</v>
      </c>
      <c r="Q288" s="214"/>
      <c r="R288" s="215"/>
      <c r="S288" s="218">
        <v>45605</v>
      </c>
      <c r="T288" s="205"/>
      <c r="U288" s="205"/>
      <c r="V288" s="216"/>
      <c r="W288" s="212"/>
      <c r="X288" s="10">
        <v>7</v>
      </c>
      <c r="Y288" s="10">
        <v>7</v>
      </c>
      <c r="Z288" s="213">
        <f t="shared" si="115"/>
        <v>120000</v>
      </c>
      <c r="AA288" s="62"/>
      <c r="AB288" s="62"/>
      <c r="AC288" s="62"/>
      <c r="AD288" s="62"/>
      <c r="AE288" s="62"/>
      <c r="AF288" s="63"/>
      <c r="AG288" s="64"/>
      <c r="AH288" s="6">
        <v>1</v>
      </c>
      <c r="AI288">
        <f t="shared" si="116"/>
        <v>25</v>
      </c>
      <c r="AJ288">
        <f t="shared" si="117"/>
        <v>25</v>
      </c>
      <c r="AK288">
        <f t="shared" si="118"/>
        <v>0</v>
      </c>
      <c r="AL288">
        <f t="shared" si="119"/>
        <v>0</v>
      </c>
      <c r="AM288">
        <f t="shared" si="120"/>
        <v>0</v>
      </c>
      <c r="AN288">
        <f t="shared" si="121"/>
        <v>0</v>
      </c>
      <c r="AO288">
        <f t="shared" si="122"/>
        <v>0</v>
      </c>
      <c r="AP288">
        <f t="shared" si="123"/>
        <v>0</v>
      </c>
      <c r="AQ288">
        <f t="shared" si="124"/>
        <v>0</v>
      </c>
      <c r="AR288">
        <f t="shared" si="125"/>
        <v>0</v>
      </c>
      <c r="AS288">
        <f t="shared" si="126"/>
        <v>0</v>
      </c>
      <c r="AT288">
        <f t="shared" si="127"/>
        <v>0</v>
      </c>
      <c r="AU288">
        <f t="shared" si="128"/>
        <v>1</v>
      </c>
      <c r="AV288">
        <f t="shared" si="129"/>
        <v>1</v>
      </c>
      <c r="AW288">
        <f t="shared" si="130"/>
        <v>1</v>
      </c>
      <c r="AX288">
        <f t="shared" si="131"/>
        <v>1</v>
      </c>
      <c r="AY288">
        <f t="shared" si="132"/>
        <v>120000</v>
      </c>
      <c r="AZ288">
        <f t="shared" si="133"/>
        <v>120000</v>
      </c>
      <c r="BA288">
        <f t="shared" si="134"/>
        <v>0</v>
      </c>
      <c r="BB288">
        <f t="shared" si="135"/>
        <v>0</v>
      </c>
      <c r="BC288">
        <f t="shared" si="136"/>
        <v>0</v>
      </c>
      <c r="BD288">
        <f t="shared" si="137"/>
        <v>0</v>
      </c>
      <c r="BE288">
        <f t="shared" si="138"/>
        <v>0</v>
      </c>
      <c r="BF288">
        <f t="shared" si="139"/>
        <v>0</v>
      </c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1:256" s="201" customFormat="1" ht="14.25" x14ac:dyDescent="0.2">
      <c r="A289" s="10">
        <v>3222</v>
      </c>
      <c r="B289" s="11" t="s">
        <v>864</v>
      </c>
      <c r="C289" s="105" t="s">
        <v>865</v>
      </c>
      <c r="D289" s="11" t="s">
        <v>106</v>
      </c>
      <c r="E289" s="12">
        <v>20290</v>
      </c>
      <c r="F289" s="202">
        <v>14</v>
      </c>
      <c r="G289" s="11">
        <v>60000</v>
      </c>
      <c r="H289" s="116">
        <v>0</v>
      </c>
      <c r="I289" s="192"/>
      <c r="J289" s="204"/>
      <c r="K289" s="193"/>
      <c r="L289" s="193"/>
      <c r="M289" s="193"/>
      <c r="N289" s="203">
        <f t="shared" si="112"/>
        <v>60000</v>
      </c>
      <c r="O289" s="203">
        <f t="shared" si="113"/>
        <v>60000</v>
      </c>
      <c r="P289" s="203">
        <f t="shared" si="114"/>
        <v>60000</v>
      </c>
      <c r="Q289" s="214"/>
      <c r="R289" s="215"/>
      <c r="S289" s="218">
        <v>45647</v>
      </c>
      <c r="T289" s="205"/>
      <c r="U289" s="205"/>
      <c r="V289" s="216"/>
      <c r="W289" s="212"/>
      <c r="X289" s="10">
        <v>7</v>
      </c>
      <c r="Y289" s="10">
        <v>7</v>
      </c>
      <c r="Z289" s="213">
        <f t="shared" si="115"/>
        <v>60000</v>
      </c>
      <c r="AA289" s="62"/>
      <c r="AB289" s="62"/>
      <c r="AC289" s="62"/>
      <c r="AD289" s="62"/>
      <c r="AE289" s="62"/>
      <c r="AF289" s="63"/>
      <c r="AG289" s="64"/>
      <c r="AH289" s="6">
        <v>1</v>
      </c>
      <c r="AI289">
        <f t="shared" si="116"/>
        <v>25</v>
      </c>
      <c r="AJ289">
        <f t="shared" si="117"/>
        <v>25</v>
      </c>
      <c r="AK289">
        <f t="shared" si="118"/>
        <v>0</v>
      </c>
      <c r="AL289">
        <f t="shared" si="119"/>
        <v>0</v>
      </c>
      <c r="AM289">
        <f t="shared" si="120"/>
        <v>0</v>
      </c>
      <c r="AN289">
        <f t="shared" si="121"/>
        <v>0</v>
      </c>
      <c r="AO289">
        <f t="shared" si="122"/>
        <v>0</v>
      </c>
      <c r="AP289">
        <f t="shared" si="123"/>
        <v>0</v>
      </c>
      <c r="AQ289">
        <f t="shared" si="124"/>
        <v>0</v>
      </c>
      <c r="AR289">
        <f t="shared" si="125"/>
        <v>0</v>
      </c>
      <c r="AS289">
        <f t="shared" si="126"/>
        <v>0</v>
      </c>
      <c r="AT289">
        <f t="shared" si="127"/>
        <v>0</v>
      </c>
      <c r="AU289">
        <f t="shared" si="128"/>
        <v>1</v>
      </c>
      <c r="AV289">
        <f t="shared" si="129"/>
        <v>1</v>
      </c>
      <c r="AW289">
        <f t="shared" si="130"/>
        <v>1</v>
      </c>
      <c r="AX289">
        <f t="shared" si="131"/>
        <v>1</v>
      </c>
      <c r="AY289">
        <f t="shared" si="132"/>
        <v>60000</v>
      </c>
      <c r="AZ289">
        <f t="shared" si="133"/>
        <v>60000</v>
      </c>
      <c r="BA289">
        <f t="shared" si="134"/>
        <v>0</v>
      </c>
      <c r="BB289">
        <f t="shared" si="135"/>
        <v>0</v>
      </c>
      <c r="BC289">
        <f t="shared" si="136"/>
        <v>0</v>
      </c>
      <c r="BD289">
        <f t="shared" si="137"/>
        <v>0</v>
      </c>
      <c r="BE289">
        <f t="shared" si="138"/>
        <v>0</v>
      </c>
      <c r="BF289">
        <f t="shared" si="139"/>
        <v>0</v>
      </c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1:256" s="201" customFormat="1" ht="14.25" x14ac:dyDescent="0.2">
      <c r="A290" s="10">
        <v>3223</v>
      </c>
      <c r="B290" s="11" t="s">
        <v>302</v>
      </c>
      <c r="C290" s="105" t="s">
        <v>303</v>
      </c>
      <c r="D290" s="11" t="s">
        <v>105</v>
      </c>
      <c r="E290" s="12">
        <v>268</v>
      </c>
      <c r="F290" s="202">
        <v>13</v>
      </c>
      <c r="G290" s="11">
        <v>40000</v>
      </c>
      <c r="H290" s="116">
        <v>-20000</v>
      </c>
      <c r="I290" s="192"/>
      <c r="J290" s="204"/>
      <c r="K290" s="193"/>
      <c r="L290" s="193"/>
      <c r="M290" s="193"/>
      <c r="N290" s="203">
        <f t="shared" si="112"/>
        <v>40000</v>
      </c>
      <c r="O290" s="203">
        <f t="shared" si="113"/>
        <v>20000</v>
      </c>
      <c r="P290" s="203">
        <f t="shared" si="114"/>
        <v>20000</v>
      </c>
      <c r="Q290" s="214"/>
      <c r="R290" s="215"/>
      <c r="S290" s="218">
        <v>45635</v>
      </c>
      <c r="T290" s="205"/>
      <c r="U290" s="205"/>
      <c r="V290" s="216"/>
      <c r="W290" s="212"/>
      <c r="X290" s="10">
        <v>7</v>
      </c>
      <c r="Y290" s="10">
        <v>7</v>
      </c>
      <c r="Z290" s="213">
        <f t="shared" si="115"/>
        <v>40000</v>
      </c>
      <c r="AA290" s="62"/>
      <c r="AB290" s="62"/>
      <c r="AC290" s="62"/>
      <c r="AD290" s="62"/>
      <c r="AE290" s="62"/>
      <c r="AF290" s="63"/>
      <c r="AG290" s="64"/>
      <c r="AH290" s="6">
        <v>1</v>
      </c>
      <c r="AI290">
        <f t="shared" si="116"/>
        <v>25</v>
      </c>
      <c r="AJ290">
        <f t="shared" si="117"/>
        <v>25</v>
      </c>
      <c r="AK290">
        <f t="shared" si="118"/>
        <v>0</v>
      </c>
      <c r="AL290">
        <f t="shared" si="119"/>
        <v>0</v>
      </c>
      <c r="AM290">
        <f t="shared" si="120"/>
        <v>0</v>
      </c>
      <c r="AN290">
        <f t="shared" si="121"/>
        <v>0</v>
      </c>
      <c r="AO290">
        <f t="shared" si="122"/>
        <v>0</v>
      </c>
      <c r="AP290">
        <f t="shared" si="123"/>
        <v>0</v>
      </c>
      <c r="AQ290">
        <f t="shared" si="124"/>
        <v>0</v>
      </c>
      <c r="AR290">
        <f t="shared" si="125"/>
        <v>0</v>
      </c>
      <c r="AS290">
        <f t="shared" si="126"/>
        <v>0</v>
      </c>
      <c r="AT290">
        <f t="shared" si="127"/>
        <v>0</v>
      </c>
      <c r="AU290">
        <f t="shared" si="128"/>
        <v>1</v>
      </c>
      <c r="AV290">
        <f t="shared" si="129"/>
        <v>1</v>
      </c>
      <c r="AW290">
        <f t="shared" si="130"/>
        <v>1</v>
      </c>
      <c r="AX290">
        <f t="shared" si="131"/>
        <v>1</v>
      </c>
      <c r="AY290">
        <f t="shared" si="132"/>
        <v>20000</v>
      </c>
      <c r="AZ290">
        <f t="shared" si="133"/>
        <v>20000</v>
      </c>
      <c r="BA290">
        <f t="shared" si="134"/>
        <v>0</v>
      </c>
      <c r="BB290">
        <f t="shared" si="135"/>
        <v>0</v>
      </c>
      <c r="BC290">
        <f t="shared" si="136"/>
        <v>0</v>
      </c>
      <c r="BD290">
        <f t="shared" si="137"/>
        <v>0</v>
      </c>
      <c r="BE290">
        <f t="shared" si="138"/>
        <v>0</v>
      </c>
      <c r="BF290">
        <f t="shared" si="139"/>
        <v>0</v>
      </c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1:256" s="201" customFormat="1" ht="14.25" x14ac:dyDescent="0.2">
      <c r="A291" s="10">
        <v>3224</v>
      </c>
      <c r="B291" s="11" t="s">
        <v>866</v>
      </c>
      <c r="C291" s="105" t="s">
        <v>867</v>
      </c>
      <c r="D291" s="11" t="s">
        <v>105</v>
      </c>
      <c r="E291" s="12">
        <v>20029</v>
      </c>
      <c r="F291" s="202">
        <v>13</v>
      </c>
      <c r="G291" s="11">
        <v>60000</v>
      </c>
      <c r="H291" s="116">
        <v>0</v>
      </c>
      <c r="I291" s="192"/>
      <c r="J291" s="204"/>
      <c r="K291" s="193"/>
      <c r="L291" s="193"/>
      <c r="M291" s="193"/>
      <c r="N291" s="203">
        <f t="shared" si="112"/>
        <v>60000</v>
      </c>
      <c r="O291" s="203">
        <f t="shared" si="113"/>
        <v>60000</v>
      </c>
      <c r="P291" s="203">
        <f t="shared" si="114"/>
        <v>60000</v>
      </c>
      <c r="Q291" s="214"/>
      <c r="R291" s="215"/>
      <c r="S291" s="218">
        <v>45622</v>
      </c>
      <c r="T291" s="205"/>
      <c r="U291" s="205"/>
      <c r="V291" s="216"/>
      <c r="W291" s="212"/>
      <c r="X291" s="10">
        <v>7</v>
      </c>
      <c r="Y291" s="10">
        <v>7</v>
      </c>
      <c r="Z291" s="213">
        <f t="shared" si="115"/>
        <v>60000</v>
      </c>
      <c r="AA291" s="62"/>
      <c r="AB291" s="62"/>
      <c r="AC291" s="62"/>
      <c r="AD291" s="62"/>
      <c r="AE291" s="62"/>
      <c r="AF291" s="63"/>
      <c r="AG291" s="64"/>
      <c r="AH291" s="6">
        <v>1</v>
      </c>
      <c r="AI291">
        <f t="shared" si="116"/>
        <v>25</v>
      </c>
      <c r="AJ291">
        <f t="shared" si="117"/>
        <v>25</v>
      </c>
      <c r="AK291">
        <f t="shared" si="118"/>
        <v>0</v>
      </c>
      <c r="AL291">
        <f t="shared" si="119"/>
        <v>0</v>
      </c>
      <c r="AM291">
        <f t="shared" si="120"/>
        <v>0</v>
      </c>
      <c r="AN291">
        <f t="shared" si="121"/>
        <v>0</v>
      </c>
      <c r="AO291">
        <f t="shared" si="122"/>
        <v>0</v>
      </c>
      <c r="AP291">
        <f t="shared" si="123"/>
        <v>0</v>
      </c>
      <c r="AQ291">
        <f t="shared" si="124"/>
        <v>0</v>
      </c>
      <c r="AR291">
        <f t="shared" si="125"/>
        <v>0</v>
      </c>
      <c r="AS291">
        <f t="shared" si="126"/>
        <v>0</v>
      </c>
      <c r="AT291">
        <f t="shared" si="127"/>
        <v>0</v>
      </c>
      <c r="AU291">
        <f t="shared" si="128"/>
        <v>1</v>
      </c>
      <c r="AV291">
        <f t="shared" si="129"/>
        <v>1</v>
      </c>
      <c r="AW291">
        <f t="shared" si="130"/>
        <v>1</v>
      </c>
      <c r="AX291">
        <f t="shared" si="131"/>
        <v>1</v>
      </c>
      <c r="AY291">
        <f t="shared" si="132"/>
        <v>60000</v>
      </c>
      <c r="AZ291">
        <f t="shared" si="133"/>
        <v>60000</v>
      </c>
      <c r="BA291">
        <f t="shared" si="134"/>
        <v>0</v>
      </c>
      <c r="BB291">
        <f t="shared" si="135"/>
        <v>0</v>
      </c>
      <c r="BC291">
        <f t="shared" si="136"/>
        <v>0</v>
      </c>
      <c r="BD291">
        <f t="shared" si="137"/>
        <v>0</v>
      </c>
      <c r="BE291">
        <f t="shared" si="138"/>
        <v>0</v>
      </c>
      <c r="BF291">
        <f t="shared" si="139"/>
        <v>0</v>
      </c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1:256" s="201" customFormat="1" ht="14.25" x14ac:dyDescent="0.2">
      <c r="A292" s="10">
        <v>3226</v>
      </c>
      <c r="B292" s="11" t="s">
        <v>868</v>
      </c>
      <c r="C292" s="105" t="s">
        <v>869</v>
      </c>
      <c r="D292" s="11" t="s">
        <v>105</v>
      </c>
      <c r="E292" s="12">
        <v>20062</v>
      </c>
      <c r="F292" s="202">
        <v>13</v>
      </c>
      <c r="G292" s="11">
        <v>60000</v>
      </c>
      <c r="H292" s="116">
        <v>-180000</v>
      </c>
      <c r="I292" s="192"/>
      <c r="J292" s="204"/>
      <c r="K292" s="193"/>
      <c r="L292" s="193"/>
      <c r="M292" s="193"/>
      <c r="N292" s="203">
        <f t="shared" si="112"/>
        <v>60000</v>
      </c>
      <c r="O292" s="203">
        <f t="shared" si="113"/>
        <v>-120000</v>
      </c>
      <c r="P292" s="203">
        <f t="shared" si="114"/>
        <v>0</v>
      </c>
      <c r="Q292" s="214">
        <v>45659</v>
      </c>
      <c r="R292" s="215"/>
      <c r="S292" s="218">
        <v>45628</v>
      </c>
      <c r="T292" s="205"/>
      <c r="U292" s="205"/>
      <c r="V292" s="216" t="s">
        <v>1131</v>
      </c>
      <c r="W292" s="212"/>
      <c r="X292" s="10">
        <v>7</v>
      </c>
      <c r="Y292" s="10">
        <v>7</v>
      </c>
      <c r="Z292" s="213">
        <f t="shared" si="115"/>
        <v>60000</v>
      </c>
      <c r="AA292" s="62"/>
      <c r="AB292" s="62"/>
      <c r="AC292" s="62"/>
      <c r="AD292" s="62"/>
      <c r="AE292" s="62"/>
      <c r="AF292" s="63"/>
      <c r="AG292" s="64"/>
      <c r="AH292" s="6">
        <v>1</v>
      </c>
      <c r="AI292">
        <f t="shared" si="116"/>
        <v>25</v>
      </c>
      <c r="AJ292">
        <f t="shared" si="117"/>
        <v>25</v>
      </c>
      <c r="AK292">
        <f t="shared" si="118"/>
        <v>0</v>
      </c>
      <c r="AL292">
        <f t="shared" si="119"/>
        <v>0</v>
      </c>
      <c r="AM292">
        <f t="shared" si="120"/>
        <v>0</v>
      </c>
      <c r="AN292">
        <f t="shared" si="121"/>
        <v>0</v>
      </c>
      <c r="AO292">
        <f t="shared" si="122"/>
        <v>0</v>
      </c>
      <c r="AP292">
        <f t="shared" si="123"/>
        <v>0</v>
      </c>
      <c r="AQ292">
        <f t="shared" si="124"/>
        <v>0</v>
      </c>
      <c r="AR292">
        <f t="shared" si="125"/>
        <v>0</v>
      </c>
      <c r="AS292">
        <f t="shared" si="126"/>
        <v>0</v>
      </c>
      <c r="AT292">
        <f t="shared" si="127"/>
        <v>0</v>
      </c>
      <c r="AU292">
        <f t="shared" si="128"/>
        <v>0</v>
      </c>
      <c r="AV292">
        <f t="shared" si="129"/>
        <v>0</v>
      </c>
      <c r="AW292">
        <f t="shared" si="130"/>
        <v>0</v>
      </c>
      <c r="AX292">
        <f t="shared" si="131"/>
        <v>0</v>
      </c>
      <c r="AY292">
        <f t="shared" si="132"/>
        <v>0</v>
      </c>
      <c r="AZ292">
        <f t="shared" si="133"/>
        <v>0</v>
      </c>
      <c r="BA292">
        <f t="shared" si="134"/>
        <v>0</v>
      </c>
      <c r="BB292">
        <f t="shared" si="135"/>
        <v>0</v>
      </c>
      <c r="BC292">
        <f t="shared" si="136"/>
        <v>0</v>
      </c>
      <c r="BD292">
        <f t="shared" si="137"/>
        <v>0</v>
      </c>
      <c r="BE292">
        <f t="shared" si="138"/>
        <v>0</v>
      </c>
      <c r="BF292">
        <f t="shared" si="139"/>
        <v>0</v>
      </c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1:256" s="201" customFormat="1" ht="14.25" x14ac:dyDescent="0.2">
      <c r="A293" s="10">
        <v>3227</v>
      </c>
      <c r="B293" s="11" t="s">
        <v>870</v>
      </c>
      <c r="C293" s="105" t="s">
        <v>871</v>
      </c>
      <c r="D293" s="11" t="s">
        <v>105</v>
      </c>
      <c r="E293" s="12">
        <v>20063</v>
      </c>
      <c r="F293" s="202">
        <v>13</v>
      </c>
      <c r="G293" s="11">
        <v>60000</v>
      </c>
      <c r="H293" s="116">
        <v>0</v>
      </c>
      <c r="I293" s="192"/>
      <c r="J293" s="204"/>
      <c r="K293" s="193"/>
      <c r="L293" s="193"/>
      <c r="M293" s="193"/>
      <c r="N293" s="203">
        <f t="shared" si="112"/>
        <v>60000</v>
      </c>
      <c r="O293" s="203">
        <f t="shared" si="113"/>
        <v>60000</v>
      </c>
      <c r="P293" s="203">
        <f t="shared" si="114"/>
        <v>60000</v>
      </c>
      <c r="Q293" s="214"/>
      <c r="R293" s="215"/>
      <c r="S293" s="218">
        <v>45644</v>
      </c>
      <c r="T293" s="205"/>
      <c r="U293" s="205"/>
      <c r="V293" s="216"/>
      <c r="W293" s="212"/>
      <c r="X293" s="10">
        <v>7</v>
      </c>
      <c r="Y293" s="10">
        <v>7</v>
      </c>
      <c r="Z293" s="213">
        <f t="shared" si="115"/>
        <v>60000</v>
      </c>
      <c r="AA293" s="62"/>
      <c r="AB293" s="62"/>
      <c r="AC293" s="62"/>
      <c r="AD293" s="62"/>
      <c r="AE293" s="62"/>
      <c r="AF293" s="63"/>
      <c r="AG293" s="64"/>
      <c r="AH293" s="6">
        <v>1</v>
      </c>
      <c r="AI293">
        <f t="shared" si="116"/>
        <v>25</v>
      </c>
      <c r="AJ293">
        <f t="shared" si="117"/>
        <v>25</v>
      </c>
      <c r="AK293">
        <f t="shared" si="118"/>
        <v>0</v>
      </c>
      <c r="AL293">
        <f t="shared" si="119"/>
        <v>0</v>
      </c>
      <c r="AM293">
        <f t="shared" si="120"/>
        <v>0</v>
      </c>
      <c r="AN293">
        <f t="shared" si="121"/>
        <v>0</v>
      </c>
      <c r="AO293">
        <f t="shared" si="122"/>
        <v>0</v>
      </c>
      <c r="AP293">
        <f t="shared" si="123"/>
        <v>0</v>
      </c>
      <c r="AQ293">
        <f t="shared" si="124"/>
        <v>0</v>
      </c>
      <c r="AR293">
        <f t="shared" si="125"/>
        <v>0</v>
      </c>
      <c r="AS293">
        <f t="shared" si="126"/>
        <v>0</v>
      </c>
      <c r="AT293">
        <f t="shared" si="127"/>
        <v>0</v>
      </c>
      <c r="AU293">
        <f t="shared" si="128"/>
        <v>1</v>
      </c>
      <c r="AV293">
        <f t="shared" si="129"/>
        <v>1</v>
      </c>
      <c r="AW293">
        <f t="shared" si="130"/>
        <v>1</v>
      </c>
      <c r="AX293">
        <f t="shared" si="131"/>
        <v>1</v>
      </c>
      <c r="AY293">
        <f t="shared" si="132"/>
        <v>60000</v>
      </c>
      <c r="AZ293">
        <f t="shared" si="133"/>
        <v>60000</v>
      </c>
      <c r="BA293">
        <f t="shared" si="134"/>
        <v>0</v>
      </c>
      <c r="BB293">
        <f t="shared" si="135"/>
        <v>0</v>
      </c>
      <c r="BC293">
        <f t="shared" si="136"/>
        <v>0</v>
      </c>
      <c r="BD293">
        <f t="shared" si="137"/>
        <v>0</v>
      </c>
      <c r="BE293">
        <f t="shared" si="138"/>
        <v>0</v>
      </c>
      <c r="BF293">
        <f t="shared" si="139"/>
        <v>0</v>
      </c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1:256" s="201" customFormat="1" ht="14.25" x14ac:dyDescent="0.2">
      <c r="A294" s="10">
        <v>3228</v>
      </c>
      <c r="B294" s="11" t="s">
        <v>872</v>
      </c>
      <c r="C294" s="105" t="s">
        <v>873</v>
      </c>
      <c r="D294" s="11" t="s">
        <v>173</v>
      </c>
      <c r="E294" s="12">
        <v>20064</v>
      </c>
      <c r="F294" s="202">
        <v>13</v>
      </c>
      <c r="G294" s="11">
        <v>60000</v>
      </c>
      <c r="H294" s="116">
        <v>0</v>
      </c>
      <c r="I294" s="192"/>
      <c r="J294" s="204"/>
      <c r="K294" s="193"/>
      <c r="L294" s="193"/>
      <c r="M294" s="193"/>
      <c r="N294" s="203">
        <f t="shared" si="112"/>
        <v>60000</v>
      </c>
      <c r="O294" s="203">
        <f t="shared" si="113"/>
        <v>60000</v>
      </c>
      <c r="P294" s="203">
        <f t="shared" si="114"/>
        <v>60000</v>
      </c>
      <c r="Q294" s="214">
        <v>45663</v>
      </c>
      <c r="R294" s="215"/>
      <c r="S294" s="218">
        <v>45632</v>
      </c>
      <c r="T294" s="205"/>
      <c r="U294" s="205"/>
      <c r="V294" s="216" t="s">
        <v>1131</v>
      </c>
      <c r="W294" s="212"/>
      <c r="X294" s="10">
        <v>7</v>
      </c>
      <c r="Y294" s="10">
        <v>7</v>
      </c>
      <c r="Z294" s="213">
        <f t="shared" si="115"/>
        <v>60000</v>
      </c>
      <c r="AA294" s="62"/>
      <c r="AB294" s="62"/>
      <c r="AC294" s="62"/>
      <c r="AD294" s="62"/>
      <c r="AE294" s="62"/>
      <c r="AF294" s="63"/>
      <c r="AG294" s="64"/>
      <c r="AH294" s="6">
        <v>1</v>
      </c>
      <c r="AI294">
        <f t="shared" si="116"/>
        <v>25</v>
      </c>
      <c r="AJ294">
        <f t="shared" si="117"/>
        <v>25</v>
      </c>
      <c r="AK294">
        <f t="shared" si="118"/>
        <v>0</v>
      </c>
      <c r="AL294">
        <f t="shared" si="119"/>
        <v>0</v>
      </c>
      <c r="AM294">
        <f t="shared" si="120"/>
        <v>0</v>
      </c>
      <c r="AN294">
        <f t="shared" si="121"/>
        <v>0</v>
      </c>
      <c r="AO294">
        <f t="shared" si="122"/>
        <v>0</v>
      </c>
      <c r="AP294">
        <f t="shared" si="123"/>
        <v>0</v>
      </c>
      <c r="AQ294">
        <f t="shared" si="124"/>
        <v>0</v>
      </c>
      <c r="AR294">
        <f t="shared" si="125"/>
        <v>0</v>
      </c>
      <c r="AS294">
        <f t="shared" si="126"/>
        <v>0</v>
      </c>
      <c r="AT294">
        <f t="shared" si="127"/>
        <v>0</v>
      </c>
      <c r="AU294">
        <f t="shared" si="128"/>
        <v>1</v>
      </c>
      <c r="AV294">
        <f t="shared" si="129"/>
        <v>1</v>
      </c>
      <c r="AW294">
        <f t="shared" si="130"/>
        <v>1</v>
      </c>
      <c r="AX294">
        <f t="shared" si="131"/>
        <v>1</v>
      </c>
      <c r="AY294">
        <f t="shared" si="132"/>
        <v>60000</v>
      </c>
      <c r="AZ294">
        <f t="shared" si="133"/>
        <v>60000</v>
      </c>
      <c r="BA294">
        <f t="shared" si="134"/>
        <v>0</v>
      </c>
      <c r="BB294">
        <f t="shared" si="135"/>
        <v>0</v>
      </c>
      <c r="BC294">
        <f t="shared" si="136"/>
        <v>0</v>
      </c>
      <c r="BD294">
        <f t="shared" si="137"/>
        <v>0</v>
      </c>
      <c r="BE294">
        <f t="shared" si="138"/>
        <v>0</v>
      </c>
      <c r="BF294">
        <f t="shared" si="139"/>
        <v>0</v>
      </c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1:256" s="201" customFormat="1" ht="14.25" x14ac:dyDescent="0.2">
      <c r="A295" s="10">
        <v>3231</v>
      </c>
      <c r="B295" s="11" t="s">
        <v>322</v>
      </c>
      <c r="C295" s="105" t="s">
        <v>323</v>
      </c>
      <c r="D295" s="11" t="s">
        <v>106</v>
      </c>
      <c r="E295" s="12">
        <v>20067</v>
      </c>
      <c r="F295" s="202">
        <v>13</v>
      </c>
      <c r="G295" s="11">
        <v>30000</v>
      </c>
      <c r="H295" s="116">
        <v>-70000</v>
      </c>
      <c r="I295" s="192"/>
      <c r="J295" s="204"/>
      <c r="K295" s="193"/>
      <c r="L295" s="193"/>
      <c r="M295" s="193"/>
      <c r="N295" s="203">
        <f t="shared" si="112"/>
        <v>30000</v>
      </c>
      <c r="O295" s="203">
        <f t="shared" si="113"/>
        <v>-40000</v>
      </c>
      <c r="P295" s="203">
        <f t="shared" si="114"/>
        <v>0</v>
      </c>
      <c r="Q295" s="214"/>
      <c r="R295" s="215"/>
      <c r="S295" s="218">
        <v>45608</v>
      </c>
      <c r="T295" s="205"/>
      <c r="U295" s="205"/>
      <c r="V295" s="216"/>
      <c r="W295" s="212"/>
      <c r="X295" s="10">
        <v>7</v>
      </c>
      <c r="Y295" s="10">
        <v>7</v>
      </c>
      <c r="Z295" s="213">
        <f t="shared" si="115"/>
        <v>30000</v>
      </c>
      <c r="AA295" s="62"/>
      <c r="AB295" s="62"/>
      <c r="AC295" s="62"/>
      <c r="AD295" s="62"/>
      <c r="AE295" s="62"/>
      <c r="AF295" s="63"/>
      <c r="AG295" s="64"/>
      <c r="AH295" s="6">
        <v>1</v>
      </c>
      <c r="AI295">
        <f t="shared" si="116"/>
        <v>25</v>
      </c>
      <c r="AJ295">
        <f t="shared" si="117"/>
        <v>25</v>
      </c>
      <c r="AK295">
        <f t="shared" si="118"/>
        <v>0</v>
      </c>
      <c r="AL295">
        <f t="shared" si="119"/>
        <v>0</v>
      </c>
      <c r="AM295">
        <f t="shared" si="120"/>
        <v>0</v>
      </c>
      <c r="AN295">
        <f t="shared" si="121"/>
        <v>0</v>
      </c>
      <c r="AO295">
        <f t="shared" si="122"/>
        <v>0</v>
      </c>
      <c r="AP295">
        <f t="shared" si="123"/>
        <v>0</v>
      </c>
      <c r="AQ295">
        <f t="shared" si="124"/>
        <v>0</v>
      </c>
      <c r="AR295">
        <f t="shared" si="125"/>
        <v>0</v>
      </c>
      <c r="AS295">
        <f t="shared" si="126"/>
        <v>0</v>
      </c>
      <c r="AT295">
        <f t="shared" si="127"/>
        <v>0</v>
      </c>
      <c r="AU295">
        <f t="shared" si="128"/>
        <v>0</v>
      </c>
      <c r="AV295">
        <f t="shared" si="129"/>
        <v>0</v>
      </c>
      <c r="AW295">
        <f t="shared" si="130"/>
        <v>0</v>
      </c>
      <c r="AX295">
        <f t="shared" si="131"/>
        <v>0</v>
      </c>
      <c r="AY295">
        <f t="shared" si="132"/>
        <v>0</v>
      </c>
      <c r="AZ295">
        <f t="shared" si="133"/>
        <v>0</v>
      </c>
      <c r="BA295">
        <f t="shared" si="134"/>
        <v>0</v>
      </c>
      <c r="BB295">
        <f t="shared" si="135"/>
        <v>0</v>
      </c>
      <c r="BC295">
        <f t="shared" si="136"/>
        <v>0</v>
      </c>
      <c r="BD295">
        <f t="shared" si="137"/>
        <v>0</v>
      </c>
      <c r="BE295">
        <f t="shared" si="138"/>
        <v>0</v>
      </c>
      <c r="BF295">
        <f t="shared" si="139"/>
        <v>0</v>
      </c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1:256" s="201" customFormat="1" ht="14.25" x14ac:dyDescent="0.2">
      <c r="A296" s="10">
        <v>3232</v>
      </c>
      <c r="B296" s="11" t="s">
        <v>874</v>
      </c>
      <c r="C296" s="105" t="s">
        <v>875</v>
      </c>
      <c r="D296" s="11" t="s">
        <v>105</v>
      </c>
      <c r="E296" s="12">
        <v>20068</v>
      </c>
      <c r="F296" s="202">
        <v>13</v>
      </c>
      <c r="G296" s="11">
        <v>70000</v>
      </c>
      <c r="H296" s="116">
        <v>0</v>
      </c>
      <c r="I296" s="192"/>
      <c r="J296" s="204"/>
      <c r="K296" s="193"/>
      <c r="L296" s="193"/>
      <c r="M296" s="193"/>
      <c r="N296" s="203">
        <f t="shared" si="112"/>
        <v>70000</v>
      </c>
      <c r="O296" s="203">
        <f t="shared" si="113"/>
        <v>70000</v>
      </c>
      <c r="P296" s="203">
        <f t="shared" si="114"/>
        <v>70000</v>
      </c>
      <c r="Q296" s="214"/>
      <c r="R296" s="215"/>
      <c r="S296" s="218">
        <v>45631</v>
      </c>
      <c r="T296" s="205"/>
      <c r="U296" s="205"/>
      <c r="V296" s="216"/>
      <c r="W296" s="212"/>
      <c r="X296" s="10">
        <v>7</v>
      </c>
      <c r="Y296" s="10">
        <v>7</v>
      </c>
      <c r="Z296" s="213">
        <f t="shared" si="115"/>
        <v>70000</v>
      </c>
      <c r="AA296" s="62"/>
      <c r="AB296" s="62"/>
      <c r="AC296" s="62"/>
      <c r="AD296" s="62"/>
      <c r="AE296" s="62"/>
      <c r="AF296" s="63"/>
      <c r="AG296" s="64"/>
      <c r="AH296" s="6">
        <v>1</v>
      </c>
      <c r="AI296">
        <f t="shared" si="116"/>
        <v>25</v>
      </c>
      <c r="AJ296">
        <f t="shared" si="117"/>
        <v>25</v>
      </c>
      <c r="AK296">
        <f t="shared" si="118"/>
        <v>0</v>
      </c>
      <c r="AL296">
        <f t="shared" si="119"/>
        <v>0</v>
      </c>
      <c r="AM296">
        <f t="shared" si="120"/>
        <v>0</v>
      </c>
      <c r="AN296">
        <f t="shared" si="121"/>
        <v>0</v>
      </c>
      <c r="AO296">
        <f t="shared" si="122"/>
        <v>0</v>
      </c>
      <c r="AP296">
        <f t="shared" si="123"/>
        <v>0</v>
      </c>
      <c r="AQ296">
        <f t="shared" si="124"/>
        <v>0</v>
      </c>
      <c r="AR296">
        <f t="shared" si="125"/>
        <v>0</v>
      </c>
      <c r="AS296">
        <f t="shared" si="126"/>
        <v>0</v>
      </c>
      <c r="AT296">
        <f t="shared" si="127"/>
        <v>0</v>
      </c>
      <c r="AU296">
        <f t="shared" si="128"/>
        <v>1</v>
      </c>
      <c r="AV296">
        <f t="shared" si="129"/>
        <v>1</v>
      </c>
      <c r="AW296">
        <f t="shared" si="130"/>
        <v>1</v>
      </c>
      <c r="AX296">
        <f t="shared" si="131"/>
        <v>1</v>
      </c>
      <c r="AY296">
        <f t="shared" si="132"/>
        <v>70000</v>
      </c>
      <c r="AZ296">
        <f t="shared" si="133"/>
        <v>70000</v>
      </c>
      <c r="BA296">
        <f t="shared" si="134"/>
        <v>0</v>
      </c>
      <c r="BB296">
        <f t="shared" si="135"/>
        <v>0</v>
      </c>
      <c r="BC296">
        <f t="shared" si="136"/>
        <v>0</v>
      </c>
      <c r="BD296">
        <f t="shared" si="137"/>
        <v>0</v>
      </c>
      <c r="BE296">
        <f t="shared" si="138"/>
        <v>0</v>
      </c>
      <c r="BF296">
        <f t="shared" si="139"/>
        <v>0</v>
      </c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1:256" s="201" customFormat="1" ht="14.25" x14ac:dyDescent="0.2">
      <c r="A297" s="10">
        <v>3234</v>
      </c>
      <c r="B297" s="11" t="s">
        <v>876</v>
      </c>
      <c r="C297" s="105" t="s">
        <v>877</v>
      </c>
      <c r="D297" s="11" t="s">
        <v>173</v>
      </c>
      <c r="E297" s="12">
        <v>20071</v>
      </c>
      <c r="F297" s="202">
        <v>13</v>
      </c>
      <c r="G297" s="11">
        <v>60000</v>
      </c>
      <c r="H297" s="116">
        <v>-90000</v>
      </c>
      <c r="I297" s="192"/>
      <c r="J297" s="204"/>
      <c r="K297" s="193"/>
      <c r="L297" s="193"/>
      <c r="M297" s="193"/>
      <c r="N297" s="203">
        <f t="shared" si="112"/>
        <v>60000</v>
      </c>
      <c r="O297" s="203">
        <f t="shared" si="113"/>
        <v>-30000</v>
      </c>
      <c r="P297" s="203">
        <f t="shared" si="114"/>
        <v>0</v>
      </c>
      <c r="Q297" s="214"/>
      <c r="R297" s="215"/>
      <c r="S297" s="218">
        <v>45656</v>
      </c>
      <c r="T297" s="205"/>
      <c r="U297" s="205"/>
      <c r="V297" s="216"/>
      <c r="W297" s="212"/>
      <c r="X297" s="10">
        <v>7</v>
      </c>
      <c r="Y297" s="10">
        <v>7</v>
      </c>
      <c r="Z297" s="213">
        <f t="shared" si="115"/>
        <v>60000</v>
      </c>
      <c r="AA297" s="62"/>
      <c r="AB297" s="62"/>
      <c r="AC297" s="62"/>
      <c r="AD297" s="62"/>
      <c r="AE297" s="62"/>
      <c r="AF297" s="63"/>
      <c r="AG297" s="64"/>
      <c r="AH297" s="6">
        <v>1</v>
      </c>
      <c r="AI297">
        <f t="shared" si="116"/>
        <v>25</v>
      </c>
      <c r="AJ297">
        <f t="shared" si="117"/>
        <v>25</v>
      </c>
      <c r="AK297">
        <f t="shared" si="118"/>
        <v>0</v>
      </c>
      <c r="AL297">
        <f t="shared" si="119"/>
        <v>0</v>
      </c>
      <c r="AM297">
        <f t="shared" si="120"/>
        <v>0</v>
      </c>
      <c r="AN297">
        <f t="shared" si="121"/>
        <v>0</v>
      </c>
      <c r="AO297">
        <f t="shared" si="122"/>
        <v>0</v>
      </c>
      <c r="AP297">
        <f t="shared" si="123"/>
        <v>0</v>
      </c>
      <c r="AQ297">
        <f t="shared" si="124"/>
        <v>0</v>
      </c>
      <c r="AR297">
        <f t="shared" si="125"/>
        <v>0</v>
      </c>
      <c r="AS297">
        <f t="shared" si="126"/>
        <v>0</v>
      </c>
      <c r="AT297">
        <f t="shared" si="127"/>
        <v>0</v>
      </c>
      <c r="AU297">
        <f t="shared" si="128"/>
        <v>0</v>
      </c>
      <c r="AV297">
        <f t="shared" si="129"/>
        <v>0</v>
      </c>
      <c r="AW297">
        <f t="shared" si="130"/>
        <v>0</v>
      </c>
      <c r="AX297">
        <f t="shared" si="131"/>
        <v>0</v>
      </c>
      <c r="AY297">
        <f t="shared" si="132"/>
        <v>0</v>
      </c>
      <c r="AZ297">
        <f t="shared" si="133"/>
        <v>0</v>
      </c>
      <c r="BA297">
        <f t="shared" si="134"/>
        <v>0</v>
      </c>
      <c r="BB297">
        <f t="shared" si="135"/>
        <v>0</v>
      </c>
      <c r="BC297">
        <f t="shared" si="136"/>
        <v>0</v>
      </c>
      <c r="BD297">
        <f t="shared" si="137"/>
        <v>0</v>
      </c>
      <c r="BE297">
        <f t="shared" si="138"/>
        <v>0</v>
      </c>
      <c r="BF297">
        <f t="shared" si="139"/>
        <v>0</v>
      </c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1:256" s="201" customFormat="1" ht="14.25" x14ac:dyDescent="0.2">
      <c r="A298" s="10">
        <v>3235</v>
      </c>
      <c r="B298" s="11" t="s">
        <v>878</v>
      </c>
      <c r="C298" s="105" t="s">
        <v>879</v>
      </c>
      <c r="D298" s="11" t="s">
        <v>106</v>
      </c>
      <c r="E298" s="12">
        <v>20072</v>
      </c>
      <c r="F298" s="202">
        <v>13</v>
      </c>
      <c r="G298" s="11">
        <v>99999</v>
      </c>
      <c r="H298" s="116">
        <v>-60002</v>
      </c>
      <c r="I298" s="192"/>
      <c r="J298" s="204"/>
      <c r="K298" s="193"/>
      <c r="L298" s="193"/>
      <c r="M298" s="193"/>
      <c r="N298" s="203">
        <f t="shared" si="112"/>
        <v>99999</v>
      </c>
      <c r="O298" s="203">
        <f t="shared" si="113"/>
        <v>39997</v>
      </c>
      <c r="P298" s="203">
        <f t="shared" si="114"/>
        <v>39997</v>
      </c>
      <c r="Q298" s="214">
        <v>45659</v>
      </c>
      <c r="R298" s="215"/>
      <c r="S298" s="218">
        <v>45629</v>
      </c>
      <c r="T298" s="205"/>
      <c r="U298" s="205"/>
      <c r="V298" s="216" t="s">
        <v>1131</v>
      </c>
      <c r="W298" s="212"/>
      <c r="X298" s="10">
        <v>7</v>
      </c>
      <c r="Y298" s="10">
        <v>7</v>
      </c>
      <c r="Z298" s="213">
        <f t="shared" si="115"/>
        <v>99999</v>
      </c>
      <c r="AA298" s="62"/>
      <c r="AB298" s="62"/>
      <c r="AC298" s="62"/>
      <c r="AD298" s="62"/>
      <c r="AE298" s="62"/>
      <c r="AF298" s="63"/>
      <c r="AG298" s="64"/>
      <c r="AH298" s="6">
        <v>1</v>
      </c>
      <c r="AI298">
        <f t="shared" si="116"/>
        <v>25</v>
      </c>
      <c r="AJ298">
        <f t="shared" si="117"/>
        <v>25</v>
      </c>
      <c r="AK298">
        <f t="shared" si="118"/>
        <v>0</v>
      </c>
      <c r="AL298">
        <f t="shared" si="119"/>
        <v>0</v>
      </c>
      <c r="AM298">
        <f t="shared" si="120"/>
        <v>0</v>
      </c>
      <c r="AN298">
        <f t="shared" si="121"/>
        <v>0</v>
      </c>
      <c r="AO298">
        <f t="shared" si="122"/>
        <v>0</v>
      </c>
      <c r="AP298">
        <f t="shared" si="123"/>
        <v>0</v>
      </c>
      <c r="AQ298">
        <f t="shared" si="124"/>
        <v>0</v>
      </c>
      <c r="AR298">
        <f t="shared" si="125"/>
        <v>0</v>
      </c>
      <c r="AS298">
        <f t="shared" si="126"/>
        <v>0</v>
      </c>
      <c r="AT298">
        <f t="shared" si="127"/>
        <v>0</v>
      </c>
      <c r="AU298">
        <f t="shared" si="128"/>
        <v>1</v>
      </c>
      <c r="AV298">
        <f t="shared" si="129"/>
        <v>1</v>
      </c>
      <c r="AW298">
        <f t="shared" si="130"/>
        <v>1</v>
      </c>
      <c r="AX298">
        <f t="shared" si="131"/>
        <v>1</v>
      </c>
      <c r="AY298">
        <f t="shared" si="132"/>
        <v>39997</v>
      </c>
      <c r="AZ298">
        <f t="shared" si="133"/>
        <v>39997</v>
      </c>
      <c r="BA298">
        <f t="shared" si="134"/>
        <v>0</v>
      </c>
      <c r="BB298">
        <f t="shared" si="135"/>
        <v>0</v>
      </c>
      <c r="BC298">
        <f t="shared" si="136"/>
        <v>0</v>
      </c>
      <c r="BD298">
        <f t="shared" si="137"/>
        <v>0</v>
      </c>
      <c r="BE298">
        <f t="shared" si="138"/>
        <v>0</v>
      </c>
      <c r="BF298">
        <f t="shared" si="139"/>
        <v>0</v>
      </c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1:256" s="201" customFormat="1" ht="14.25" x14ac:dyDescent="0.2">
      <c r="A299" s="10">
        <v>3240</v>
      </c>
      <c r="B299" s="11" t="s">
        <v>880</v>
      </c>
      <c r="C299" s="105" t="s">
        <v>881</v>
      </c>
      <c r="D299" s="11" t="s">
        <v>147</v>
      </c>
      <c r="E299" s="12">
        <v>20287</v>
      </c>
      <c r="F299" s="202">
        <v>13</v>
      </c>
      <c r="G299" s="11">
        <v>70000</v>
      </c>
      <c r="H299" s="116">
        <v>0</v>
      </c>
      <c r="I299" s="192"/>
      <c r="J299" s="204"/>
      <c r="K299" s="193"/>
      <c r="L299" s="193"/>
      <c r="M299" s="193"/>
      <c r="N299" s="203">
        <f t="shared" si="112"/>
        <v>70000</v>
      </c>
      <c r="O299" s="203">
        <f t="shared" si="113"/>
        <v>70000</v>
      </c>
      <c r="P299" s="203">
        <f t="shared" si="114"/>
        <v>70000</v>
      </c>
      <c r="Q299" s="214"/>
      <c r="R299" s="215"/>
      <c r="S299" s="218">
        <v>45649</v>
      </c>
      <c r="T299" s="205"/>
      <c r="U299" s="205"/>
      <c r="V299" s="216"/>
      <c r="W299" s="212"/>
      <c r="X299" s="10">
        <v>7</v>
      </c>
      <c r="Y299" s="10">
        <v>7</v>
      </c>
      <c r="Z299" s="213">
        <f t="shared" si="115"/>
        <v>70000</v>
      </c>
      <c r="AA299" s="62"/>
      <c r="AB299" s="62"/>
      <c r="AC299" s="62"/>
      <c r="AD299" s="62"/>
      <c r="AE299" s="62"/>
      <c r="AF299" s="63"/>
      <c r="AG299" s="64"/>
      <c r="AH299" s="6">
        <v>1</v>
      </c>
      <c r="AI299">
        <f t="shared" si="116"/>
        <v>25</v>
      </c>
      <c r="AJ299">
        <f t="shared" si="117"/>
        <v>25</v>
      </c>
      <c r="AK299">
        <f t="shared" si="118"/>
        <v>0</v>
      </c>
      <c r="AL299">
        <f t="shared" si="119"/>
        <v>0</v>
      </c>
      <c r="AM299">
        <f t="shared" si="120"/>
        <v>0</v>
      </c>
      <c r="AN299">
        <f t="shared" si="121"/>
        <v>0</v>
      </c>
      <c r="AO299">
        <f t="shared" si="122"/>
        <v>0</v>
      </c>
      <c r="AP299">
        <f t="shared" si="123"/>
        <v>0</v>
      </c>
      <c r="AQ299">
        <f t="shared" si="124"/>
        <v>0</v>
      </c>
      <c r="AR299">
        <f t="shared" si="125"/>
        <v>0</v>
      </c>
      <c r="AS299">
        <f t="shared" si="126"/>
        <v>0</v>
      </c>
      <c r="AT299">
        <f t="shared" si="127"/>
        <v>0</v>
      </c>
      <c r="AU299">
        <f t="shared" si="128"/>
        <v>1</v>
      </c>
      <c r="AV299">
        <f t="shared" si="129"/>
        <v>1</v>
      </c>
      <c r="AW299">
        <f t="shared" si="130"/>
        <v>1</v>
      </c>
      <c r="AX299">
        <f t="shared" si="131"/>
        <v>1</v>
      </c>
      <c r="AY299">
        <f t="shared" si="132"/>
        <v>70000</v>
      </c>
      <c r="AZ299">
        <f t="shared" si="133"/>
        <v>70000</v>
      </c>
      <c r="BA299">
        <f t="shared" si="134"/>
        <v>0</v>
      </c>
      <c r="BB299">
        <f t="shared" si="135"/>
        <v>0</v>
      </c>
      <c r="BC299">
        <f t="shared" si="136"/>
        <v>0</v>
      </c>
      <c r="BD299">
        <f t="shared" si="137"/>
        <v>0</v>
      </c>
      <c r="BE299">
        <f t="shared" si="138"/>
        <v>0</v>
      </c>
      <c r="BF299">
        <f t="shared" si="139"/>
        <v>0</v>
      </c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1:256" s="201" customFormat="1" ht="14.25" x14ac:dyDescent="0.2">
      <c r="A300" s="10">
        <v>3241</v>
      </c>
      <c r="B300" s="11" t="s">
        <v>882</v>
      </c>
      <c r="C300" s="105" t="s">
        <v>883</v>
      </c>
      <c r="D300" s="11" t="s">
        <v>160</v>
      </c>
      <c r="E300" s="12">
        <v>20288</v>
      </c>
      <c r="F300" s="202">
        <v>13</v>
      </c>
      <c r="G300" s="11">
        <v>60000</v>
      </c>
      <c r="H300" s="116">
        <v>0</v>
      </c>
      <c r="I300" s="192"/>
      <c r="J300" s="204"/>
      <c r="K300" s="193"/>
      <c r="L300" s="193"/>
      <c r="M300" s="193"/>
      <c r="N300" s="203">
        <f t="shared" si="112"/>
        <v>60000</v>
      </c>
      <c r="O300" s="203">
        <f t="shared" si="113"/>
        <v>60000</v>
      </c>
      <c r="P300" s="203">
        <f t="shared" si="114"/>
        <v>60000</v>
      </c>
      <c r="Q300" s="214"/>
      <c r="R300" s="215"/>
      <c r="S300" s="218">
        <v>45636</v>
      </c>
      <c r="T300" s="205"/>
      <c r="U300" s="205"/>
      <c r="V300" s="216"/>
      <c r="W300" s="212"/>
      <c r="X300" s="10">
        <v>7</v>
      </c>
      <c r="Y300" s="10">
        <v>7</v>
      </c>
      <c r="Z300" s="213">
        <f t="shared" si="115"/>
        <v>60000</v>
      </c>
      <c r="AA300" s="62"/>
      <c r="AB300" s="62"/>
      <c r="AC300" s="62"/>
      <c r="AD300" s="62"/>
      <c r="AE300" s="62"/>
      <c r="AF300" s="63"/>
      <c r="AG300" s="64"/>
      <c r="AH300" s="6">
        <v>1</v>
      </c>
      <c r="AI300">
        <f t="shared" si="116"/>
        <v>25</v>
      </c>
      <c r="AJ300">
        <f t="shared" si="117"/>
        <v>25</v>
      </c>
      <c r="AK300">
        <f t="shared" si="118"/>
        <v>0</v>
      </c>
      <c r="AL300">
        <f t="shared" si="119"/>
        <v>0</v>
      </c>
      <c r="AM300">
        <f t="shared" si="120"/>
        <v>0</v>
      </c>
      <c r="AN300">
        <f t="shared" si="121"/>
        <v>0</v>
      </c>
      <c r="AO300">
        <f t="shared" si="122"/>
        <v>0</v>
      </c>
      <c r="AP300">
        <f t="shared" si="123"/>
        <v>0</v>
      </c>
      <c r="AQ300">
        <f t="shared" si="124"/>
        <v>0</v>
      </c>
      <c r="AR300">
        <f t="shared" si="125"/>
        <v>0</v>
      </c>
      <c r="AS300">
        <f t="shared" si="126"/>
        <v>0</v>
      </c>
      <c r="AT300">
        <f t="shared" si="127"/>
        <v>0</v>
      </c>
      <c r="AU300">
        <f t="shared" si="128"/>
        <v>1</v>
      </c>
      <c r="AV300">
        <f t="shared" si="129"/>
        <v>1</v>
      </c>
      <c r="AW300">
        <f t="shared" si="130"/>
        <v>1</v>
      </c>
      <c r="AX300">
        <f t="shared" si="131"/>
        <v>1</v>
      </c>
      <c r="AY300">
        <f t="shared" si="132"/>
        <v>60000</v>
      </c>
      <c r="AZ300">
        <f t="shared" si="133"/>
        <v>60000</v>
      </c>
      <c r="BA300">
        <f t="shared" si="134"/>
        <v>0</v>
      </c>
      <c r="BB300">
        <f t="shared" si="135"/>
        <v>0</v>
      </c>
      <c r="BC300">
        <f t="shared" si="136"/>
        <v>0</v>
      </c>
      <c r="BD300">
        <f t="shared" si="137"/>
        <v>0</v>
      </c>
      <c r="BE300">
        <f t="shared" si="138"/>
        <v>0</v>
      </c>
      <c r="BF300">
        <f t="shared" si="139"/>
        <v>0</v>
      </c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</row>
    <row r="301" spans="1:256" s="201" customFormat="1" ht="14.25" x14ac:dyDescent="0.2">
      <c r="A301" s="10">
        <v>3242</v>
      </c>
      <c r="B301" s="11" t="s">
        <v>421</v>
      </c>
      <c r="C301" s="105" t="s">
        <v>422</v>
      </c>
      <c r="D301" s="11" t="s">
        <v>157</v>
      </c>
      <c r="E301" s="12">
        <v>20289</v>
      </c>
      <c r="F301" s="202">
        <v>13</v>
      </c>
      <c r="G301" s="11">
        <v>25000</v>
      </c>
      <c r="H301" s="116">
        <v>0</v>
      </c>
      <c r="I301" s="192"/>
      <c r="J301" s="204"/>
      <c r="K301" s="193"/>
      <c r="L301" s="193"/>
      <c r="M301" s="193"/>
      <c r="N301" s="203">
        <f t="shared" si="112"/>
        <v>25000</v>
      </c>
      <c r="O301" s="203">
        <f t="shared" si="113"/>
        <v>25000</v>
      </c>
      <c r="P301" s="203">
        <f t="shared" si="114"/>
        <v>25000</v>
      </c>
      <c r="Q301" s="214"/>
      <c r="R301" s="215"/>
      <c r="S301" s="218">
        <v>45657</v>
      </c>
      <c r="T301" s="205"/>
      <c r="U301" s="205"/>
      <c r="V301" s="216"/>
      <c r="W301" s="212"/>
      <c r="X301" s="10">
        <v>7</v>
      </c>
      <c r="Y301" s="10">
        <v>7</v>
      </c>
      <c r="Z301" s="213">
        <f t="shared" si="115"/>
        <v>25000</v>
      </c>
      <c r="AA301" s="62"/>
      <c r="AB301" s="62"/>
      <c r="AC301" s="62"/>
      <c r="AD301" s="62"/>
      <c r="AE301" s="62"/>
      <c r="AF301" s="63"/>
      <c r="AG301" s="64"/>
      <c r="AH301" s="6">
        <v>1</v>
      </c>
      <c r="AI301">
        <f t="shared" si="116"/>
        <v>25</v>
      </c>
      <c r="AJ301">
        <f t="shared" si="117"/>
        <v>25</v>
      </c>
      <c r="AK301">
        <f t="shared" si="118"/>
        <v>0</v>
      </c>
      <c r="AL301">
        <f t="shared" si="119"/>
        <v>0</v>
      </c>
      <c r="AM301">
        <f t="shared" si="120"/>
        <v>0</v>
      </c>
      <c r="AN301">
        <f t="shared" si="121"/>
        <v>0</v>
      </c>
      <c r="AO301">
        <f t="shared" si="122"/>
        <v>0</v>
      </c>
      <c r="AP301">
        <f t="shared" si="123"/>
        <v>0</v>
      </c>
      <c r="AQ301">
        <f t="shared" si="124"/>
        <v>0</v>
      </c>
      <c r="AR301">
        <f t="shared" si="125"/>
        <v>0</v>
      </c>
      <c r="AS301">
        <f t="shared" si="126"/>
        <v>0</v>
      </c>
      <c r="AT301">
        <f t="shared" si="127"/>
        <v>0</v>
      </c>
      <c r="AU301">
        <f t="shared" si="128"/>
        <v>1</v>
      </c>
      <c r="AV301">
        <f t="shared" si="129"/>
        <v>1</v>
      </c>
      <c r="AW301">
        <f t="shared" si="130"/>
        <v>1</v>
      </c>
      <c r="AX301">
        <f t="shared" si="131"/>
        <v>1</v>
      </c>
      <c r="AY301">
        <f t="shared" si="132"/>
        <v>25000</v>
      </c>
      <c r="AZ301">
        <f t="shared" si="133"/>
        <v>25000</v>
      </c>
      <c r="BA301">
        <f t="shared" si="134"/>
        <v>0</v>
      </c>
      <c r="BB301">
        <f t="shared" si="135"/>
        <v>0</v>
      </c>
      <c r="BC301">
        <f t="shared" si="136"/>
        <v>0</v>
      </c>
      <c r="BD301">
        <f t="shared" si="137"/>
        <v>0</v>
      </c>
      <c r="BE301">
        <f t="shared" si="138"/>
        <v>0</v>
      </c>
      <c r="BF301">
        <f t="shared" si="139"/>
        <v>0</v>
      </c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</row>
    <row r="302" spans="1:256" s="201" customFormat="1" ht="14.25" x14ac:dyDescent="0.2">
      <c r="A302" s="10">
        <v>3245</v>
      </c>
      <c r="B302" s="11" t="s">
        <v>884</v>
      </c>
      <c r="C302" s="105" t="s">
        <v>885</v>
      </c>
      <c r="D302" s="11" t="s">
        <v>157</v>
      </c>
      <c r="E302" s="12">
        <v>20294</v>
      </c>
      <c r="F302" s="202">
        <v>13</v>
      </c>
      <c r="G302" s="11">
        <v>60000</v>
      </c>
      <c r="H302" s="116">
        <v>0</v>
      </c>
      <c r="I302" s="192"/>
      <c r="J302" s="204"/>
      <c r="K302" s="193"/>
      <c r="L302" s="193"/>
      <c r="M302" s="193"/>
      <c r="N302" s="203">
        <f t="shared" si="112"/>
        <v>60000</v>
      </c>
      <c r="O302" s="203">
        <f t="shared" si="113"/>
        <v>60000</v>
      </c>
      <c r="P302" s="203">
        <f t="shared" si="114"/>
        <v>60000</v>
      </c>
      <c r="Q302" s="214"/>
      <c r="R302" s="215"/>
      <c r="S302" s="218">
        <v>45635</v>
      </c>
      <c r="T302" s="205"/>
      <c r="U302" s="205"/>
      <c r="V302" s="216"/>
      <c r="W302" s="212"/>
      <c r="X302" s="10">
        <v>7</v>
      </c>
      <c r="Y302" s="10">
        <v>7</v>
      </c>
      <c r="Z302" s="213">
        <f t="shared" si="115"/>
        <v>60000</v>
      </c>
      <c r="AA302" s="62"/>
      <c r="AB302" s="62"/>
      <c r="AC302" s="62"/>
      <c r="AD302" s="62"/>
      <c r="AE302" s="62"/>
      <c r="AF302" s="63"/>
      <c r="AG302" s="64"/>
      <c r="AH302" s="6">
        <v>1</v>
      </c>
      <c r="AI302">
        <f t="shared" si="116"/>
        <v>25</v>
      </c>
      <c r="AJ302">
        <f t="shared" si="117"/>
        <v>25</v>
      </c>
      <c r="AK302">
        <f t="shared" si="118"/>
        <v>0</v>
      </c>
      <c r="AL302">
        <f t="shared" si="119"/>
        <v>0</v>
      </c>
      <c r="AM302">
        <f t="shared" si="120"/>
        <v>0</v>
      </c>
      <c r="AN302">
        <f t="shared" si="121"/>
        <v>0</v>
      </c>
      <c r="AO302">
        <f t="shared" si="122"/>
        <v>0</v>
      </c>
      <c r="AP302">
        <f t="shared" si="123"/>
        <v>0</v>
      </c>
      <c r="AQ302">
        <f t="shared" si="124"/>
        <v>0</v>
      </c>
      <c r="AR302">
        <f t="shared" si="125"/>
        <v>0</v>
      </c>
      <c r="AS302">
        <f t="shared" si="126"/>
        <v>0</v>
      </c>
      <c r="AT302">
        <f t="shared" si="127"/>
        <v>0</v>
      </c>
      <c r="AU302">
        <f t="shared" si="128"/>
        <v>1</v>
      </c>
      <c r="AV302">
        <f t="shared" si="129"/>
        <v>1</v>
      </c>
      <c r="AW302">
        <f t="shared" si="130"/>
        <v>1</v>
      </c>
      <c r="AX302">
        <f t="shared" si="131"/>
        <v>1</v>
      </c>
      <c r="AY302">
        <f t="shared" si="132"/>
        <v>60000</v>
      </c>
      <c r="AZ302">
        <f t="shared" si="133"/>
        <v>60000</v>
      </c>
      <c r="BA302">
        <f t="shared" si="134"/>
        <v>0</v>
      </c>
      <c r="BB302">
        <f t="shared" si="135"/>
        <v>0</v>
      </c>
      <c r="BC302">
        <f t="shared" si="136"/>
        <v>0</v>
      </c>
      <c r="BD302">
        <f t="shared" si="137"/>
        <v>0</v>
      </c>
      <c r="BE302">
        <f t="shared" si="138"/>
        <v>0</v>
      </c>
      <c r="BF302">
        <f t="shared" si="139"/>
        <v>0</v>
      </c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</row>
    <row r="303" spans="1:256" s="201" customFormat="1" ht="14.25" x14ac:dyDescent="0.2">
      <c r="A303" s="10">
        <v>3249</v>
      </c>
      <c r="B303" s="11" t="s">
        <v>886</v>
      </c>
      <c r="C303" s="105" t="s">
        <v>887</v>
      </c>
      <c r="D303" s="11" t="s">
        <v>157</v>
      </c>
      <c r="E303" s="12">
        <v>20300</v>
      </c>
      <c r="F303" s="202">
        <v>13</v>
      </c>
      <c r="G303" s="11">
        <v>60000</v>
      </c>
      <c r="H303" s="116">
        <v>0</v>
      </c>
      <c r="I303" s="192"/>
      <c r="J303" s="204"/>
      <c r="K303" s="193"/>
      <c r="L303" s="193"/>
      <c r="M303" s="193"/>
      <c r="N303" s="203">
        <f t="shared" si="112"/>
        <v>60000</v>
      </c>
      <c r="O303" s="203">
        <f t="shared" si="113"/>
        <v>60000</v>
      </c>
      <c r="P303" s="203">
        <f t="shared" si="114"/>
        <v>60000</v>
      </c>
      <c r="Q303" s="214">
        <v>45665</v>
      </c>
      <c r="R303" s="215"/>
      <c r="S303" s="218">
        <v>45635</v>
      </c>
      <c r="T303" s="205"/>
      <c r="U303" s="205"/>
      <c r="V303" s="216" t="s">
        <v>1131</v>
      </c>
      <c r="W303" s="212"/>
      <c r="X303" s="10">
        <v>7</v>
      </c>
      <c r="Y303" s="10">
        <v>7</v>
      </c>
      <c r="Z303" s="213">
        <f t="shared" si="115"/>
        <v>60000</v>
      </c>
      <c r="AA303" s="62"/>
      <c r="AB303" s="62"/>
      <c r="AC303" s="62"/>
      <c r="AD303" s="62"/>
      <c r="AE303" s="62"/>
      <c r="AF303" s="63"/>
      <c r="AG303" s="64"/>
      <c r="AH303" s="6">
        <v>1</v>
      </c>
      <c r="AI303">
        <f t="shared" si="116"/>
        <v>25</v>
      </c>
      <c r="AJ303">
        <f t="shared" si="117"/>
        <v>25</v>
      </c>
      <c r="AK303">
        <f t="shared" si="118"/>
        <v>0</v>
      </c>
      <c r="AL303">
        <f t="shared" si="119"/>
        <v>0</v>
      </c>
      <c r="AM303">
        <f t="shared" si="120"/>
        <v>0</v>
      </c>
      <c r="AN303">
        <f t="shared" si="121"/>
        <v>0</v>
      </c>
      <c r="AO303">
        <f t="shared" si="122"/>
        <v>0</v>
      </c>
      <c r="AP303">
        <f t="shared" si="123"/>
        <v>0</v>
      </c>
      <c r="AQ303">
        <f t="shared" si="124"/>
        <v>0</v>
      </c>
      <c r="AR303">
        <f t="shared" si="125"/>
        <v>0</v>
      </c>
      <c r="AS303">
        <f t="shared" si="126"/>
        <v>0</v>
      </c>
      <c r="AT303">
        <f t="shared" si="127"/>
        <v>0</v>
      </c>
      <c r="AU303">
        <f t="shared" si="128"/>
        <v>1</v>
      </c>
      <c r="AV303">
        <f t="shared" si="129"/>
        <v>1</v>
      </c>
      <c r="AW303">
        <f t="shared" si="130"/>
        <v>1</v>
      </c>
      <c r="AX303">
        <f t="shared" si="131"/>
        <v>1</v>
      </c>
      <c r="AY303">
        <f t="shared" si="132"/>
        <v>60000</v>
      </c>
      <c r="AZ303">
        <f t="shared" si="133"/>
        <v>60000</v>
      </c>
      <c r="BA303">
        <f t="shared" si="134"/>
        <v>0</v>
      </c>
      <c r="BB303">
        <f t="shared" si="135"/>
        <v>0</v>
      </c>
      <c r="BC303">
        <f t="shared" si="136"/>
        <v>0</v>
      </c>
      <c r="BD303">
        <f t="shared" si="137"/>
        <v>0</v>
      </c>
      <c r="BE303">
        <f t="shared" si="138"/>
        <v>0</v>
      </c>
      <c r="BF303">
        <f t="shared" si="139"/>
        <v>0</v>
      </c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1:256" s="201" customFormat="1" ht="14.25" x14ac:dyDescent="0.2">
      <c r="A304" s="10">
        <v>3250</v>
      </c>
      <c r="B304" s="11" t="s">
        <v>888</v>
      </c>
      <c r="C304" s="105" t="s">
        <v>889</v>
      </c>
      <c r="D304" s="11" t="s">
        <v>157</v>
      </c>
      <c r="E304" s="12">
        <v>20073</v>
      </c>
      <c r="F304" s="202">
        <v>12</v>
      </c>
      <c r="G304" s="11">
        <v>99999.99</v>
      </c>
      <c r="H304" s="116">
        <v>-3.0000000000000006E-2</v>
      </c>
      <c r="I304" s="192"/>
      <c r="J304" s="204"/>
      <c r="K304" s="193"/>
      <c r="L304" s="193"/>
      <c r="M304" s="193"/>
      <c r="N304" s="203">
        <f t="shared" si="112"/>
        <v>99999.99</v>
      </c>
      <c r="O304" s="203">
        <f t="shared" si="113"/>
        <v>99999.96</v>
      </c>
      <c r="P304" s="203">
        <f t="shared" si="114"/>
        <v>99999.96</v>
      </c>
      <c r="Q304" s="214">
        <v>45659</v>
      </c>
      <c r="R304" s="215"/>
      <c r="S304" s="218">
        <v>45628</v>
      </c>
      <c r="T304" s="205"/>
      <c r="U304" s="205"/>
      <c r="V304" s="216" t="s">
        <v>1131</v>
      </c>
      <c r="W304" s="212"/>
      <c r="X304" s="10">
        <v>7</v>
      </c>
      <c r="Y304" s="10">
        <v>7</v>
      </c>
      <c r="Z304" s="213">
        <f t="shared" si="115"/>
        <v>99999.99</v>
      </c>
      <c r="AA304" s="62"/>
      <c r="AB304" s="62"/>
      <c r="AC304" s="62"/>
      <c r="AD304" s="62"/>
      <c r="AE304" s="62"/>
      <c r="AF304" s="63"/>
      <c r="AG304" s="64"/>
      <c r="AH304" s="6">
        <v>1</v>
      </c>
      <c r="AI304">
        <f t="shared" si="116"/>
        <v>25</v>
      </c>
      <c r="AJ304">
        <f t="shared" si="117"/>
        <v>25</v>
      </c>
      <c r="AK304">
        <f t="shared" si="118"/>
        <v>0</v>
      </c>
      <c r="AL304">
        <f t="shared" si="119"/>
        <v>0</v>
      </c>
      <c r="AM304">
        <f t="shared" si="120"/>
        <v>0</v>
      </c>
      <c r="AN304">
        <f t="shared" si="121"/>
        <v>0</v>
      </c>
      <c r="AO304">
        <f t="shared" si="122"/>
        <v>0</v>
      </c>
      <c r="AP304">
        <f t="shared" si="123"/>
        <v>0</v>
      </c>
      <c r="AQ304">
        <f t="shared" si="124"/>
        <v>0</v>
      </c>
      <c r="AR304">
        <f t="shared" si="125"/>
        <v>0</v>
      </c>
      <c r="AS304">
        <f t="shared" si="126"/>
        <v>0</v>
      </c>
      <c r="AT304">
        <f t="shared" si="127"/>
        <v>0</v>
      </c>
      <c r="AU304">
        <f t="shared" si="128"/>
        <v>1</v>
      </c>
      <c r="AV304">
        <f t="shared" si="129"/>
        <v>1</v>
      </c>
      <c r="AW304">
        <f t="shared" si="130"/>
        <v>1</v>
      </c>
      <c r="AX304">
        <f t="shared" si="131"/>
        <v>1</v>
      </c>
      <c r="AY304">
        <f t="shared" si="132"/>
        <v>99999.96</v>
      </c>
      <c r="AZ304">
        <f t="shared" si="133"/>
        <v>99999.96</v>
      </c>
      <c r="BA304">
        <f t="shared" si="134"/>
        <v>0</v>
      </c>
      <c r="BB304">
        <f t="shared" si="135"/>
        <v>0</v>
      </c>
      <c r="BC304">
        <f t="shared" si="136"/>
        <v>0</v>
      </c>
      <c r="BD304">
        <f t="shared" si="137"/>
        <v>0</v>
      </c>
      <c r="BE304">
        <f t="shared" si="138"/>
        <v>0</v>
      </c>
      <c r="BF304">
        <f t="shared" si="139"/>
        <v>0</v>
      </c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</row>
    <row r="305" spans="1:256" s="201" customFormat="1" ht="14.25" x14ac:dyDescent="0.2">
      <c r="A305" s="10">
        <v>3251</v>
      </c>
      <c r="B305" s="11" t="s">
        <v>890</v>
      </c>
      <c r="C305" s="105" t="s">
        <v>891</v>
      </c>
      <c r="D305" s="11" t="s">
        <v>106</v>
      </c>
      <c r="E305" s="12">
        <v>20298</v>
      </c>
      <c r="F305" s="202">
        <v>12</v>
      </c>
      <c r="G305" s="11">
        <v>70000</v>
      </c>
      <c r="H305" s="116">
        <v>0</v>
      </c>
      <c r="I305" s="192"/>
      <c r="J305" s="204"/>
      <c r="K305" s="193"/>
      <c r="L305" s="193"/>
      <c r="M305" s="193"/>
      <c r="N305" s="203">
        <f t="shared" si="112"/>
        <v>70000</v>
      </c>
      <c r="O305" s="203">
        <f t="shared" si="113"/>
        <v>70000</v>
      </c>
      <c r="P305" s="203">
        <f t="shared" si="114"/>
        <v>70000</v>
      </c>
      <c r="Q305" s="214"/>
      <c r="R305" s="215"/>
      <c r="S305" s="218">
        <v>45630</v>
      </c>
      <c r="T305" s="205"/>
      <c r="U305" s="205"/>
      <c r="V305" s="216"/>
      <c r="W305" s="212"/>
      <c r="X305" s="10">
        <v>7</v>
      </c>
      <c r="Y305" s="10">
        <v>7</v>
      </c>
      <c r="Z305" s="213">
        <f t="shared" si="115"/>
        <v>70000</v>
      </c>
      <c r="AA305" s="62"/>
      <c r="AB305" s="62"/>
      <c r="AC305" s="62"/>
      <c r="AD305" s="62"/>
      <c r="AE305" s="62"/>
      <c r="AF305" s="63"/>
      <c r="AG305" s="64"/>
      <c r="AH305" s="6">
        <v>1</v>
      </c>
      <c r="AI305">
        <f t="shared" si="116"/>
        <v>25</v>
      </c>
      <c r="AJ305">
        <f t="shared" si="117"/>
        <v>25</v>
      </c>
      <c r="AK305">
        <f t="shared" si="118"/>
        <v>0</v>
      </c>
      <c r="AL305">
        <f t="shared" si="119"/>
        <v>0</v>
      </c>
      <c r="AM305">
        <f t="shared" si="120"/>
        <v>0</v>
      </c>
      <c r="AN305">
        <f t="shared" si="121"/>
        <v>0</v>
      </c>
      <c r="AO305">
        <f t="shared" si="122"/>
        <v>0</v>
      </c>
      <c r="AP305">
        <f t="shared" si="123"/>
        <v>0</v>
      </c>
      <c r="AQ305">
        <f t="shared" si="124"/>
        <v>0</v>
      </c>
      <c r="AR305">
        <f t="shared" si="125"/>
        <v>0</v>
      </c>
      <c r="AS305">
        <f t="shared" si="126"/>
        <v>0</v>
      </c>
      <c r="AT305">
        <f t="shared" si="127"/>
        <v>0</v>
      </c>
      <c r="AU305">
        <f t="shared" si="128"/>
        <v>1</v>
      </c>
      <c r="AV305">
        <f t="shared" si="129"/>
        <v>1</v>
      </c>
      <c r="AW305">
        <f t="shared" si="130"/>
        <v>1</v>
      </c>
      <c r="AX305">
        <f t="shared" si="131"/>
        <v>1</v>
      </c>
      <c r="AY305">
        <f t="shared" si="132"/>
        <v>70000</v>
      </c>
      <c r="AZ305">
        <f t="shared" si="133"/>
        <v>70000</v>
      </c>
      <c r="BA305">
        <f t="shared" si="134"/>
        <v>0</v>
      </c>
      <c r="BB305">
        <f t="shared" si="135"/>
        <v>0</v>
      </c>
      <c r="BC305">
        <f t="shared" si="136"/>
        <v>0</v>
      </c>
      <c r="BD305">
        <f t="shared" si="137"/>
        <v>0</v>
      </c>
      <c r="BE305">
        <f t="shared" si="138"/>
        <v>0</v>
      </c>
      <c r="BF305">
        <f t="shared" si="139"/>
        <v>0</v>
      </c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</row>
    <row r="306" spans="1:256" s="201" customFormat="1" ht="14.25" x14ac:dyDescent="0.2">
      <c r="A306" s="10">
        <v>3252</v>
      </c>
      <c r="B306" s="11" t="s">
        <v>892</v>
      </c>
      <c r="C306" s="105" t="s">
        <v>893</v>
      </c>
      <c r="D306" s="11" t="s">
        <v>106</v>
      </c>
      <c r="E306" s="12">
        <v>20074</v>
      </c>
      <c r="F306" s="202">
        <v>12</v>
      </c>
      <c r="G306" s="11">
        <v>80000</v>
      </c>
      <c r="H306" s="116">
        <v>0</v>
      </c>
      <c r="I306" s="192"/>
      <c r="J306" s="204"/>
      <c r="K306" s="193"/>
      <c r="L306" s="193"/>
      <c r="M306" s="193"/>
      <c r="N306" s="203">
        <f t="shared" si="112"/>
        <v>80000</v>
      </c>
      <c r="O306" s="203">
        <f t="shared" si="113"/>
        <v>80000</v>
      </c>
      <c r="P306" s="203">
        <f t="shared" si="114"/>
        <v>80000</v>
      </c>
      <c r="Q306" s="214">
        <v>45664</v>
      </c>
      <c r="R306" s="215"/>
      <c r="S306" s="218">
        <v>45635</v>
      </c>
      <c r="T306" s="205"/>
      <c r="U306" s="205"/>
      <c r="V306" s="216" t="s">
        <v>1131</v>
      </c>
      <c r="W306" s="212"/>
      <c r="X306" s="10">
        <v>7</v>
      </c>
      <c r="Y306" s="10">
        <v>7</v>
      </c>
      <c r="Z306" s="213">
        <f t="shared" si="115"/>
        <v>80000</v>
      </c>
      <c r="AA306" s="62"/>
      <c r="AB306" s="62"/>
      <c r="AC306" s="62"/>
      <c r="AD306" s="62"/>
      <c r="AE306" s="62"/>
      <c r="AF306" s="63"/>
      <c r="AG306" s="64"/>
      <c r="AH306" s="6">
        <v>1</v>
      </c>
      <c r="AI306">
        <f t="shared" si="116"/>
        <v>25</v>
      </c>
      <c r="AJ306">
        <f t="shared" si="117"/>
        <v>25</v>
      </c>
      <c r="AK306">
        <f t="shared" si="118"/>
        <v>0</v>
      </c>
      <c r="AL306">
        <f t="shared" si="119"/>
        <v>0</v>
      </c>
      <c r="AM306">
        <f t="shared" si="120"/>
        <v>0</v>
      </c>
      <c r="AN306">
        <f t="shared" si="121"/>
        <v>0</v>
      </c>
      <c r="AO306">
        <f t="shared" si="122"/>
        <v>0</v>
      </c>
      <c r="AP306">
        <f t="shared" si="123"/>
        <v>0</v>
      </c>
      <c r="AQ306">
        <f t="shared" si="124"/>
        <v>0</v>
      </c>
      <c r="AR306">
        <f t="shared" si="125"/>
        <v>0</v>
      </c>
      <c r="AS306">
        <f t="shared" si="126"/>
        <v>0</v>
      </c>
      <c r="AT306">
        <f t="shared" si="127"/>
        <v>0</v>
      </c>
      <c r="AU306">
        <f t="shared" si="128"/>
        <v>1</v>
      </c>
      <c r="AV306">
        <f t="shared" si="129"/>
        <v>1</v>
      </c>
      <c r="AW306">
        <f t="shared" si="130"/>
        <v>1</v>
      </c>
      <c r="AX306">
        <f t="shared" si="131"/>
        <v>1</v>
      </c>
      <c r="AY306">
        <f t="shared" si="132"/>
        <v>80000</v>
      </c>
      <c r="AZ306">
        <f t="shared" si="133"/>
        <v>80000</v>
      </c>
      <c r="BA306">
        <f t="shared" si="134"/>
        <v>0</v>
      </c>
      <c r="BB306">
        <f t="shared" si="135"/>
        <v>0</v>
      </c>
      <c r="BC306">
        <f t="shared" si="136"/>
        <v>0</v>
      </c>
      <c r="BD306">
        <f t="shared" si="137"/>
        <v>0</v>
      </c>
      <c r="BE306">
        <f t="shared" si="138"/>
        <v>0</v>
      </c>
      <c r="BF306">
        <f t="shared" si="139"/>
        <v>0</v>
      </c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</row>
    <row r="307" spans="1:256" s="201" customFormat="1" ht="14.25" x14ac:dyDescent="0.2">
      <c r="A307" s="10">
        <v>3259</v>
      </c>
      <c r="B307" s="11" t="s">
        <v>894</v>
      </c>
      <c r="C307" s="105" t="s">
        <v>895</v>
      </c>
      <c r="D307" s="11" t="s">
        <v>105</v>
      </c>
      <c r="E307" s="12">
        <v>20078</v>
      </c>
      <c r="F307" s="202">
        <v>12</v>
      </c>
      <c r="G307" s="11">
        <v>60000</v>
      </c>
      <c r="H307" s="116">
        <v>0</v>
      </c>
      <c r="I307" s="192"/>
      <c r="J307" s="204"/>
      <c r="K307" s="193"/>
      <c r="L307" s="193"/>
      <c r="M307" s="193"/>
      <c r="N307" s="203">
        <f t="shared" si="112"/>
        <v>60000</v>
      </c>
      <c r="O307" s="203">
        <f t="shared" si="113"/>
        <v>60000</v>
      </c>
      <c r="P307" s="203">
        <f t="shared" si="114"/>
        <v>60000</v>
      </c>
      <c r="Q307" s="214"/>
      <c r="R307" s="215"/>
      <c r="S307" s="218">
        <v>45642</v>
      </c>
      <c r="T307" s="205"/>
      <c r="U307" s="205"/>
      <c r="V307" s="216"/>
      <c r="W307" s="212"/>
      <c r="X307" s="10">
        <v>7</v>
      </c>
      <c r="Y307" s="10">
        <v>7</v>
      </c>
      <c r="Z307" s="213">
        <f t="shared" si="115"/>
        <v>60000</v>
      </c>
      <c r="AA307" s="62"/>
      <c r="AB307" s="62"/>
      <c r="AC307" s="62"/>
      <c r="AD307" s="62"/>
      <c r="AE307" s="62"/>
      <c r="AF307" s="63"/>
      <c r="AG307" s="64"/>
      <c r="AH307" s="6">
        <v>1</v>
      </c>
      <c r="AI307">
        <f t="shared" si="116"/>
        <v>25</v>
      </c>
      <c r="AJ307">
        <f t="shared" si="117"/>
        <v>25</v>
      </c>
      <c r="AK307">
        <f t="shared" si="118"/>
        <v>0</v>
      </c>
      <c r="AL307">
        <f t="shared" si="119"/>
        <v>0</v>
      </c>
      <c r="AM307">
        <f t="shared" si="120"/>
        <v>0</v>
      </c>
      <c r="AN307">
        <f t="shared" si="121"/>
        <v>0</v>
      </c>
      <c r="AO307">
        <f t="shared" si="122"/>
        <v>0</v>
      </c>
      <c r="AP307">
        <f t="shared" si="123"/>
        <v>0</v>
      </c>
      <c r="AQ307">
        <f t="shared" si="124"/>
        <v>0</v>
      </c>
      <c r="AR307">
        <f t="shared" si="125"/>
        <v>0</v>
      </c>
      <c r="AS307">
        <f t="shared" si="126"/>
        <v>0</v>
      </c>
      <c r="AT307">
        <f t="shared" si="127"/>
        <v>0</v>
      </c>
      <c r="AU307">
        <f t="shared" si="128"/>
        <v>1</v>
      </c>
      <c r="AV307">
        <f t="shared" si="129"/>
        <v>1</v>
      </c>
      <c r="AW307">
        <f t="shared" si="130"/>
        <v>1</v>
      </c>
      <c r="AX307">
        <f t="shared" si="131"/>
        <v>1</v>
      </c>
      <c r="AY307">
        <f t="shared" si="132"/>
        <v>60000</v>
      </c>
      <c r="AZ307">
        <f t="shared" si="133"/>
        <v>60000</v>
      </c>
      <c r="BA307">
        <f t="shared" si="134"/>
        <v>0</v>
      </c>
      <c r="BB307">
        <f t="shared" si="135"/>
        <v>0</v>
      </c>
      <c r="BC307">
        <f t="shared" si="136"/>
        <v>0</v>
      </c>
      <c r="BD307">
        <f t="shared" si="137"/>
        <v>0</v>
      </c>
      <c r="BE307">
        <f t="shared" si="138"/>
        <v>0</v>
      </c>
      <c r="BF307">
        <f t="shared" si="139"/>
        <v>0</v>
      </c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</row>
    <row r="308" spans="1:256" s="201" customFormat="1" ht="14.25" x14ac:dyDescent="0.2">
      <c r="A308" s="10">
        <v>3260</v>
      </c>
      <c r="B308" s="11" t="s">
        <v>896</v>
      </c>
      <c r="C308" s="105" t="s">
        <v>897</v>
      </c>
      <c r="D308" s="11" t="s">
        <v>105</v>
      </c>
      <c r="E308" s="12">
        <v>20086</v>
      </c>
      <c r="F308" s="202">
        <v>12</v>
      </c>
      <c r="G308" s="11">
        <v>70000</v>
      </c>
      <c r="H308" s="116">
        <v>0</v>
      </c>
      <c r="I308" s="192"/>
      <c r="J308" s="204"/>
      <c r="K308" s="193"/>
      <c r="L308" s="193"/>
      <c r="M308" s="193"/>
      <c r="N308" s="203">
        <f t="shared" si="112"/>
        <v>70000</v>
      </c>
      <c r="O308" s="203">
        <f t="shared" si="113"/>
        <v>70000</v>
      </c>
      <c r="P308" s="203">
        <f t="shared" si="114"/>
        <v>70000</v>
      </c>
      <c r="Q308" s="214"/>
      <c r="R308" s="215"/>
      <c r="S308" s="218">
        <v>45649</v>
      </c>
      <c r="T308" s="205"/>
      <c r="U308" s="205"/>
      <c r="V308" s="216"/>
      <c r="W308" s="212"/>
      <c r="X308" s="10">
        <v>7</v>
      </c>
      <c r="Y308" s="10">
        <v>7</v>
      </c>
      <c r="Z308" s="213">
        <f t="shared" si="115"/>
        <v>70000</v>
      </c>
      <c r="AA308" s="62"/>
      <c r="AB308" s="62"/>
      <c r="AC308" s="62"/>
      <c r="AD308" s="62"/>
      <c r="AE308" s="62"/>
      <c r="AF308" s="63"/>
      <c r="AG308" s="64"/>
      <c r="AH308" s="6">
        <v>1</v>
      </c>
      <c r="AI308">
        <f t="shared" si="116"/>
        <v>25</v>
      </c>
      <c r="AJ308">
        <f t="shared" si="117"/>
        <v>25</v>
      </c>
      <c r="AK308">
        <f t="shared" si="118"/>
        <v>0</v>
      </c>
      <c r="AL308">
        <f t="shared" si="119"/>
        <v>0</v>
      </c>
      <c r="AM308">
        <f t="shared" si="120"/>
        <v>0</v>
      </c>
      <c r="AN308">
        <f t="shared" si="121"/>
        <v>0</v>
      </c>
      <c r="AO308">
        <f t="shared" si="122"/>
        <v>0</v>
      </c>
      <c r="AP308">
        <f t="shared" si="123"/>
        <v>0</v>
      </c>
      <c r="AQ308">
        <f t="shared" si="124"/>
        <v>0</v>
      </c>
      <c r="AR308">
        <f t="shared" si="125"/>
        <v>0</v>
      </c>
      <c r="AS308">
        <f t="shared" si="126"/>
        <v>0</v>
      </c>
      <c r="AT308">
        <f t="shared" si="127"/>
        <v>0</v>
      </c>
      <c r="AU308">
        <f t="shared" si="128"/>
        <v>1</v>
      </c>
      <c r="AV308">
        <f t="shared" si="129"/>
        <v>1</v>
      </c>
      <c r="AW308">
        <f t="shared" si="130"/>
        <v>1</v>
      </c>
      <c r="AX308">
        <f t="shared" si="131"/>
        <v>1</v>
      </c>
      <c r="AY308">
        <f t="shared" si="132"/>
        <v>70000</v>
      </c>
      <c r="AZ308">
        <f t="shared" si="133"/>
        <v>70000</v>
      </c>
      <c r="BA308">
        <f t="shared" si="134"/>
        <v>0</v>
      </c>
      <c r="BB308">
        <f t="shared" si="135"/>
        <v>0</v>
      </c>
      <c r="BC308">
        <f t="shared" si="136"/>
        <v>0</v>
      </c>
      <c r="BD308">
        <f t="shared" si="137"/>
        <v>0</v>
      </c>
      <c r="BE308">
        <f t="shared" si="138"/>
        <v>0</v>
      </c>
      <c r="BF308">
        <f t="shared" si="139"/>
        <v>0</v>
      </c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</row>
    <row r="309" spans="1:256" s="201" customFormat="1" ht="14.25" x14ac:dyDescent="0.2">
      <c r="A309" s="10">
        <v>3262</v>
      </c>
      <c r="B309" s="11" t="s">
        <v>898</v>
      </c>
      <c r="C309" s="105" t="s">
        <v>899</v>
      </c>
      <c r="D309" s="11" t="s">
        <v>105</v>
      </c>
      <c r="E309" s="12">
        <v>20084</v>
      </c>
      <c r="F309" s="202">
        <v>12</v>
      </c>
      <c r="G309" s="11">
        <v>60000</v>
      </c>
      <c r="H309" s="116">
        <v>0</v>
      </c>
      <c r="I309" s="192"/>
      <c r="J309" s="204"/>
      <c r="K309" s="193"/>
      <c r="L309" s="193"/>
      <c r="M309" s="193"/>
      <c r="N309" s="203">
        <f t="shared" si="112"/>
        <v>60000</v>
      </c>
      <c r="O309" s="203">
        <f t="shared" si="113"/>
        <v>60000</v>
      </c>
      <c r="P309" s="203">
        <f t="shared" si="114"/>
        <v>60000</v>
      </c>
      <c r="Q309" s="214"/>
      <c r="R309" s="215"/>
      <c r="S309" s="218">
        <v>45633</v>
      </c>
      <c r="T309" s="205"/>
      <c r="U309" s="205"/>
      <c r="V309" s="216"/>
      <c r="W309" s="212"/>
      <c r="X309" s="10">
        <v>7</v>
      </c>
      <c r="Y309" s="10">
        <v>7</v>
      </c>
      <c r="Z309" s="213">
        <f t="shared" si="115"/>
        <v>60000</v>
      </c>
      <c r="AA309" s="62"/>
      <c r="AB309" s="62"/>
      <c r="AC309" s="62"/>
      <c r="AD309" s="62"/>
      <c r="AE309" s="62"/>
      <c r="AF309" s="63"/>
      <c r="AG309" s="64"/>
      <c r="AH309" s="6">
        <v>1</v>
      </c>
      <c r="AI309">
        <f t="shared" si="116"/>
        <v>25</v>
      </c>
      <c r="AJ309">
        <f t="shared" si="117"/>
        <v>25</v>
      </c>
      <c r="AK309">
        <f t="shared" si="118"/>
        <v>0</v>
      </c>
      <c r="AL309">
        <f t="shared" si="119"/>
        <v>0</v>
      </c>
      <c r="AM309">
        <f t="shared" si="120"/>
        <v>0</v>
      </c>
      <c r="AN309">
        <f t="shared" si="121"/>
        <v>0</v>
      </c>
      <c r="AO309">
        <f t="shared" si="122"/>
        <v>0</v>
      </c>
      <c r="AP309">
        <f t="shared" si="123"/>
        <v>0</v>
      </c>
      <c r="AQ309">
        <f t="shared" si="124"/>
        <v>0</v>
      </c>
      <c r="AR309">
        <f t="shared" si="125"/>
        <v>0</v>
      </c>
      <c r="AS309">
        <f t="shared" si="126"/>
        <v>0</v>
      </c>
      <c r="AT309">
        <f t="shared" si="127"/>
        <v>0</v>
      </c>
      <c r="AU309">
        <f t="shared" si="128"/>
        <v>1</v>
      </c>
      <c r="AV309">
        <f t="shared" si="129"/>
        <v>1</v>
      </c>
      <c r="AW309">
        <f t="shared" si="130"/>
        <v>1</v>
      </c>
      <c r="AX309">
        <f t="shared" si="131"/>
        <v>1</v>
      </c>
      <c r="AY309">
        <f t="shared" si="132"/>
        <v>60000</v>
      </c>
      <c r="AZ309">
        <f t="shared" si="133"/>
        <v>60000</v>
      </c>
      <c r="BA309">
        <f t="shared" si="134"/>
        <v>0</v>
      </c>
      <c r="BB309">
        <f t="shared" si="135"/>
        <v>0</v>
      </c>
      <c r="BC309">
        <f t="shared" si="136"/>
        <v>0</v>
      </c>
      <c r="BD309">
        <f t="shared" si="137"/>
        <v>0</v>
      </c>
      <c r="BE309">
        <f t="shared" si="138"/>
        <v>0</v>
      </c>
      <c r="BF309">
        <f t="shared" si="139"/>
        <v>0</v>
      </c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</row>
    <row r="310" spans="1:256" s="201" customFormat="1" ht="14.25" x14ac:dyDescent="0.2">
      <c r="A310" s="10">
        <v>3264</v>
      </c>
      <c r="B310" s="11" t="s">
        <v>423</v>
      </c>
      <c r="C310" s="105" t="s">
        <v>417</v>
      </c>
      <c r="D310" s="11" t="s">
        <v>157</v>
      </c>
      <c r="E310" s="12">
        <v>3973</v>
      </c>
      <c r="F310" s="202">
        <v>12</v>
      </c>
      <c r="G310" s="11">
        <v>35000</v>
      </c>
      <c r="H310" s="116">
        <v>35000</v>
      </c>
      <c r="I310" s="192"/>
      <c r="J310" s="204"/>
      <c r="K310" s="193"/>
      <c r="L310" s="193"/>
      <c r="M310" s="193"/>
      <c r="N310" s="203">
        <f t="shared" si="112"/>
        <v>70000</v>
      </c>
      <c r="O310" s="203">
        <f t="shared" si="113"/>
        <v>70000</v>
      </c>
      <c r="P310" s="203">
        <f t="shared" si="114"/>
        <v>70000</v>
      </c>
      <c r="Q310" s="214"/>
      <c r="R310" s="215"/>
      <c r="S310" s="218">
        <v>45626</v>
      </c>
      <c r="T310" s="205"/>
      <c r="U310" s="205"/>
      <c r="V310" s="216"/>
      <c r="W310" s="212"/>
      <c r="X310" s="10">
        <v>7</v>
      </c>
      <c r="Y310" s="10">
        <v>7</v>
      </c>
      <c r="Z310" s="213">
        <f t="shared" si="115"/>
        <v>70000</v>
      </c>
      <c r="AA310" s="62"/>
      <c r="AB310" s="62"/>
      <c r="AC310" s="62"/>
      <c r="AD310" s="62"/>
      <c r="AE310" s="62"/>
      <c r="AF310" s="63"/>
      <c r="AG310" s="64"/>
      <c r="AH310" s="6">
        <v>1</v>
      </c>
      <c r="AI310">
        <f t="shared" si="116"/>
        <v>25</v>
      </c>
      <c r="AJ310">
        <f t="shared" si="117"/>
        <v>25</v>
      </c>
      <c r="AK310">
        <f t="shared" si="118"/>
        <v>0</v>
      </c>
      <c r="AL310">
        <f t="shared" si="119"/>
        <v>0</v>
      </c>
      <c r="AM310">
        <f t="shared" si="120"/>
        <v>0</v>
      </c>
      <c r="AN310">
        <f t="shared" si="121"/>
        <v>0</v>
      </c>
      <c r="AO310">
        <f t="shared" si="122"/>
        <v>0</v>
      </c>
      <c r="AP310">
        <f t="shared" si="123"/>
        <v>0</v>
      </c>
      <c r="AQ310">
        <f t="shared" si="124"/>
        <v>0</v>
      </c>
      <c r="AR310">
        <f t="shared" si="125"/>
        <v>0</v>
      </c>
      <c r="AS310">
        <f t="shared" si="126"/>
        <v>0</v>
      </c>
      <c r="AT310">
        <f t="shared" si="127"/>
        <v>0</v>
      </c>
      <c r="AU310">
        <f t="shared" si="128"/>
        <v>1</v>
      </c>
      <c r="AV310">
        <f t="shared" si="129"/>
        <v>1</v>
      </c>
      <c r="AW310">
        <f t="shared" si="130"/>
        <v>1</v>
      </c>
      <c r="AX310">
        <f t="shared" si="131"/>
        <v>1</v>
      </c>
      <c r="AY310">
        <f t="shared" si="132"/>
        <v>70000</v>
      </c>
      <c r="AZ310">
        <f t="shared" si="133"/>
        <v>70000</v>
      </c>
      <c r="BA310">
        <f t="shared" si="134"/>
        <v>0</v>
      </c>
      <c r="BB310">
        <f t="shared" si="135"/>
        <v>0</v>
      </c>
      <c r="BC310">
        <f t="shared" si="136"/>
        <v>0</v>
      </c>
      <c r="BD310">
        <f t="shared" si="137"/>
        <v>0</v>
      </c>
      <c r="BE310">
        <f t="shared" si="138"/>
        <v>0</v>
      </c>
      <c r="BF310">
        <f t="shared" si="139"/>
        <v>0</v>
      </c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</row>
    <row r="311" spans="1:256" s="201" customFormat="1" ht="14.25" x14ac:dyDescent="0.2">
      <c r="A311" s="10">
        <v>3265</v>
      </c>
      <c r="B311" s="11" t="s">
        <v>900</v>
      </c>
      <c r="C311" s="105" t="s">
        <v>901</v>
      </c>
      <c r="D311" s="11" t="s">
        <v>420</v>
      </c>
      <c r="E311" s="12">
        <v>20088</v>
      </c>
      <c r="F311" s="202">
        <v>12</v>
      </c>
      <c r="G311" s="11">
        <v>70000</v>
      </c>
      <c r="H311" s="116">
        <v>-10000</v>
      </c>
      <c r="I311" s="192"/>
      <c r="J311" s="204"/>
      <c r="K311" s="193"/>
      <c r="L311" s="193"/>
      <c r="M311" s="193"/>
      <c r="N311" s="203">
        <f t="shared" si="112"/>
        <v>70000</v>
      </c>
      <c r="O311" s="203">
        <f t="shared" si="113"/>
        <v>60000</v>
      </c>
      <c r="P311" s="203">
        <f t="shared" si="114"/>
        <v>60000</v>
      </c>
      <c r="Q311" s="214"/>
      <c r="R311" s="215"/>
      <c r="S311" s="218">
        <v>45635</v>
      </c>
      <c r="T311" s="205"/>
      <c r="U311" s="205"/>
      <c r="V311" s="216"/>
      <c r="W311" s="212"/>
      <c r="X311" s="10">
        <v>7</v>
      </c>
      <c r="Y311" s="10">
        <v>7</v>
      </c>
      <c r="Z311" s="213">
        <f t="shared" si="115"/>
        <v>70000</v>
      </c>
      <c r="AA311" s="62"/>
      <c r="AB311" s="62"/>
      <c r="AC311" s="62"/>
      <c r="AD311" s="62"/>
      <c r="AE311" s="62"/>
      <c r="AF311" s="63"/>
      <c r="AG311" s="64"/>
      <c r="AH311" s="6">
        <v>1</v>
      </c>
      <c r="AI311">
        <f t="shared" si="116"/>
        <v>25</v>
      </c>
      <c r="AJ311">
        <f t="shared" si="117"/>
        <v>25</v>
      </c>
      <c r="AK311">
        <f t="shared" si="118"/>
        <v>0</v>
      </c>
      <c r="AL311">
        <f t="shared" si="119"/>
        <v>0</v>
      </c>
      <c r="AM311">
        <f t="shared" si="120"/>
        <v>0</v>
      </c>
      <c r="AN311">
        <f t="shared" si="121"/>
        <v>0</v>
      </c>
      <c r="AO311">
        <f t="shared" si="122"/>
        <v>0</v>
      </c>
      <c r="AP311">
        <f t="shared" si="123"/>
        <v>0</v>
      </c>
      <c r="AQ311">
        <f t="shared" si="124"/>
        <v>0</v>
      </c>
      <c r="AR311">
        <f t="shared" si="125"/>
        <v>0</v>
      </c>
      <c r="AS311">
        <f t="shared" si="126"/>
        <v>0</v>
      </c>
      <c r="AT311">
        <f t="shared" si="127"/>
        <v>0</v>
      </c>
      <c r="AU311">
        <f t="shared" si="128"/>
        <v>1</v>
      </c>
      <c r="AV311">
        <f t="shared" si="129"/>
        <v>1</v>
      </c>
      <c r="AW311">
        <f t="shared" si="130"/>
        <v>1</v>
      </c>
      <c r="AX311">
        <f t="shared" si="131"/>
        <v>1</v>
      </c>
      <c r="AY311">
        <f t="shared" si="132"/>
        <v>60000</v>
      </c>
      <c r="AZ311">
        <f t="shared" si="133"/>
        <v>60000</v>
      </c>
      <c r="BA311">
        <f t="shared" si="134"/>
        <v>0</v>
      </c>
      <c r="BB311">
        <f t="shared" si="135"/>
        <v>0</v>
      </c>
      <c r="BC311">
        <f t="shared" si="136"/>
        <v>0</v>
      </c>
      <c r="BD311">
        <f t="shared" si="137"/>
        <v>0</v>
      </c>
      <c r="BE311">
        <f t="shared" si="138"/>
        <v>0</v>
      </c>
      <c r="BF311">
        <f t="shared" si="139"/>
        <v>0</v>
      </c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</row>
    <row r="312" spans="1:256" s="201" customFormat="1" ht="14.25" x14ac:dyDescent="0.2">
      <c r="A312" s="10">
        <v>3267</v>
      </c>
      <c r="B312" s="11" t="s">
        <v>662</v>
      </c>
      <c r="C312" s="105" t="s">
        <v>902</v>
      </c>
      <c r="D312" s="11" t="s">
        <v>620</v>
      </c>
      <c r="E312" s="12">
        <v>3974</v>
      </c>
      <c r="F312" s="202">
        <v>12</v>
      </c>
      <c r="G312" s="11">
        <v>55000</v>
      </c>
      <c r="H312" s="116">
        <v>0</v>
      </c>
      <c r="I312" s="192"/>
      <c r="J312" s="204"/>
      <c r="K312" s="193"/>
      <c r="L312" s="193"/>
      <c r="M312" s="193"/>
      <c r="N312" s="203">
        <f t="shared" si="112"/>
        <v>55000</v>
      </c>
      <c r="O312" s="203">
        <f t="shared" si="113"/>
        <v>55000</v>
      </c>
      <c r="P312" s="203">
        <f t="shared" si="114"/>
        <v>55000</v>
      </c>
      <c r="Q312" s="214"/>
      <c r="R312" s="215"/>
      <c r="S312" s="218">
        <v>45638</v>
      </c>
      <c r="T312" s="205"/>
      <c r="U312" s="205"/>
      <c r="V312" s="216"/>
      <c r="W312" s="212"/>
      <c r="X312" s="10">
        <v>7</v>
      </c>
      <c r="Y312" s="10">
        <v>7</v>
      </c>
      <c r="Z312" s="213">
        <f t="shared" si="115"/>
        <v>55000</v>
      </c>
      <c r="AA312" s="62"/>
      <c r="AB312" s="62"/>
      <c r="AC312" s="62"/>
      <c r="AD312" s="62"/>
      <c r="AE312" s="62"/>
      <c r="AF312" s="63"/>
      <c r="AG312" s="64"/>
      <c r="AH312" s="6">
        <v>1</v>
      </c>
      <c r="AI312">
        <f t="shared" si="116"/>
        <v>25</v>
      </c>
      <c r="AJ312">
        <f t="shared" si="117"/>
        <v>25</v>
      </c>
      <c r="AK312">
        <f t="shared" si="118"/>
        <v>0</v>
      </c>
      <c r="AL312">
        <f t="shared" si="119"/>
        <v>0</v>
      </c>
      <c r="AM312">
        <f t="shared" si="120"/>
        <v>0</v>
      </c>
      <c r="AN312">
        <f t="shared" si="121"/>
        <v>0</v>
      </c>
      <c r="AO312">
        <f t="shared" si="122"/>
        <v>0</v>
      </c>
      <c r="AP312">
        <f t="shared" si="123"/>
        <v>0</v>
      </c>
      <c r="AQ312">
        <f t="shared" si="124"/>
        <v>0</v>
      </c>
      <c r="AR312">
        <f t="shared" si="125"/>
        <v>0</v>
      </c>
      <c r="AS312">
        <f t="shared" si="126"/>
        <v>0</v>
      </c>
      <c r="AT312">
        <f t="shared" si="127"/>
        <v>0</v>
      </c>
      <c r="AU312">
        <f t="shared" si="128"/>
        <v>1</v>
      </c>
      <c r="AV312">
        <f t="shared" si="129"/>
        <v>1</v>
      </c>
      <c r="AW312">
        <f t="shared" si="130"/>
        <v>1</v>
      </c>
      <c r="AX312">
        <f t="shared" si="131"/>
        <v>1</v>
      </c>
      <c r="AY312">
        <f t="shared" si="132"/>
        <v>55000</v>
      </c>
      <c r="AZ312">
        <f t="shared" si="133"/>
        <v>55000</v>
      </c>
      <c r="BA312">
        <f t="shared" si="134"/>
        <v>0</v>
      </c>
      <c r="BB312">
        <f t="shared" si="135"/>
        <v>0</v>
      </c>
      <c r="BC312">
        <f t="shared" si="136"/>
        <v>0</v>
      </c>
      <c r="BD312">
        <f t="shared" si="137"/>
        <v>0</v>
      </c>
      <c r="BE312">
        <f t="shared" si="138"/>
        <v>0</v>
      </c>
      <c r="BF312">
        <f t="shared" si="139"/>
        <v>0</v>
      </c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1:256" s="201" customFormat="1" ht="14.25" x14ac:dyDescent="0.2">
      <c r="A313" s="10">
        <v>3269</v>
      </c>
      <c r="B313" s="11" t="s">
        <v>903</v>
      </c>
      <c r="C313" s="105" t="s">
        <v>904</v>
      </c>
      <c r="D313" s="11" t="s">
        <v>620</v>
      </c>
      <c r="E313" s="12">
        <v>20093</v>
      </c>
      <c r="F313" s="202">
        <v>11</v>
      </c>
      <c r="G313" s="11">
        <v>80000</v>
      </c>
      <c r="H313" s="116">
        <v>0</v>
      </c>
      <c r="I313" s="192"/>
      <c r="J313" s="204"/>
      <c r="K313" s="193"/>
      <c r="L313" s="193"/>
      <c r="M313" s="193"/>
      <c r="N313" s="203">
        <f t="shared" si="112"/>
        <v>80000</v>
      </c>
      <c r="O313" s="203">
        <f t="shared" si="113"/>
        <v>80000</v>
      </c>
      <c r="P313" s="203">
        <f t="shared" si="114"/>
        <v>80000</v>
      </c>
      <c r="Q313" s="214"/>
      <c r="R313" s="215"/>
      <c r="S313" s="218">
        <v>45649</v>
      </c>
      <c r="T313" s="205"/>
      <c r="U313" s="205"/>
      <c r="V313" s="216"/>
      <c r="W313" s="212"/>
      <c r="X313" s="10">
        <v>7</v>
      </c>
      <c r="Y313" s="10">
        <v>7</v>
      </c>
      <c r="Z313" s="213">
        <f t="shared" si="115"/>
        <v>80000</v>
      </c>
      <c r="AA313" s="62"/>
      <c r="AB313" s="62"/>
      <c r="AC313" s="62"/>
      <c r="AD313" s="62"/>
      <c r="AE313" s="62"/>
      <c r="AF313" s="63"/>
      <c r="AG313" s="64"/>
      <c r="AH313" s="6">
        <v>1</v>
      </c>
      <c r="AI313">
        <f t="shared" si="116"/>
        <v>25</v>
      </c>
      <c r="AJ313">
        <f t="shared" si="117"/>
        <v>25</v>
      </c>
      <c r="AK313">
        <f t="shared" si="118"/>
        <v>0</v>
      </c>
      <c r="AL313">
        <f t="shared" si="119"/>
        <v>0</v>
      </c>
      <c r="AM313">
        <f t="shared" si="120"/>
        <v>0</v>
      </c>
      <c r="AN313">
        <f t="shared" si="121"/>
        <v>0</v>
      </c>
      <c r="AO313">
        <f t="shared" si="122"/>
        <v>0</v>
      </c>
      <c r="AP313">
        <f t="shared" si="123"/>
        <v>0</v>
      </c>
      <c r="AQ313">
        <f t="shared" si="124"/>
        <v>0</v>
      </c>
      <c r="AR313">
        <f t="shared" si="125"/>
        <v>0</v>
      </c>
      <c r="AS313">
        <f t="shared" si="126"/>
        <v>0</v>
      </c>
      <c r="AT313">
        <f t="shared" si="127"/>
        <v>0</v>
      </c>
      <c r="AU313">
        <f t="shared" si="128"/>
        <v>1</v>
      </c>
      <c r="AV313">
        <f t="shared" si="129"/>
        <v>1</v>
      </c>
      <c r="AW313">
        <f t="shared" si="130"/>
        <v>1</v>
      </c>
      <c r="AX313">
        <f t="shared" si="131"/>
        <v>1</v>
      </c>
      <c r="AY313">
        <f t="shared" si="132"/>
        <v>80000</v>
      </c>
      <c r="AZ313">
        <f t="shared" si="133"/>
        <v>80000</v>
      </c>
      <c r="BA313">
        <f t="shared" si="134"/>
        <v>0</v>
      </c>
      <c r="BB313">
        <f t="shared" si="135"/>
        <v>0</v>
      </c>
      <c r="BC313">
        <f t="shared" si="136"/>
        <v>0</v>
      </c>
      <c r="BD313">
        <f t="shared" si="137"/>
        <v>0</v>
      </c>
      <c r="BE313">
        <f t="shared" si="138"/>
        <v>0</v>
      </c>
      <c r="BF313">
        <f t="shared" si="139"/>
        <v>0</v>
      </c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</row>
    <row r="314" spans="1:256" s="201" customFormat="1" ht="14.25" x14ac:dyDescent="0.2">
      <c r="A314" s="10">
        <v>3271</v>
      </c>
      <c r="B314" s="11" t="s">
        <v>424</v>
      </c>
      <c r="C314" s="105" t="s">
        <v>425</v>
      </c>
      <c r="D314" s="11" t="s">
        <v>259</v>
      </c>
      <c r="E314" s="12">
        <v>20297</v>
      </c>
      <c r="F314" s="202">
        <v>11</v>
      </c>
      <c r="G314" s="11">
        <v>65000</v>
      </c>
      <c r="H314" s="116">
        <v>0</v>
      </c>
      <c r="I314" s="192"/>
      <c r="J314" s="204"/>
      <c r="K314" s="193"/>
      <c r="L314" s="193"/>
      <c r="M314" s="193"/>
      <c r="N314" s="203">
        <f t="shared" si="112"/>
        <v>65000</v>
      </c>
      <c r="O314" s="203">
        <f t="shared" si="113"/>
        <v>65000</v>
      </c>
      <c r="P314" s="203">
        <f t="shared" si="114"/>
        <v>65000</v>
      </c>
      <c r="Q314" s="214"/>
      <c r="R314" s="215"/>
      <c r="S314" s="218">
        <v>45636</v>
      </c>
      <c r="T314" s="205"/>
      <c r="U314" s="205"/>
      <c r="V314" s="216"/>
      <c r="W314" s="212"/>
      <c r="X314" s="10">
        <v>7</v>
      </c>
      <c r="Y314" s="10">
        <v>7</v>
      </c>
      <c r="Z314" s="213">
        <f t="shared" si="115"/>
        <v>65000</v>
      </c>
      <c r="AA314" s="62"/>
      <c r="AB314" s="62"/>
      <c r="AC314" s="62"/>
      <c r="AD314" s="62"/>
      <c r="AE314" s="62"/>
      <c r="AF314" s="63"/>
      <c r="AG314" s="64"/>
      <c r="AH314" s="6">
        <v>1</v>
      </c>
      <c r="AI314">
        <f t="shared" si="116"/>
        <v>25</v>
      </c>
      <c r="AJ314">
        <f t="shared" si="117"/>
        <v>25</v>
      </c>
      <c r="AK314">
        <f t="shared" si="118"/>
        <v>0</v>
      </c>
      <c r="AL314">
        <f t="shared" si="119"/>
        <v>0</v>
      </c>
      <c r="AM314">
        <f t="shared" si="120"/>
        <v>0</v>
      </c>
      <c r="AN314">
        <f t="shared" si="121"/>
        <v>0</v>
      </c>
      <c r="AO314">
        <f t="shared" si="122"/>
        <v>0</v>
      </c>
      <c r="AP314">
        <f t="shared" si="123"/>
        <v>0</v>
      </c>
      <c r="AQ314">
        <f t="shared" si="124"/>
        <v>0</v>
      </c>
      <c r="AR314">
        <f t="shared" si="125"/>
        <v>0</v>
      </c>
      <c r="AS314">
        <f t="shared" si="126"/>
        <v>0</v>
      </c>
      <c r="AT314">
        <f t="shared" si="127"/>
        <v>0</v>
      </c>
      <c r="AU314">
        <f t="shared" si="128"/>
        <v>1</v>
      </c>
      <c r="AV314">
        <f t="shared" si="129"/>
        <v>1</v>
      </c>
      <c r="AW314">
        <f t="shared" si="130"/>
        <v>1</v>
      </c>
      <c r="AX314">
        <f t="shared" si="131"/>
        <v>1</v>
      </c>
      <c r="AY314">
        <f t="shared" si="132"/>
        <v>65000</v>
      </c>
      <c r="AZ314">
        <f t="shared" si="133"/>
        <v>65000</v>
      </c>
      <c r="BA314">
        <f t="shared" si="134"/>
        <v>0</v>
      </c>
      <c r="BB314">
        <f t="shared" si="135"/>
        <v>0</v>
      </c>
      <c r="BC314">
        <f t="shared" si="136"/>
        <v>0</v>
      </c>
      <c r="BD314">
        <f t="shared" si="137"/>
        <v>0</v>
      </c>
      <c r="BE314">
        <f t="shared" si="138"/>
        <v>0</v>
      </c>
      <c r="BF314">
        <f t="shared" si="139"/>
        <v>0</v>
      </c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</row>
    <row r="315" spans="1:256" s="201" customFormat="1" ht="14.25" x14ac:dyDescent="0.2">
      <c r="A315" s="10">
        <v>3272</v>
      </c>
      <c r="B315" s="11" t="s">
        <v>905</v>
      </c>
      <c r="C315" s="105" t="s">
        <v>906</v>
      </c>
      <c r="D315" s="11" t="s">
        <v>106</v>
      </c>
      <c r="E315" s="12">
        <v>20099</v>
      </c>
      <c r="F315" s="202">
        <v>11</v>
      </c>
      <c r="G315" s="11">
        <v>90000</v>
      </c>
      <c r="H315" s="116">
        <v>0</v>
      </c>
      <c r="I315" s="192"/>
      <c r="J315" s="204"/>
      <c r="K315" s="193"/>
      <c r="L315" s="193"/>
      <c r="M315" s="193"/>
      <c r="N315" s="203">
        <f t="shared" si="112"/>
        <v>90000</v>
      </c>
      <c r="O315" s="203">
        <f t="shared" si="113"/>
        <v>90000</v>
      </c>
      <c r="P315" s="203">
        <f t="shared" si="114"/>
        <v>90000</v>
      </c>
      <c r="Q315" s="214">
        <v>45659</v>
      </c>
      <c r="R315" s="215"/>
      <c r="S315" s="218">
        <v>45630</v>
      </c>
      <c r="T315" s="205"/>
      <c r="U315" s="205"/>
      <c r="V315" s="216" t="s">
        <v>1131</v>
      </c>
      <c r="W315" s="212"/>
      <c r="X315" s="10">
        <v>7</v>
      </c>
      <c r="Y315" s="10">
        <v>7</v>
      </c>
      <c r="Z315" s="213">
        <f t="shared" si="115"/>
        <v>90000</v>
      </c>
      <c r="AA315" s="62"/>
      <c r="AB315" s="62"/>
      <c r="AC315" s="62"/>
      <c r="AD315" s="62"/>
      <c r="AE315" s="62"/>
      <c r="AF315" s="63"/>
      <c r="AG315" s="64"/>
      <c r="AH315" s="6">
        <v>1</v>
      </c>
      <c r="AI315">
        <f t="shared" si="116"/>
        <v>25</v>
      </c>
      <c r="AJ315">
        <f t="shared" si="117"/>
        <v>25</v>
      </c>
      <c r="AK315">
        <f t="shared" si="118"/>
        <v>0</v>
      </c>
      <c r="AL315">
        <f t="shared" si="119"/>
        <v>0</v>
      </c>
      <c r="AM315">
        <f t="shared" si="120"/>
        <v>0</v>
      </c>
      <c r="AN315">
        <f t="shared" si="121"/>
        <v>0</v>
      </c>
      <c r="AO315">
        <f t="shared" si="122"/>
        <v>0</v>
      </c>
      <c r="AP315">
        <f t="shared" si="123"/>
        <v>0</v>
      </c>
      <c r="AQ315">
        <f t="shared" si="124"/>
        <v>0</v>
      </c>
      <c r="AR315">
        <f t="shared" si="125"/>
        <v>0</v>
      </c>
      <c r="AS315">
        <f t="shared" si="126"/>
        <v>0</v>
      </c>
      <c r="AT315">
        <f t="shared" si="127"/>
        <v>0</v>
      </c>
      <c r="AU315">
        <f t="shared" si="128"/>
        <v>1</v>
      </c>
      <c r="AV315">
        <f t="shared" si="129"/>
        <v>1</v>
      </c>
      <c r="AW315">
        <f t="shared" si="130"/>
        <v>1</v>
      </c>
      <c r="AX315">
        <f t="shared" si="131"/>
        <v>1</v>
      </c>
      <c r="AY315">
        <f t="shared" si="132"/>
        <v>90000</v>
      </c>
      <c r="AZ315">
        <f t="shared" si="133"/>
        <v>90000</v>
      </c>
      <c r="BA315">
        <f t="shared" si="134"/>
        <v>0</v>
      </c>
      <c r="BB315">
        <f t="shared" si="135"/>
        <v>0</v>
      </c>
      <c r="BC315">
        <f t="shared" si="136"/>
        <v>0</v>
      </c>
      <c r="BD315">
        <f t="shared" si="137"/>
        <v>0</v>
      </c>
      <c r="BE315">
        <f t="shared" si="138"/>
        <v>0</v>
      </c>
      <c r="BF315">
        <f t="shared" si="139"/>
        <v>0</v>
      </c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</row>
    <row r="316" spans="1:256" s="201" customFormat="1" ht="14.25" x14ac:dyDescent="0.2">
      <c r="A316" s="10">
        <v>3273</v>
      </c>
      <c r="B316" s="11" t="s">
        <v>907</v>
      </c>
      <c r="C316" s="105" t="s">
        <v>908</v>
      </c>
      <c r="D316" s="11" t="s">
        <v>106</v>
      </c>
      <c r="E316" s="12">
        <v>20100</v>
      </c>
      <c r="F316" s="202">
        <v>11</v>
      </c>
      <c r="G316" s="11">
        <v>65000</v>
      </c>
      <c r="H316" s="116">
        <v>-130000</v>
      </c>
      <c r="I316" s="192"/>
      <c r="J316" s="204"/>
      <c r="K316" s="193"/>
      <c r="L316" s="193"/>
      <c r="M316" s="193"/>
      <c r="N316" s="203">
        <f t="shared" si="112"/>
        <v>65000</v>
      </c>
      <c r="O316" s="203">
        <f t="shared" si="113"/>
        <v>-65000</v>
      </c>
      <c r="P316" s="203">
        <f t="shared" si="114"/>
        <v>0</v>
      </c>
      <c r="Q316" s="214">
        <v>45663</v>
      </c>
      <c r="R316" s="215"/>
      <c r="S316" s="218">
        <v>45631</v>
      </c>
      <c r="T316" s="205"/>
      <c r="U316" s="205"/>
      <c r="V316" s="216" t="s">
        <v>1131</v>
      </c>
      <c r="W316" s="212"/>
      <c r="X316" s="10">
        <v>7</v>
      </c>
      <c r="Y316" s="10">
        <v>7</v>
      </c>
      <c r="Z316" s="213">
        <f t="shared" si="115"/>
        <v>65000</v>
      </c>
      <c r="AA316" s="62"/>
      <c r="AB316" s="62"/>
      <c r="AC316" s="62"/>
      <c r="AD316" s="62"/>
      <c r="AE316" s="62"/>
      <c r="AF316" s="63"/>
      <c r="AG316" s="64"/>
      <c r="AH316" s="6">
        <v>1</v>
      </c>
      <c r="AI316">
        <f t="shared" si="116"/>
        <v>25</v>
      </c>
      <c r="AJ316">
        <f t="shared" si="117"/>
        <v>25</v>
      </c>
      <c r="AK316">
        <f t="shared" si="118"/>
        <v>0</v>
      </c>
      <c r="AL316">
        <f t="shared" si="119"/>
        <v>0</v>
      </c>
      <c r="AM316">
        <f t="shared" si="120"/>
        <v>0</v>
      </c>
      <c r="AN316">
        <f t="shared" si="121"/>
        <v>0</v>
      </c>
      <c r="AO316">
        <f t="shared" si="122"/>
        <v>0</v>
      </c>
      <c r="AP316">
        <f t="shared" si="123"/>
        <v>0</v>
      </c>
      <c r="AQ316">
        <f t="shared" si="124"/>
        <v>0</v>
      </c>
      <c r="AR316">
        <f t="shared" si="125"/>
        <v>0</v>
      </c>
      <c r="AS316">
        <f t="shared" si="126"/>
        <v>0</v>
      </c>
      <c r="AT316">
        <f t="shared" si="127"/>
        <v>0</v>
      </c>
      <c r="AU316">
        <f t="shared" si="128"/>
        <v>0</v>
      </c>
      <c r="AV316">
        <f t="shared" si="129"/>
        <v>0</v>
      </c>
      <c r="AW316">
        <f t="shared" si="130"/>
        <v>0</v>
      </c>
      <c r="AX316">
        <f t="shared" si="131"/>
        <v>0</v>
      </c>
      <c r="AY316">
        <f t="shared" si="132"/>
        <v>0</v>
      </c>
      <c r="AZ316">
        <f t="shared" si="133"/>
        <v>0</v>
      </c>
      <c r="BA316">
        <f t="shared" si="134"/>
        <v>0</v>
      </c>
      <c r="BB316">
        <f t="shared" si="135"/>
        <v>0</v>
      </c>
      <c r="BC316">
        <f t="shared" si="136"/>
        <v>0</v>
      </c>
      <c r="BD316">
        <f t="shared" si="137"/>
        <v>0</v>
      </c>
      <c r="BE316">
        <f t="shared" si="138"/>
        <v>0</v>
      </c>
      <c r="BF316">
        <f t="shared" si="139"/>
        <v>0</v>
      </c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</row>
    <row r="317" spans="1:256" s="201" customFormat="1" ht="14.25" x14ac:dyDescent="0.2">
      <c r="A317" s="10">
        <v>3274</v>
      </c>
      <c r="B317" s="11" t="s">
        <v>426</v>
      </c>
      <c r="C317" s="105" t="s">
        <v>427</v>
      </c>
      <c r="D317" s="11" t="s">
        <v>259</v>
      </c>
      <c r="E317" s="12">
        <v>20095</v>
      </c>
      <c r="F317" s="202">
        <v>11</v>
      </c>
      <c r="G317" s="11">
        <v>65000</v>
      </c>
      <c r="H317" s="116">
        <v>0</v>
      </c>
      <c r="I317" s="192"/>
      <c r="J317" s="204"/>
      <c r="K317" s="193"/>
      <c r="L317" s="193"/>
      <c r="M317" s="193"/>
      <c r="N317" s="203">
        <f t="shared" si="112"/>
        <v>65000</v>
      </c>
      <c r="O317" s="203">
        <f t="shared" si="113"/>
        <v>65000</v>
      </c>
      <c r="P317" s="203">
        <f t="shared" si="114"/>
        <v>65000</v>
      </c>
      <c r="Q317" s="214"/>
      <c r="R317" s="215"/>
      <c r="S317" s="218">
        <v>45638</v>
      </c>
      <c r="T317" s="205"/>
      <c r="U317" s="205"/>
      <c r="V317" s="216"/>
      <c r="W317" s="212"/>
      <c r="X317" s="10">
        <v>7</v>
      </c>
      <c r="Y317" s="10">
        <v>7</v>
      </c>
      <c r="Z317" s="213">
        <f t="shared" si="115"/>
        <v>65000</v>
      </c>
      <c r="AA317" s="62"/>
      <c r="AB317" s="62"/>
      <c r="AC317" s="62"/>
      <c r="AD317" s="62"/>
      <c r="AE317" s="62"/>
      <c r="AF317" s="63"/>
      <c r="AG317" s="64"/>
      <c r="AH317" s="6">
        <v>1</v>
      </c>
      <c r="AI317">
        <f t="shared" si="116"/>
        <v>25</v>
      </c>
      <c r="AJ317">
        <f t="shared" si="117"/>
        <v>25</v>
      </c>
      <c r="AK317">
        <f t="shared" si="118"/>
        <v>0</v>
      </c>
      <c r="AL317">
        <f t="shared" si="119"/>
        <v>0</v>
      </c>
      <c r="AM317">
        <f t="shared" si="120"/>
        <v>0</v>
      </c>
      <c r="AN317">
        <f t="shared" si="121"/>
        <v>0</v>
      </c>
      <c r="AO317">
        <f t="shared" si="122"/>
        <v>0</v>
      </c>
      <c r="AP317">
        <f t="shared" si="123"/>
        <v>0</v>
      </c>
      <c r="AQ317">
        <f t="shared" si="124"/>
        <v>0</v>
      </c>
      <c r="AR317">
        <f t="shared" si="125"/>
        <v>0</v>
      </c>
      <c r="AS317">
        <f t="shared" si="126"/>
        <v>0</v>
      </c>
      <c r="AT317">
        <f t="shared" si="127"/>
        <v>0</v>
      </c>
      <c r="AU317">
        <f t="shared" si="128"/>
        <v>1</v>
      </c>
      <c r="AV317">
        <f t="shared" si="129"/>
        <v>1</v>
      </c>
      <c r="AW317">
        <f t="shared" si="130"/>
        <v>1</v>
      </c>
      <c r="AX317">
        <f t="shared" si="131"/>
        <v>1</v>
      </c>
      <c r="AY317">
        <f t="shared" si="132"/>
        <v>65000</v>
      </c>
      <c r="AZ317">
        <f t="shared" si="133"/>
        <v>65000</v>
      </c>
      <c r="BA317">
        <f t="shared" si="134"/>
        <v>0</v>
      </c>
      <c r="BB317">
        <f t="shared" si="135"/>
        <v>0</v>
      </c>
      <c r="BC317">
        <f t="shared" si="136"/>
        <v>0</v>
      </c>
      <c r="BD317">
        <f t="shared" si="137"/>
        <v>0</v>
      </c>
      <c r="BE317">
        <f t="shared" si="138"/>
        <v>0</v>
      </c>
      <c r="BF317">
        <f t="shared" si="139"/>
        <v>0</v>
      </c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</row>
    <row r="318" spans="1:256" s="201" customFormat="1" ht="14.25" x14ac:dyDescent="0.2">
      <c r="A318" s="10">
        <v>3276</v>
      </c>
      <c r="B318" s="11" t="s">
        <v>909</v>
      </c>
      <c r="C318" s="105" t="s">
        <v>910</v>
      </c>
      <c r="D318" s="11" t="s">
        <v>911</v>
      </c>
      <c r="E318" s="12">
        <v>20103</v>
      </c>
      <c r="F318" s="202">
        <v>11</v>
      </c>
      <c r="G318" s="11">
        <v>60000</v>
      </c>
      <c r="H318" s="116">
        <v>0</v>
      </c>
      <c r="I318" s="192"/>
      <c r="J318" s="204"/>
      <c r="K318" s="193"/>
      <c r="L318" s="193"/>
      <c r="M318" s="193"/>
      <c r="N318" s="203">
        <f t="shared" si="112"/>
        <v>60000</v>
      </c>
      <c r="O318" s="203">
        <f t="shared" si="113"/>
        <v>60000</v>
      </c>
      <c r="P318" s="203">
        <f t="shared" si="114"/>
        <v>60000</v>
      </c>
      <c r="Q318" s="214"/>
      <c r="R318" s="215"/>
      <c r="S318" s="218">
        <v>45630</v>
      </c>
      <c r="T318" s="205"/>
      <c r="U318" s="205"/>
      <c r="V318" s="216"/>
      <c r="W318" s="212"/>
      <c r="X318" s="10">
        <v>7</v>
      </c>
      <c r="Y318" s="10">
        <v>7</v>
      </c>
      <c r="Z318" s="213">
        <f t="shared" si="115"/>
        <v>60000</v>
      </c>
      <c r="AA318" s="62"/>
      <c r="AB318" s="62"/>
      <c r="AC318" s="62"/>
      <c r="AD318" s="62"/>
      <c r="AE318" s="62"/>
      <c r="AF318" s="63"/>
      <c r="AG318" s="64"/>
      <c r="AH318" s="6">
        <v>1</v>
      </c>
      <c r="AI318">
        <f t="shared" si="116"/>
        <v>25</v>
      </c>
      <c r="AJ318">
        <f t="shared" si="117"/>
        <v>25</v>
      </c>
      <c r="AK318">
        <f t="shared" si="118"/>
        <v>0</v>
      </c>
      <c r="AL318">
        <f t="shared" si="119"/>
        <v>0</v>
      </c>
      <c r="AM318">
        <f t="shared" si="120"/>
        <v>0</v>
      </c>
      <c r="AN318">
        <f t="shared" si="121"/>
        <v>0</v>
      </c>
      <c r="AO318">
        <f t="shared" si="122"/>
        <v>0</v>
      </c>
      <c r="AP318">
        <f t="shared" si="123"/>
        <v>0</v>
      </c>
      <c r="AQ318">
        <f t="shared" si="124"/>
        <v>0</v>
      </c>
      <c r="AR318">
        <f t="shared" si="125"/>
        <v>0</v>
      </c>
      <c r="AS318">
        <f t="shared" si="126"/>
        <v>0</v>
      </c>
      <c r="AT318">
        <f t="shared" si="127"/>
        <v>0</v>
      </c>
      <c r="AU318">
        <f t="shared" si="128"/>
        <v>1</v>
      </c>
      <c r="AV318">
        <f t="shared" si="129"/>
        <v>1</v>
      </c>
      <c r="AW318">
        <f t="shared" si="130"/>
        <v>1</v>
      </c>
      <c r="AX318">
        <f t="shared" si="131"/>
        <v>1</v>
      </c>
      <c r="AY318">
        <f t="shared" si="132"/>
        <v>60000</v>
      </c>
      <c r="AZ318">
        <f t="shared" si="133"/>
        <v>60000</v>
      </c>
      <c r="BA318">
        <f t="shared" si="134"/>
        <v>0</v>
      </c>
      <c r="BB318">
        <f t="shared" si="135"/>
        <v>0</v>
      </c>
      <c r="BC318">
        <f t="shared" si="136"/>
        <v>0</v>
      </c>
      <c r="BD318">
        <f t="shared" si="137"/>
        <v>0</v>
      </c>
      <c r="BE318">
        <f t="shared" si="138"/>
        <v>0</v>
      </c>
      <c r="BF318">
        <f t="shared" si="139"/>
        <v>0</v>
      </c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</row>
    <row r="319" spans="1:256" s="201" customFormat="1" ht="14.25" x14ac:dyDescent="0.2">
      <c r="A319" s="10">
        <v>3279</v>
      </c>
      <c r="B319" s="11" t="s">
        <v>912</v>
      </c>
      <c r="C319" s="105" t="s">
        <v>913</v>
      </c>
      <c r="D319" s="11" t="s">
        <v>106</v>
      </c>
      <c r="E319" s="12">
        <v>20089</v>
      </c>
      <c r="F319" s="202">
        <v>11</v>
      </c>
      <c r="G319" s="11">
        <v>90000</v>
      </c>
      <c r="H319" s="116">
        <v>0</v>
      </c>
      <c r="I319" s="192"/>
      <c r="J319" s="204"/>
      <c r="K319" s="193"/>
      <c r="L319" s="193"/>
      <c r="M319" s="193"/>
      <c r="N319" s="203">
        <f t="shared" si="112"/>
        <v>90000</v>
      </c>
      <c r="O319" s="203">
        <f t="shared" si="113"/>
        <v>90000</v>
      </c>
      <c r="P319" s="203">
        <f t="shared" si="114"/>
        <v>90000</v>
      </c>
      <c r="Q319" s="214">
        <v>45659</v>
      </c>
      <c r="R319" s="215"/>
      <c r="S319" s="218">
        <v>45629</v>
      </c>
      <c r="T319" s="205"/>
      <c r="U319" s="205"/>
      <c r="V319" s="216" t="s">
        <v>1133</v>
      </c>
      <c r="W319" s="212"/>
      <c r="X319" s="10">
        <v>7</v>
      </c>
      <c r="Y319" s="10">
        <v>7</v>
      </c>
      <c r="Z319" s="213">
        <f t="shared" si="115"/>
        <v>90000</v>
      </c>
      <c r="AA319" s="62"/>
      <c r="AB319" s="62"/>
      <c r="AC319" s="62"/>
      <c r="AD319" s="62"/>
      <c r="AE319" s="62"/>
      <c r="AF319" s="63"/>
      <c r="AG319" s="64"/>
      <c r="AH319" s="6">
        <v>1</v>
      </c>
      <c r="AI319">
        <f t="shared" si="116"/>
        <v>25</v>
      </c>
      <c r="AJ319">
        <f t="shared" si="117"/>
        <v>25</v>
      </c>
      <c r="AK319">
        <f t="shared" si="118"/>
        <v>0</v>
      </c>
      <c r="AL319">
        <f t="shared" si="119"/>
        <v>0</v>
      </c>
      <c r="AM319">
        <f t="shared" si="120"/>
        <v>0</v>
      </c>
      <c r="AN319">
        <f t="shared" si="121"/>
        <v>0</v>
      </c>
      <c r="AO319">
        <f t="shared" si="122"/>
        <v>0</v>
      </c>
      <c r="AP319">
        <f t="shared" si="123"/>
        <v>0</v>
      </c>
      <c r="AQ319">
        <f t="shared" si="124"/>
        <v>0</v>
      </c>
      <c r="AR319">
        <f t="shared" si="125"/>
        <v>0</v>
      </c>
      <c r="AS319">
        <f t="shared" si="126"/>
        <v>0</v>
      </c>
      <c r="AT319">
        <f t="shared" si="127"/>
        <v>0</v>
      </c>
      <c r="AU319">
        <f t="shared" si="128"/>
        <v>1</v>
      </c>
      <c r="AV319">
        <f t="shared" si="129"/>
        <v>1</v>
      </c>
      <c r="AW319">
        <f t="shared" si="130"/>
        <v>1</v>
      </c>
      <c r="AX319">
        <f t="shared" si="131"/>
        <v>1</v>
      </c>
      <c r="AY319">
        <f t="shared" si="132"/>
        <v>90000</v>
      </c>
      <c r="AZ319">
        <f t="shared" si="133"/>
        <v>90000</v>
      </c>
      <c r="BA319">
        <f t="shared" si="134"/>
        <v>0</v>
      </c>
      <c r="BB319">
        <f t="shared" si="135"/>
        <v>0</v>
      </c>
      <c r="BC319">
        <f t="shared" si="136"/>
        <v>0</v>
      </c>
      <c r="BD319">
        <f t="shared" si="137"/>
        <v>0</v>
      </c>
      <c r="BE319">
        <f t="shared" si="138"/>
        <v>0</v>
      </c>
      <c r="BF319">
        <f t="shared" si="139"/>
        <v>0</v>
      </c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</row>
    <row r="320" spans="1:256" s="201" customFormat="1" ht="14.25" x14ac:dyDescent="0.2">
      <c r="A320" s="10">
        <v>3281</v>
      </c>
      <c r="B320" s="11" t="s">
        <v>914</v>
      </c>
      <c r="C320" s="105" t="s">
        <v>915</v>
      </c>
      <c r="D320" s="11" t="s">
        <v>105</v>
      </c>
      <c r="E320" s="12">
        <v>20106</v>
      </c>
      <c r="F320" s="202">
        <v>11</v>
      </c>
      <c r="G320" s="11">
        <v>80000</v>
      </c>
      <c r="H320" s="116">
        <v>0</v>
      </c>
      <c r="I320" s="192"/>
      <c r="J320" s="204"/>
      <c r="K320" s="193"/>
      <c r="L320" s="193"/>
      <c r="M320" s="193"/>
      <c r="N320" s="203">
        <f t="shared" si="112"/>
        <v>80000</v>
      </c>
      <c r="O320" s="203">
        <f t="shared" si="113"/>
        <v>80000</v>
      </c>
      <c r="P320" s="203">
        <f t="shared" si="114"/>
        <v>80000</v>
      </c>
      <c r="Q320" s="214"/>
      <c r="R320" s="215"/>
      <c r="S320" s="218">
        <v>45638</v>
      </c>
      <c r="T320" s="205"/>
      <c r="U320" s="205"/>
      <c r="V320" s="216"/>
      <c r="W320" s="212"/>
      <c r="X320" s="10">
        <v>7</v>
      </c>
      <c r="Y320" s="10">
        <v>7</v>
      </c>
      <c r="Z320" s="213">
        <f t="shared" si="115"/>
        <v>80000</v>
      </c>
      <c r="AA320" s="62"/>
      <c r="AB320" s="62"/>
      <c r="AC320" s="62"/>
      <c r="AD320" s="62"/>
      <c r="AE320" s="62"/>
      <c r="AF320" s="63"/>
      <c r="AG320" s="64"/>
      <c r="AH320" s="6">
        <v>1</v>
      </c>
      <c r="AI320">
        <f t="shared" si="116"/>
        <v>25</v>
      </c>
      <c r="AJ320">
        <f t="shared" si="117"/>
        <v>25</v>
      </c>
      <c r="AK320">
        <f t="shared" si="118"/>
        <v>0</v>
      </c>
      <c r="AL320">
        <f t="shared" si="119"/>
        <v>0</v>
      </c>
      <c r="AM320">
        <f t="shared" si="120"/>
        <v>0</v>
      </c>
      <c r="AN320">
        <f t="shared" si="121"/>
        <v>0</v>
      </c>
      <c r="AO320">
        <f t="shared" si="122"/>
        <v>0</v>
      </c>
      <c r="AP320">
        <f t="shared" si="123"/>
        <v>0</v>
      </c>
      <c r="AQ320">
        <f t="shared" si="124"/>
        <v>0</v>
      </c>
      <c r="AR320">
        <f t="shared" si="125"/>
        <v>0</v>
      </c>
      <c r="AS320">
        <f t="shared" si="126"/>
        <v>0</v>
      </c>
      <c r="AT320">
        <f t="shared" si="127"/>
        <v>0</v>
      </c>
      <c r="AU320">
        <f t="shared" si="128"/>
        <v>1</v>
      </c>
      <c r="AV320">
        <f t="shared" si="129"/>
        <v>1</v>
      </c>
      <c r="AW320">
        <f t="shared" si="130"/>
        <v>1</v>
      </c>
      <c r="AX320">
        <f t="shared" si="131"/>
        <v>1</v>
      </c>
      <c r="AY320">
        <f t="shared" si="132"/>
        <v>80000</v>
      </c>
      <c r="AZ320">
        <f t="shared" si="133"/>
        <v>80000</v>
      </c>
      <c r="BA320">
        <f t="shared" si="134"/>
        <v>0</v>
      </c>
      <c r="BB320">
        <f t="shared" si="135"/>
        <v>0</v>
      </c>
      <c r="BC320">
        <f t="shared" si="136"/>
        <v>0</v>
      </c>
      <c r="BD320">
        <f t="shared" si="137"/>
        <v>0</v>
      </c>
      <c r="BE320">
        <f t="shared" si="138"/>
        <v>0</v>
      </c>
      <c r="BF320">
        <f t="shared" si="139"/>
        <v>0</v>
      </c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</row>
    <row r="321" spans="1:256" s="201" customFormat="1" ht="14.25" x14ac:dyDescent="0.2">
      <c r="A321" s="10">
        <v>3283</v>
      </c>
      <c r="B321" s="11" t="s">
        <v>916</v>
      </c>
      <c r="C321" s="105" t="s">
        <v>917</v>
      </c>
      <c r="D321" s="11" t="s">
        <v>105</v>
      </c>
      <c r="E321" s="12">
        <v>20107</v>
      </c>
      <c r="F321" s="202">
        <v>11</v>
      </c>
      <c r="G321" s="11">
        <v>70000</v>
      </c>
      <c r="H321" s="116">
        <v>0</v>
      </c>
      <c r="I321" s="192"/>
      <c r="J321" s="204"/>
      <c r="K321" s="193"/>
      <c r="L321" s="193"/>
      <c r="M321" s="193"/>
      <c r="N321" s="203">
        <f t="shared" si="112"/>
        <v>70000</v>
      </c>
      <c r="O321" s="203">
        <f t="shared" si="113"/>
        <v>70000</v>
      </c>
      <c r="P321" s="203">
        <f t="shared" si="114"/>
        <v>70000</v>
      </c>
      <c r="Q321" s="214"/>
      <c r="R321" s="215"/>
      <c r="S321" s="218">
        <v>45648</v>
      </c>
      <c r="T321" s="205"/>
      <c r="U321" s="205"/>
      <c r="V321" s="216"/>
      <c r="W321" s="212"/>
      <c r="X321" s="10">
        <v>7</v>
      </c>
      <c r="Y321" s="10">
        <v>7</v>
      </c>
      <c r="Z321" s="213">
        <f t="shared" si="115"/>
        <v>70000</v>
      </c>
      <c r="AA321" s="62"/>
      <c r="AB321" s="62"/>
      <c r="AC321" s="62"/>
      <c r="AD321" s="62"/>
      <c r="AE321" s="62"/>
      <c r="AF321" s="63"/>
      <c r="AG321" s="64"/>
      <c r="AH321" s="6">
        <v>1</v>
      </c>
      <c r="AI321">
        <f t="shared" si="116"/>
        <v>25</v>
      </c>
      <c r="AJ321">
        <f t="shared" si="117"/>
        <v>25</v>
      </c>
      <c r="AK321">
        <f t="shared" si="118"/>
        <v>0</v>
      </c>
      <c r="AL321">
        <f t="shared" si="119"/>
        <v>0</v>
      </c>
      <c r="AM321">
        <f t="shared" si="120"/>
        <v>0</v>
      </c>
      <c r="AN321">
        <f t="shared" si="121"/>
        <v>0</v>
      </c>
      <c r="AO321">
        <f t="shared" si="122"/>
        <v>0</v>
      </c>
      <c r="AP321">
        <f t="shared" si="123"/>
        <v>0</v>
      </c>
      <c r="AQ321">
        <f t="shared" si="124"/>
        <v>0</v>
      </c>
      <c r="AR321">
        <f t="shared" si="125"/>
        <v>0</v>
      </c>
      <c r="AS321">
        <f t="shared" si="126"/>
        <v>0</v>
      </c>
      <c r="AT321">
        <f t="shared" si="127"/>
        <v>0</v>
      </c>
      <c r="AU321">
        <f t="shared" si="128"/>
        <v>1</v>
      </c>
      <c r="AV321">
        <f t="shared" si="129"/>
        <v>1</v>
      </c>
      <c r="AW321">
        <f t="shared" si="130"/>
        <v>1</v>
      </c>
      <c r="AX321">
        <f t="shared" si="131"/>
        <v>1</v>
      </c>
      <c r="AY321">
        <f t="shared" si="132"/>
        <v>70000</v>
      </c>
      <c r="AZ321">
        <f t="shared" si="133"/>
        <v>70000</v>
      </c>
      <c r="BA321">
        <f t="shared" si="134"/>
        <v>0</v>
      </c>
      <c r="BB321">
        <f t="shared" si="135"/>
        <v>0</v>
      </c>
      <c r="BC321">
        <f t="shared" si="136"/>
        <v>0</v>
      </c>
      <c r="BD321">
        <f t="shared" si="137"/>
        <v>0</v>
      </c>
      <c r="BE321">
        <f t="shared" si="138"/>
        <v>0</v>
      </c>
      <c r="BF321">
        <f t="shared" si="139"/>
        <v>0</v>
      </c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</row>
    <row r="322" spans="1:256" s="201" customFormat="1" ht="14.25" x14ac:dyDescent="0.2">
      <c r="A322" s="10">
        <v>3284</v>
      </c>
      <c r="B322" s="11" t="s">
        <v>918</v>
      </c>
      <c r="C322" s="105" t="s">
        <v>919</v>
      </c>
      <c r="D322" s="11" t="s">
        <v>147</v>
      </c>
      <c r="E322" s="12">
        <v>20098</v>
      </c>
      <c r="F322" s="202">
        <v>11</v>
      </c>
      <c r="G322" s="11">
        <v>60000</v>
      </c>
      <c r="H322" s="116">
        <v>60000</v>
      </c>
      <c r="I322" s="192"/>
      <c r="J322" s="204"/>
      <c r="K322" s="193"/>
      <c r="L322" s="193"/>
      <c r="M322" s="193"/>
      <c r="N322" s="203">
        <f t="shared" si="112"/>
        <v>120000</v>
      </c>
      <c r="O322" s="203">
        <f t="shared" si="113"/>
        <v>120000</v>
      </c>
      <c r="P322" s="203">
        <f t="shared" si="114"/>
        <v>120000</v>
      </c>
      <c r="Q322" s="214"/>
      <c r="R322" s="215"/>
      <c r="S322" s="218">
        <v>45616</v>
      </c>
      <c r="T322" s="205"/>
      <c r="U322" s="205"/>
      <c r="V322" s="216"/>
      <c r="W322" s="212"/>
      <c r="X322" s="10">
        <v>7</v>
      </c>
      <c r="Y322" s="10">
        <v>7</v>
      </c>
      <c r="Z322" s="213">
        <f t="shared" si="115"/>
        <v>120000</v>
      </c>
      <c r="AA322" s="62"/>
      <c r="AB322" s="62"/>
      <c r="AC322" s="62"/>
      <c r="AD322" s="62"/>
      <c r="AE322" s="62"/>
      <c r="AF322" s="63"/>
      <c r="AG322" s="64"/>
      <c r="AH322" s="6">
        <v>1</v>
      </c>
      <c r="AI322">
        <f t="shared" si="116"/>
        <v>25</v>
      </c>
      <c r="AJ322">
        <f t="shared" si="117"/>
        <v>25</v>
      </c>
      <c r="AK322">
        <f t="shared" si="118"/>
        <v>0</v>
      </c>
      <c r="AL322">
        <f t="shared" si="119"/>
        <v>0</v>
      </c>
      <c r="AM322">
        <f t="shared" si="120"/>
        <v>0</v>
      </c>
      <c r="AN322">
        <f t="shared" si="121"/>
        <v>0</v>
      </c>
      <c r="AO322">
        <f t="shared" si="122"/>
        <v>0</v>
      </c>
      <c r="AP322">
        <f t="shared" si="123"/>
        <v>0</v>
      </c>
      <c r="AQ322">
        <f t="shared" si="124"/>
        <v>0</v>
      </c>
      <c r="AR322">
        <f t="shared" si="125"/>
        <v>0</v>
      </c>
      <c r="AS322">
        <f t="shared" si="126"/>
        <v>0</v>
      </c>
      <c r="AT322">
        <f t="shared" si="127"/>
        <v>0</v>
      </c>
      <c r="AU322">
        <f t="shared" si="128"/>
        <v>1</v>
      </c>
      <c r="AV322">
        <f t="shared" si="129"/>
        <v>1</v>
      </c>
      <c r="AW322">
        <f t="shared" si="130"/>
        <v>1</v>
      </c>
      <c r="AX322">
        <f t="shared" si="131"/>
        <v>1</v>
      </c>
      <c r="AY322">
        <f t="shared" si="132"/>
        <v>120000</v>
      </c>
      <c r="AZ322">
        <f t="shared" si="133"/>
        <v>120000</v>
      </c>
      <c r="BA322">
        <f t="shared" si="134"/>
        <v>0</v>
      </c>
      <c r="BB322">
        <f t="shared" si="135"/>
        <v>0</v>
      </c>
      <c r="BC322">
        <f t="shared" si="136"/>
        <v>0</v>
      </c>
      <c r="BD322">
        <f t="shared" si="137"/>
        <v>0</v>
      </c>
      <c r="BE322">
        <f t="shared" si="138"/>
        <v>0</v>
      </c>
      <c r="BF322">
        <f t="shared" si="139"/>
        <v>0</v>
      </c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</row>
    <row r="323" spans="1:256" s="201" customFormat="1" ht="14.25" x14ac:dyDescent="0.2">
      <c r="A323" s="10">
        <v>3285</v>
      </c>
      <c r="B323" s="11" t="s">
        <v>428</v>
      </c>
      <c r="C323" s="105" t="s">
        <v>429</v>
      </c>
      <c r="D323" s="11" t="s">
        <v>105</v>
      </c>
      <c r="E323" s="12">
        <v>20092</v>
      </c>
      <c r="F323" s="202">
        <v>11</v>
      </c>
      <c r="G323" s="11">
        <v>50000</v>
      </c>
      <c r="H323" s="116">
        <v>0</v>
      </c>
      <c r="I323" s="192"/>
      <c r="J323" s="204"/>
      <c r="K323" s="193"/>
      <c r="L323" s="193"/>
      <c r="M323" s="193"/>
      <c r="N323" s="203">
        <f t="shared" si="112"/>
        <v>50000</v>
      </c>
      <c r="O323" s="203">
        <f t="shared" si="113"/>
        <v>50000</v>
      </c>
      <c r="P323" s="203">
        <f t="shared" si="114"/>
        <v>50000</v>
      </c>
      <c r="Q323" s="214"/>
      <c r="R323" s="215"/>
      <c r="S323" s="218">
        <v>45646</v>
      </c>
      <c r="T323" s="205"/>
      <c r="U323" s="205"/>
      <c r="V323" s="216"/>
      <c r="W323" s="212"/>
      <c r="X323" s="10">
        <v>7</v>
      </c>
      <c r="Y323" s="10">
        <v>7</v>
      </c>
      <c r="Z323" s="213">
        <f t="shared" si="115"/>
        <v>50000</v>
      </c>
      <c r="AA323" s="62"/>
      <c r="AB323" s="62"/>
      <c r="AC323" s="62"/>
      <c r="AD323" s="62"/>
      <c r="AE323" s="62"/>
      <c r="AF323" s="63"/>
      <c r="AG323" s="64"/>
      <c r="AH323" s="6">
        <v>1</v>
      </c>
      <c r="AI323">
        <f t="shared" si="116"/>
        <v>25</v>
      </c>
      <c r="AJ323">
        <f t="shared" si="117"/>
        <v>25</v>
      </c>
      <c r="AK323">
        <f t="shared" si="118"/>
        <v>0</v>
      </c>
      <c r="AL323">
        <f t="shared" si="119"/>
        <v>0</v>
      </c>
      <c r="AM323">
        <f t="shared" si="120"/>
        <v>0</v>
      </c>
      <c r="AN323">
        <f t="shared" si="121"/>
        <v>0</v>
      </c>
      <c r="AO323">
        <f t="shared" si="122"/>
        <v>0</v>
      </c>
      <c r="AP323">
        <f t="shared" si="123"/>
        <v>0</v>
      </c>
      <c r="AQ323">
        <f t="shared" si="124"/>
        <v>0</v>
      </c>
      <c r="AR323">
        <f t="shared" si="125"/>
        <v>0</v>
      </c>
      <c r="AS323">
        <f t="shared" si="126"/>
        <v>0</v>
      </c>
      <c r="AT323">
        <f t="shared" si="127"/>
        <v>0</v>
      </c>
      <c r="AU323">
        <f t="shared" si="128"/>
        <v>1</v>
      </c>
      <c r="AV323">
        <f t="shared" si="129"/>
        <v>1</v>
      </c>
      <c r="AW323">
        <f t="shared" si="130"/>
        <v>1</v>
      </c>
      <c r="AX323">
        <f t="shared" si="131"/>
        <v>1</v>
      </c>
      <c r="AY323">
        <f t="shared" si="132"/>
        <v>50000</v>
      </c>
      <c r="AZ323">
        <f t="shared" si="133"/>
        <v>50000</v>
      </c>
      <c r="BA323">
        <f t="shared" si="134"/>
        <v>0</v>
      </c>
      <c r="BB323">
        <f t="shared" si="135"/>
        <v>0</v>
      </c>
      <c r="BC323">
        <f t="shared" si="136"/>
        <v>0</v>
      </c>
      <c r="BD323">
        <f t="shared" si="137"/>
        <v>0</v>
      </c>
      <c r="BE323">
        <f t="shared" si="138"/>
        <v>0</v>
      </c>
      <c r="BF323">
        <f t="shared" si="139"/>
        <v>0</v>
      </c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</row>
    <row r="324" spans="1:256" s="201" customFormat="1" ht="14.25" x14ac:dyDescent="0.2">
      <c r="A324" s="10">
        <v>3286</v>
      </c>
      <c r="B324" s="11" t="s">
        <v>920</v>
      </c>
      <c r="C324" s="105" t="s">
        <v>921</v>
      </c>
      <c r="D324" s="11" t="s">
        <v>106</v>
      </c>
      <c r="E324" s="12">
        <v>20112</v>
      </c>
      <c r="F324" s="202">
        <v>11</v>
      </c>
      <c r="G324" s="11">
        <v>60000</v>
      </c>
      <c r="H324" s="116">
        <v>0</v>
      </c>
      <c r="I324" s="192"/>
      <c r="J324" s="204"/>
      <c r="K324" s="193"/>
      <c r="L324" s="193"/>
      <c r="M324" s="193"/>
      <c r="N324" s="203">
        <f t="shared" ref="N324:N387" si="140">IF(H324&gt;0,G324+H324-I324-J324-K324-L324-M324,G324-I324-J324-K324-L324-M324)</f>
        <v>60000</v>
      </c>
      <c r="O324" s="203">
        <f t="shared" ref="O324:O387" si="141">G324+H324-J324-I324-K324-L324-M324</f>
        <v>60000</v>
      </c>
      <c r="P324" s="203">
        <f t="shared" ref="P324:P387" si="142">IF(G324+H324&lt;0,0,G324+H324)</f>
        <v>60000</v>
      </c>
      <c r="Q324" s="214"/>
      <c r="R324" s="215"/>
      <c r="S324" s="218">
        <v>45656</v>
      </c>
      <c r="T324" s="205"/>
      <c r="U324" s="205"/>
      <c r="V324" s="216"/>
      <c r="W324" s="212"/>
      <c r="X324" s="10">
        <v>7</v>
      </c>
      <c r="Y324" s="10">
        <v>7</v>
      </c>
      <c r="Z324" s="213">
        <f t="shared" ref="Z324:Z387" si="143">IF(N324&lt;0,0,N324)</f>
        <v>60000</v>
      </c>
      <c r="AA324" s="62"/>
      <c r="AB324" s="62"/>
      <c r="AC324" s="62"/>
      <c r="AD324" s="62"/>
      <c r="AE324" s="62"/>
      <c r="AF324" s="63"/>
      <c r="AG324" s="64"/>
      <c r="AH324" s="6">
        <v>1</v>
      </c>
      <c r="AI324">
        <f t="shared" ref="AI324:AI387" si="144">IF(F324&lt;=6,15,25)</f>
        <v>25</v>
      </c>
      <c r="AJ324">
        <f t="shared" ref="AJ324:AJ387" si="145">IF(O324&lt;&gt;0,25,15)</f>
        <v>25</v>
      </c>
      <c r="AK324">
        <f t="shared" ref="AK324:AK387" si="146">IF(AI324-T324=24,1,0)</f>
        <v>0</v>
      </c>
      <c r="AL324">
        <f t="shared" ref="AL324:AL387" si="147">IF(AH324-AK324=AH324,0,AH324)</f>
        <v>0</v>
      </c>
      <c r="AM324">
        <f t="shared" ref="AM324:AM387" si="148">IF(AK324&lt;&gt;0,U324,0)</f>
        <v>0</v>
      </c>
      <c r="AN324">
        <f t="shared" ref="AN324:AN387" si="149">IF(AK324=1,O324,0)</f>
        <v>0</v>
      </c>
      <c r="AO324">
        <f t="shared" ref="AO324:AO387" si="150">IF(AI324-T324=14,1,0)</f>
        <v>0</v>
      </c>
      <c r="AP324">
        <f t="shared" ref="AP324:AP387" si="151">IF(AH324-AO324=AH324,0,AH324)</f>
        <v>0</v>
      </c>
      <c r="AQ324">
        <f t="shared" ref="AQ324:AQ387" si="152">IF(AO324&lt;&gt;0,U324,0)</f>
        <v>0</v>
      </c>
      <c r="AR324">
        <f t="shared" ref="AR324:AR387" si="153">IF(AO324=1,O324,0)</f>
        <v>0</v>
      </c>
      <c r="AS324">
        <f t="shared" ref="AS324:AS387" si="154">IF(SUM(I324:M324)&lt;&gt;0,1,0)</f>
        <v>0</v>
      </c>
      <c r="AT324">
        <f t="shared" ref="AT324:AT387" si="155">AS324</f>
        <v>0</v>
      </c>
      <c r="AU324">
        <f t="shared" ref="AU324:AU387" si="156">IF(O324&gt;0,1,0)</f>
        <v>1</v>
      </c>
      <c r="AV324">
        <f t="shared" ref="AV324:AV387" si="157">IF(AK324+AO324+AU324=1,AU324,0)</f>
        <v>1</v>
      </c>
      <c r="AW324">
        <f t="shared" ref="AW324:AW387" si="158">IF(AI324-AV324=24,1,0)</f>
        <v>1</v>
      </c>
      <c r="AX324">
        <f t="shared" ref="AX324:AX387" si="159">IF(AH324-AW324=AH324,0,AH324)</f>
        <v>1</v>
      </c>
      <c r="AY324">
        <f t="shared" ref="AY324:AY387" si="160">IF(AW324=1,O324,0)</f>
        <v>60000</v>
      </c>
      <c r="AZ324">
        <f t="shared" ref="AZ324:AZ387" si="161">IF(AY324-BA324&lt;&gt;0,AY324,0)</f>
        <v>60000</v>
      </c>
      <c r="BA324">
        <f t="shared" ref="BA324:BA387" si="162">IF(AY324&lt;0,AY324,0)</f>
        <v>0</v>
      </c>
      <c r="BB324">
        <f t="shared" ref="BB324:BB387" si="163">IF(AI324-AV324=14,1,0)</f>
        <v>0</v>
      </c>
      <c r="BC324">
        <f t="shared" ref="BC324:BC387" si="164">IF(AH324-BB324=AH324,0,AH324)</f>
        <v>0</v>
      </c>
      <c r="BD324">
        <f t="shared" ref="BD324:BD387" si="165">IF(BB324=1,O324,0)</f>
        <v>0</v>
      </c>
      <c r="BE324">
        <f t="shared" ref="BE324:BE387" si="166">IF(BD324&lt;0,BD324,0)</f>
        <v>0</v>
      </c>
      <c r="BF324">
        <f t="shared" ref="BF324:BF387" si="167">IF(BD324-BE324&lt;&gt;0,BD324,0)</f>
        <v>0</v>
      </c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</row>
    <row r="325" spans="1:256" s="201" customFormat="1" ht="14.25" x14ac:dyDescent="0.2">
      <c r="A325" s="10">
        <v>3287</v>
      </c>
      <c r="B325" s="11" t="s">
        <v>688</v>
      </c>
      <c r="C325" s="105" t="s">
        <v>922</v>
      </c>
      <c r="D325" s="11" t="s">
        <v>911</v>
      </c>
      <c r="E325" s="12">
        <v>9375</v>
      </c>
      <c r="F325" s="202">
        <v>11</v>
      </c>
      <c r="G325" s="11">
        <v>55000</v>
      </c>
      <c r="H325" s="116">
        <v>0</v>
      </c>
      <c r="I325" s="192"/>
      <c r="J325" s="204"/>
      <c r="K325" s="193"/>
      <c r="L325" s="193"/>
      <c r="M325" s="193"/>
      <c r="N325" s="203">
        <f t="shared" si="140"/>
        <v>55000</v>
      </c>
      <c r="O325" s="203">
        <f t="shared" si="141"/>
        <v>55000</v>
      </c>
      <c r="P325" s="203">
        <f t="shared" si="142"/>
        <v>55000</v>
      </c>
      <c r="Q325" s="214"/>
      <c r="R325" s="215"/>
      <c r="S325" s="218">
        <v>45646</v>
      </c>
      <c r="T325" s="205"/>
      <c r="U325" s="205"/>
      <c r="V325" s="216"/>
      <c r="W325" s="212"/>
      <c r="X325" s="10">
        <v>7</v>
      </c>
      <c r="Y325" s="10">
        <v>7</v>
      </c>
      <c r="Z325" s="213">
        <f t="shared" si="143"/>
        <v>55000</v>
      </c>
      <c r="AA325" s="62"/>
      <c r="AB325" s="62"/>
      <c r="AC325" s="62"/>
      <c r="AD325" s="62"/>
      <c r="AE325" s="62"/>
      <c r="AF325" s="63"/>
      <c r="AG325" s="64"/>
      <c r="AH325" s="6">
        <v>1</v>
      </c>
      <c r="AI325">
        <f t="shared" si="144"/>
        <v>25</v>
      </c>
      <c r="AJ325">
        <f t="shared" si="145"/>
        <v>25</v>
      </c>
      <c r="AK325">
        <f t="shared" si="146"/>
        <v>0</v>
      </c>
      <c r="AL325">
        <f t="shared" si="147"/>
        <v>0</v>
      </c>
      <c r="AM325">
        <f t="shared" si="148"/>
        <v>0</v>
      </c>
      <c r="AN325">
        <f t="shared" si="149"/>
        <v>0</v>
      </c>
      <c r="AO325">
        <f t="shared" si="150"/>
        <v>0</v>
      </c>
      <c r="AP325">
        <f t="shared" si="151"/>
        <v>0</v>
      </c>
      <c r="AQ325">
        <f t="shared" si="152"/>
        <v>0</v>
      </c>
      <c r="AR325">
        <f t="shared" si="153"/>
        <v>0</v>
      </c>
      <c r="AS325">
        <f t="shared" si="154"/>
        <v>0</v>
      </c>
      <c r="AT325">
        <f t="shared" si="155"/>
        <v>0</v>
      </c>
      <c r="AU325">
        <f t="shared" si="156"/>
        <v>1</v>
      </c>
      <c r="AV325">
        <f t="shared" si="157"/>
        <v>1</v>
      </c>
      <c r="AW325">
        <f t="shared" si="158"/>
        <v>1</v>
      </c>
      <c r="AX325">
        <f t="shared" si="159"/>
        <v>1</v>
      </c>
      <c r="AY325">
        <f t="shared" si="160"/>
        <v>55000</v>
      </c>
      <c r="AZ325">
        <f t="shared" si="161"/>
        <v>55000</v>
      </c>
      <c r="BA325">
        <f t="shared" si="162"/>
        <v>0</v>
      </c>
      <c r="BB325">
        <f t="shared" si="163"/>
        <v>0</v>
      </c>
      <c r="BC325">
        <f t="shared" si="164"/>
        <v>0</v>
      </c>
      <c r="BD325">
        <f t="shared" si="165"/>
        <v>0</v>
      </c>
      <c r="BE325">
        <f t="shared" si="166"/>
        <v>0</v>
      </c>
      <c r="BF325">
        <f t="shared" si="167"/>
        <v>0</v>
      </c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</row>
    <row r="326" spans="1:256" s="201" customFormat="1" ht="14.25" x14ac:dyDescent="0.2">
      <c r="A326" s="10">
        <v>3288</v>
      </c>
      <c r="B326" s="11" t="s">
        <v>430</v>
      </c>
      <c r="C326" s="105" t="s">
        <v>431</v>
      </c>
      <c r="D326" s="11" t="s">
        <v>157</v>
      </c>
      <c r="E326" s="12">
        <v>20091</v>
      </c>
      <c r="F326" s="202">
        <v>11</v>
      </c>
      <c r="G326" s="11">
        <v>40000</v>
      </c>
      <c r="H326" s="116">
        <v>0</v>
      </c>
      <c r="I326" s="192"/>
      <c r="J326" s="204"/>
      <c r="K326" s="193"/>
      <c r="L326" s="193"/>
      <c r="M326" s="193"/>
      <c r="N326" s="203">
        <f t="shared" si="140"/>
        <v>40000</v>
      </c>
      <c r="O326" s="203">
        <f t="shared" si="141"/>
        <v>40000</v>
      </c>
      <c r="P326" s="203">
        <f t="shared" si="142"/>
        <v>40000</v>
      </c>
      <c r="Q326" s="214"/>
      <c r="R326" s="215"/>
      <c r="S326" s="218">
        <v>45645</v>
      </c>
      <c r="T326" s="205"/>
      <c r="U326" s="205"/>
      <c r="V326" s="216"/>
      <c r="W326" s="212"/>
      <c r="X326" s="10">
        <v>7</v>
      </c>
      <c r="Y326" s="10">
        <v>7</v>
      </c>
      <c r="Z326" s="213">
        <f t="shared" si="143"/>
        <v>40000</v>
      </c>
      <c r="AA326" s="62"/>
      <c r="AB326" s="62"/>
      <c r="AC326" s="62"/>
      <c r="AD326" s="62"/>
      <c r="AE326" s="62"/>
      <c r="AF326" s="63"/>
      <c r="AG326" s="64"/>
      <c r="AH326" s="6">
        <v>1</v>
      </c>
      <c r="AI326">
        <f t="shared" si="144"/>
        <v>25</v>
      </c>
      <c r="AJ326">
        <f t="shared" si="145"/>
        <v>25</v>
      </c>
      <c r="AK326">
        <f t="shared" si="146"/>
        <v>0</v>
      </c>
      <c r="AL326">
        <f t="shared" si="147"/>
        <v>0</v>
      </c>
      <c r="AM326">
        <f t="shared" si="148"/>
        <v>0</v>
      </c>
      <c r="AN326">
        <f t="shared" si="149"/>
        <v>0</v>
      </c>
      <c r="AO326">
        <f t="shared" si="150"/>
        <v>0</v>
      </c>
      <c r="AP326">
        <f t="shared" si="151"/>
        <v>0</v>
      </c>
      <c r="AQ326">
        <f t="shared" si="152"/>
        <v>0</v>
      </c>
      <c r="AR326">
        <f t="shared" si="153"/>
        <v>0</v>
      </c>
      <c r="AS326">
        <f t="shared" si="154"/>
        <v>0</v>
      </c>
      <c r="AT326">
        <f t="shared" si="155"/>
        <v>0</v>
      </c>
      <c r="AU326">
        <f t="shared" si="156"/>
        <v>1</v>
      </c>
      <c r="AV326">
        <f t="shared" si="157"/>
        <v>1</v>
      </c>
      <c r="AW326">
        <f t="shared" si="158"/>
        <v>1</v>
      </c>
      <c r="AX326">
        <f t="shared" si="159"/>
        <v>1</v>
      </c>
      <c r="AY326">
        <f t="shared" si="160"/>
        <v>40000</v>
      </c>
      <c r="AZ326">
        <f t="shared" si="161"/>
        <v>40000</v>
      </c>
      <c r="BA326">
        <f t="shared" si="162"/>
        <v>0</v>
      </c>
      <c r="BB326">
        <f t="shared" si="163"/>
        <v>0</v>
      </c>
      <c r="BC326">
        <f t="shared" si="164"/>
        <v>0</v>
      </c>
      <c r="BD326">
        <f t="shared" si="165"/>
        <v>0</v>
      </c>
      <c r="BE326">
        <f t="shared" si="166"/>
        <v>0</v>
      </c>
      <c r="BF326">
        <f t="shared" si="167"/>
        <v>0</v>
      </c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</row>
    <row r="327" spans="1:256" s="201" customFormat="1" ht="14.25" x14ac:dyDescent="0.2">
      <c r="A327" s="10">
        <v>3289</v>
      </c>
      <c r="B327" s="11" t="s">
        <v>923</v>
      </c>
      <c r="C327" s="105" t="s">
        <v>924</v>
      </c>
      <c r="D327" s="11" t="s">
        <v>259</v>
      </c>
      <c r="E327" s="12">
        <v>20097</v>
      </c>
      <c r="F327" s="202">
        <v>11</v>
      </c>
      <c r="G327" s="11">
        <v>60000</v>
      </c>
      <c r="H327" s="116">
        <v>0</v>
      </c>
      <c r="I327" s="192"/>
      <c r="J327" s="204"/>
      <c r="K327" s="193"/>
      <c r="L327" s="193"/>
      <c r="M327" s="193"/>
      <c r="N327" s="203">
        <f t="shared" si="140"/>
        <v>60000</v>
      </c>
      <c r="O327" s="203">
        <f t="shared" si="141"/>
        <v>60000</v>
      </c>
      <c r="P327" s="203">
        <f t="shared" si="142"/>
        <v>60000</v>
      </c>
      <c r="Q327" s="214">
        <v>45660</v>
      </c>
      <c r="R327" s="215"/>
      <c r="S327" s="218">
        <v>45629</v>
      </c>
      <c r="T327" s="205"/>
      <c r="U327" s="205"/>
      <c r="V327" s="216" t="s">
        <v>1131</v>
      </c>
      <c r="W327" s="212"/>
      <c r="X327" s="10">
        <v>7</v>
      </c>
      <c r="Y327" s="10">
        <v>7</v>
      </c>
      <c r="Z327" s="213">
        <f t="shared" si="143"/>
        <v>60000</v>
      </c>
      <c r="AA327" s="62"/>
      <c r="AB327" s="62"/>
      <c r="AC327" s="62"/>
      <c r="AD327" s="62"/>
      <c r="AE327" s="62"/>
      <c r="AF327" s="63"/>
      <c r="AG327" s="64"/>
      <c r="AH327" s="6">
        <v>1</v>
      </c>
      <c r="AI327">
        <f t="shared" si="144"/>
        <v>25</v>
      </c>
      <c r="AJ327">
        <f t="shared" si="145"/>
        <v>25</v>
      </c>
      <c r="AK327">
        <f t="shared" si="146"/>
        <v>0</v>
      </c>
      <c r="AL327">
        <f t="shared" si="147"/>
        <v>0</v>
      </c>
      <c r="AM327">
        <f t="shared" si="148"/>
        <v>0</v>
      </c>
      <c r="AN327">
        <f t="shared" si="149"/>
        <v>0</v>
      </c>
      <c r="AO327">
        <f t="shared" si="150"/>
        <v>0</v>
      </c>
      <c r="AP327">
        <f t="shared" si="151"/>
        <v>0</v>
      </c>
      <c r="AQ327">
        <f t="shared" si="152"/>
        <v>0</v>
      </c>
      <c r="AR327">
        <f t="shared" si="153"/>
        <v>0</v>
      </c>
      <c r="AS327">
        <f t="shared" si="154"/>
        <v>0</v>
      </c>
      <c r="AT327">
        <f t="shared" si="155"/>
        <v>0</v>
      </c>
      <c r="AU327">
        <f t="shared" si="156"/>
        <v>1</v>
      </c>
      <c r="AV327">
        <f t="shared" si="157"/>
        <v>1</v>
      </c>
      <c r="AW327">
        <f t="shared" si="158"/>
        <v>1</v>
      </c>
      <c r="AX327">
        <f t="shared" si="159"/>
        <v>1</v>
      </c>
      <c r="AY327">
        <f t="shared" si="160"/>
        <v>60000</v>
      </c>
      <c r="AZ327">
        <f t="shared" si="161"/>
        <v>60000</v>
      </c>
      <c r="BA327">
        <f t="shared" si="162"/>
        <v>0</v>
      </c>
      <c r="BB327">
        <f t="shared" si="163"/>
        <v>0</v>
      </c>
      <c r="BC327">
        <f t="shared" si="164"/>
        <v>0</v>
      </c>
      <c r="BD327">
        <f t="shared" si="165"/>
        <v>0</v>
      </c>
      <c r="BE327">
        <f t="shared" si="166"/>
        <v>0</v>
      </c>
      <c r="BF327">
        <f t="shared" si="167"/>
        <v>0</v>
      </c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</row>
    <row r="328" spans="1:256" s="201" customFormat="1" ht="14.25" x14ac:dyDescent="0.2">
      <c r="A328" s="10">
        <v>3292</v>
      </c>
      <c r="B328" s="11" t="s">
        <v>925</v>
      </c>
      <c r="C328" s="105" t="s">
        <v>926</v>
      </c>
      <c r="D328" s="11" t="s">
        <v>106</v>
      </c>
      <c r="E328" s="12">
        <v>20113</v>
      </c>
      <c r="F328" s="202">
        <v>11</v>
      </c>
      <c r="G328" s="11">
        <v>60000</v>
      </c>
      <c r="H328" s="116">
        <v>0</v>
      </c>
      <c r="I328" s="192"/>
      <c r="J328" s="204"/>
      <c r="K328" s="193"/>
      <c r="L328" s="193"/>
      <c r="M328" s="193"/>
      <c r="N328" s="203">
        <f t="shared" si="140"/>
        <v>60000</v>
      </c>
      <c r="O328" s="203">
        <f t="shared" si="141"/>
        <v>60000</v>
      </c>
      <c r="P328" s="203">
        <f t="shared" si="142"/>
        <v>60000</v>
      </c>
      <c r="Q328" s="214"/>
      <c r="R328" s="215"/>
      <c r="S328" s="218">
        <v>45648</v>
      </c>
      <c r="T328" s="205"/>
      <c r="U328" s="205"/>
      <c r="V328" s="216"/>
      <c r="W328" s="212" t="s">
        <v>1143</v>
      </c>
      <c r="X328" s="10">
        <v>7</v>
      </c>
      <c r="Y328" s="10">
        <v>7</v>
      </c>
      <c r="Z328" s="213">
        <f t="shared" si="143"/>
        <v>60000</v>
      </c>
      <c r="AA328" s="62"/>
      <c r="AB328" s="62"/>
      <c r="AC328" s="62"/>
      <c r="AD328" s="62"/>
      <c r="AE328" s="62"/>
      <c r="AF328" s="63"/>
      <c r="AG328" s="64"/>
      <c r="AH328" s="6">
        <v>1</v>
      </c>
      <c r="AI328">
        <f t="shared" si="144"/>
        <v>25</v>
      </c>
      <c r="AJ328">
        <f t="shared" si="145"/>
        <v>25</v>
      </c>
      <c r="AK328">
        <f t="shared" si="146"/>
        <v>0</v>
      </c>
      <c r="AL328">
        <f t="shared" si="147"/>
        <v>0</v>
      </c>
      <c r="AM328">
        <f t="shared" si="148"/>
        <v>0</v>
      </c>
      <c r="AN328">
        <f t="shared" si="149"/>
        <v>0</v>
      </c>
      <c r="AO328">
        <f t="shared" si="150"/>
        <v>0</v>
      </c>
      <c r="AP328">
        <f t="shared" si="151"/>
        <v>0</v>
      </c>
      <c r="AQ328">
        <f t="shared" si="152"/>
        <v>0</v>
      </c>
      <c r="AR328">
        <f t="shared" si="153"/>
        <v>0</v>
      </c>
      <c r="AS328">
        <f t="shared" si="154"/>
        <v>0</v>
      </c>
      <c r="AT328">
        <f t="shared" si="155"/>
        <v>0</v>
      </c>
      <c r="AU328">
        <f t="shared" si="156"/>
        <v>1</v>
      </c>
      <c r="AV328">
        <f t="shared" si="157"/>
        <v>1</v>
      </c>
      <c r="AW328">
        <f t="shared" si="158"/>
        <v>1</v>
      </c>
      <c r="AX328">
        <f t="shared" si="159"/>
        <v>1</v>
      </c>
      <c r="AY328">
        <f t="shared" si="160"/>
        <v>60000</v>
      </c>
      <c r="AZ328">
        <f t="shared" si="161"/>
        <v>60000</v>
      </c>
      <c r="BA328">
        <f t="shared" si="162"/>
        <v>0</v>
      </c>
      <c r="BB328">
        <f t="shared" si="163"/>
        <v>0</v>
      </c>
      <c r="BC328">
        <f t="shared" si="164"/>
        <v>0</v>
      </c>
      <c r="BD328">
        <f t="shared" si="165"/>
        <v>0</v>
      </c>
      <c r="BE328">
        <f t="shared" si="166"/>
        <v>0</v>
      </c>
      <c r="BF328">
        <f t="shared" si="167"/>
        <v>0</v>
      </c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</row>
    <row r="329" spans="1:256" s="201" customFormat="1" ht="14.25" x14ac:dyDescent="0.2">
      <c r="A329" s="10">
        <v>3293</v>
      </c>
      <c r="B329" s="11" t="s">
        <v>432</v>
      </c>
      <c r="C329" s="105" t="s">
        <v>433</v>
      </c>
      <c r="D329" s="11" t="s">
        <v>106</v>
      </c>
      <c r="E329" s="12">
        <v>20108</v>
      </c>
      <c r="F329" s="202">
        <v>11</v>
      </c>
      <c r="G329" s="11">
        <v>50000</v>
      </c>
      <c r="H329" s="116">
        <v>-100000</v>
      </c>
      <c r="I329" s="192"/>
      <c r="J329" s="204"/>
      <c r="K329" s="193"/>
      <c r="L329" s="193"/>
      <c r="M329" s="193"/>
      <c r="N329" s="203">
        <f t="shared" si="140"/>
        <v>50000</v>
      </c>
      <c r="O329" s="203">
        <f t="shared" si="141"/>
        <v>-50000</v>
      </c>
      <c r="P329" s="203">
        <f t="shared" si="142"/>
        <v>0</v>
      </c>
      <c r="Q329" s="214"/>
      <c r="R329" s="215"/>
      <c r="S329" s="218">
        <v>45656</v>
      </c>
      <c r="T329" s="205"/>
      <c r="U329" s="205"/>
      <c r="V329" s="216"/>
      <c r="W329" s="212"/>
      <c r="X329" s="10">
        <v>7</v>
      </c>
      <c r="Y329" s="10">
        <v>7</v>
      </c>
      <c r="Z329" s="213">
        <f t="shared" si="143"/>
        <v>50000</v>
      </c>
      <c r="AA329" s="62"/>
      <c r="AB329" s="62"/>
      <c r="AC329" s="62"/>
      <c r="AD329" s="62"/>
      <c r="AE329" s="62"/>
      <c r="AF329" s="63"/>
      <c r="AG329" s="64"/>
      <c r="AH329" s="6">
        <v>1</v>
      </c>
      <c r="AI329">
        <f t="shared" si="144"/>
        <v>25</v>
      </c>
      <c r="AJ329">
        <f t="shared" si="145"/>
        <v>25</v>
      </c>
      <c r="AK329">
        <f t="shared" si="146"/>
        <v>0</v>
      </c>
      <c r="AL329">
        <f t="shared" si="147"/>
        <v>0</v>
      </c>
      <c r="AM329">
        <f t="shared" si="148"/>
        <v>0</v>
      </c>
      <c r="AN329">
        <f t="shared" si="149"/>
        <v>0</v>
      </c>
      <c r="AO329">
        <f t="shared" si="150"/>
        <v>0</v>
      </c>
      <c r="AP329">
        <f t="shared" si="151"/>
        <v>0</v>
      </c>
      <c r="AQ329">
        <f t="shared" si="152"/>
        <v>0</v>
      </c>
      <c r="AR329">
        <f t="shared" si="153"/>
        <v>0</v>
      </c>
      <c r="AS329">
        <f t="shared" si="154"/>
        <v>0</v>
      </c>
      <c r="AT329">
        <f t="shared" si="155"/>
        <v>0</v>
      </c>
      <c r="AU329">
        <f t="shared" si="156"/>
        <v>0</v>
      </c>
      <c r="AV329">
        <f t="shared" si="157"/>
        <v>0</v>
      </c>
      <c r="AW329">
        <f t="shared" si="158"/>
        <v>0</v>
      </c>
      <c r="AX329">
        <f t="shared" si="159"/>
        <v>0</v>
      </c>
      <c r="AY329">
        <f t="shared" si="160"/>
        <v>0</v>
      </c>
      <c r="AZ329">
        <f t="shared" si="161"/>
        <v>0</v>
      </c>
      <c r="BA329">
        <f t="shared" si="162"/>
        <v>0</v>
      </c>
      <c r="BB329">
        <f t="shared" si="163"/>
        <v>0</v>
      </c>
      <c r="BC329">
        <f t="shared" si="164"/>
        <v>0</v>
      </c>
      <c r="BD329">
        <f t="shared" si="165"/>
        <v>0</v>
      </c>
      <c r="BE329">
        <f t="shared" si="166"/>
        <v>0</v>
      </c>
      <c r="BF329">
        <f t="shared" si="167"/>
        <v>0</v>
      </c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</row>
    <row r="330" spans="1:256" s="201" customFormat="1" ht="14.25" x14ac:dyDescent="0.2">
      <c r="A330" s="10">
        <v>3294</v>
      </c>
      <c r="B330" s="11" t="s">
        <v>927</v>
      </c>
      <c r="C330" s="105" t="s">
        <v>928</v>
      </c>
      <c r="D330" s="11" t="s">
        <v>157</v>
      </c>
      <c r="E330" s="12">
        <v>20090</v>
      </c>
      <c r="F330" s="202">
        <v>10</v>
      </c>
      <c r="G330" s="11">
        <v>70000</v>
      </c>
      <c r="H330" s="116">
        <v>0</v>
      </c>
      <c r="I330" s="192"/>
      <c r="J330" s="204"/>
      <c r="K330" s="193"/>
      <c r="L330" s="193"/>
      <c r="M330" s="193"/>
      <c r="N330" s="203">
        <f t="shared" si="140"/>
        <v>70000</v>
      </c>
      <c r="O330" s="203">
        <f t="shared" si="141"/>
        <v>70000</v>
      </c>
      <c r="P330" s="203">
        <f t="shared" si="142"/>
        <v>70000</v>
      </c>
      <c r="Q330" s="214"/>
      <c r="R330" s="215"/>
      <c r="S330" s="218">
        <v>45628</v>
      </c>
      <c r="T330" s="205"/>
      <c r="U330" s="205"/>
      <c r="V330" s="216"/>
      <c r="W330" s="212"/>
      <c r="X330" s="10">
        <v>7</v>
      </c>
      <c r="Y330" s="10">
        <v>7</v>
      </c>
      <c r="Z330" s="213">
        <f t="shared" si="143"/>
        <v>70000</v>
      </c>
      <c r="AA330" s="62"/>
      <c r="AB330" s="62"/>
      <c r="AC330" s="62"/>
      <c r="AD330" s="62"/>
      <c r="AE330" s="62"/>
      <c r="AF330" s="63"/>
      <c r="AG330" s="64"/>
      <c r="AH330" s="6">
        <v>1</v>
      </c>
      <c r="AI330">
        <f t="shared" si="144"/>
        <v>25</v>
      </c>
      <c r="AJ330">
        <f t="shared" si="145"/>
        <v>25</v>
      </c>
      <c r="AK330">
        <f t="shared" si="146"/>
        <v>0</v>
      </c>
      <c r="AL330">
        <f t="shared" si="147"/>
        <v>0</v>
      </c>
      <c r="AM330">
        <f t="shared" si="148"/>
        <v>0</v>
      </c>
      <c r="AN330">
        <f t="shared" si="149"/>
        <v>0</v>
      </c>
      <c r="AO330">
        <f t="shared" si="150"/>
        <v>0</v>
      </c>
      <c r="AP330">
        <f t="shared" si="151"/>
        <v>0</v>
      </c>
      <c r="AQ330">
        <f t="shared" si="152"/>
        <v>0</v>
      </c>
      <c r="AR330">
        <f t="shared" si="153"/>
        <v>0</v>
      </c>
      <c r="AS330">
        <f t="shared" si="154"/>
        <v>0</v>
      </c>
      <c r="AT330">
        <f t="shared" si="155"/>
        <v>0</v>
      </c>
      <c r="AU330">
        <f t="shared" si="156"/>
        <v>1</v>
      </c>
      <c r="AV330">
        <f t="shared" si="157"/>
        <v>1</v>
      </c>
      <c r="AW330">
        <f t="shared" si="158"/>
        <v>1</v>
      </c>
      <c r="AX330">
        <f t="shared" si="159"/>
        <v>1</v>
      </c>
      <c r="AY330">
        <f t="shared" si="160"/>
        <v>70000</v>
      </c>
      <c r="AZ330">
        <f t="shared" si="161"/>
        <v>70000</v>
      </c>
      <c r="BA330">
        <f t="shared" si="162"/>
        <v>0</v>
      </c>
      <c r="BB330">
        <f t="shared" si="163"/>
        <v>0</v>
      </c>
      <c r="BC330">
        <f t="shared" si="164"/>
        <v>0</v>
      </c>
      <c r="BD330">
        <f t="shared" si="165"/>
        <v>0</v>
      </c>
      <c r="BE330">
        <f t="shared" si="166"/>
        <v>0</v>
      </c>
      <c r="BF330">
        <f t="shared" si="167"/>
        <v>0</v>
      </c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</row>
    <row r="331" spans="1:256" s="201" customFormat="1" ht="14.25" x14ac:dyDescent="0.2">
      <c r="A331" s="10">
        <v>3296</v>
      </c>
      <c r="B331" s="11" t="s">
        <v>929</v>
      </c>
      <c r="C331" s="105" t="s">
        <v>930</v>
      </c>
      <c r="D331" s="11" t="s">
        <v>105</v>
      </c>
      <c r="E331" s="12">
        <v>20117</v>
      </c>
      <c r="F331" s="202">
        <v>10</v>
      </c>
      <c r="G331" s="11">
        <v>100000</v>
      </c>
      <c r="H331" s="116">
        <v>0</v>
      </c>
      <c r="I331" s="192"/>
      <c r="J331" s="204"/>
      <c r="K331" s="193"/>
      <c r="L331" s="193"/>
      <c r="M331" s="193"/>
      <c r="N331" s="203">
        <f t="shared" si="140"/>
        <v>100000</v>
      </c>
      <c r="O331" s="203">
        <f t="shared" si="141"/>
        <v>100000</v>
      </c>
      <c r="P331" s="203">
        <f t="shared" si="142"/>
        <v>100000</v>
      </c>
      <c r="Q331" s="214">
        <v>45664</v>
      </c>
      <c r="R331" s="215"/>
      <c r="S331" s="218">
        <v>45630</v>
      </c>
      <c r="T331" s="205"/>
      <c r="U331" s="205"/>
      <c r="V331" s="216" t="s">
        <v>1137</v>
      </c>
      <c r="W331" s="212"/>
      <c r="X331" s="10">
        <v>7</v>
      </c>
      <c r="Y331" s="10">
        <v>7</v>
      </c>
      <c r="Z331" s="213">
        <f t="shared" si="143"/>
        <v>100000</v>
      </c>
      <c r="AA331" s="62"/>
      <c r="AB331" s="62"/>
      <c r="AC331" s="62"/>
      <c r="AD331" s="62"/>
      <c r="AE331" s="62"/>
      <c r="AF331" s="63"/>
      <c r="AG331" s="64"/>
      <c r="AH331" s="6">
        <v>1</v>
      </c>
      <c r="AI331">
        <f t="shared" si="144"/>
        <v>25</v>
      </c>
      <c r="AJ331">
        <f t="shared" si="145"/>
        <v>25</v>
      </c>
      <c r="AK331">
        <f t="shared" si="146"/>
        <v>0</v>
      </c>
      <c r="AL331">
        <f t="shared" si="147"/>
        <v>0</v>
      </c>
      <c r="AM331">
        <f t="shared" si="148"/>
        <v>0</v>
      </c>
      <c r="AN331">
        <f t="shared" si="149"/>
        <v>0</v>
      </c>
      <c r="AO331">
        <f t="shared" si="150"/>
        <v>0</v>
      </c>
      <c r="AP331">
        <f t="shared" si="151"/>
        <v>0</v>
      </c>
      <c r="AQ331">
        <f t="shared" si="152"/>
        <v>0</v>
      </c>
      <c r="AR331">
        <f t="shared" si="153"/>
        <v>0</v>
      </c>
      <c r="AS331">
        <f t="shared" si="154"/>
        <v>0</v>
      </c>
      <c r="AT331">
        <f t="shared" si="155"/>
        <v>0</v>
      </c>
      <c r="AU331">
        <f t="shared" si="156"/>
        <v>1</v>
      </c>
      <c r="AV331">
        <f t="shared" si="157"/>
        <v>1</v>
      </c>
      <c r="AW331">
        <f t="shared" si="158"/>
        <v>1</v>
      </c>
      <c r="AX331">
        <f t="shared" si="159"/>
        <v>1</v>
      </c>
      <c r="AY331">
        <f t="shared" si="160"/>
        <v>100000</v>
      </c>
      <c r="AZ331">
        <f t="shared" si="161"/>
        <v>100000</v>
      </c>
      <c r="BA331">
        <f t="shared" si="162"/>
        <v>0</v>
      </c>
      <c r="BB331">
        <f t="shared" si="163"/>
        <v>0</v>
      </c>
      <c r="BC331">
        <f t="shared" si="164"/>
        <v>0</v>
      </c>
      <c r="BD331">
        <f t="shared" si="165"/>
        <v>0</v>
      </c>
      <c r="BE331">
        <f t="shared" si="166"/>
        <v>0</v>
      </c>
      <c r="BF331">
        <f t="shared" si="167"/>
        <v>0</v>
      </c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</row>
    <row r="332" spans="1:256" s="201" customFormat="1" ht="14.25" x14ac:dyDescent="0.2">
      <c r="A332" s="10">
        <v>3297</v>
      </c>
      <c r="B332" s="11" t="s">
        <v>434</v>
      </c>
      <c r="C332" s="105" t="s">
        <v>435</v>
      </c>
      <c r="D332" s="11" t="s">
        <v>259</v>
      </c>
      <c r="E332" s="12">
        <v>20119</v>
      </c>
      <c r="F332" s="202">
        <v>10</v>
      </c>
      <c r="G332" s="11">
        <v>40000</v>
      </c>
      <c r="H332" s="116">
        <v>0</v>
      </c>
      <c r="I332" s="192"/>
      <c r="J332" s="204"/>
      <c r="K332" s="193"/>
      <c r="L332" s="193"/>
      <c r="M332" s="193"/>
      <c r="N332" s="203">
        <f t="shared" si="140"/>
        <v>40000</v>
      </c>
      <c r="O332" s="203">
        <f t="shared" si="141"/>
        <v>40000</v>
      </c>
      <c r="P332" s="203">
        <f t="shared" si="142"/>
        <v>40000</v>
      </c>
      <c r="Q332" s="214"/>
      <c r="R332" s="215"/>
      <c r="S332" s="218">
        <v>45642</v>
      </c>
      <c r="T332" s="205"/>
      <c r="U332" s="205"/>
      <c r="V332" s="216"/>
      <c r="W332" s="212"/>
      <c r="X332" s="10">
        <v>7</v>
      </c>
      <c r="Y332" s="10">
        <v>7</v>
      </c>
      <c r="Z332" s="213">
        <f t="shared" si="143"/>
        <v>40000</v>
      </c>
      <c r="AA332" s="62"/>
      <c r="AB332" s="62"/>
      <c r="AC332" s="62"/>
      <c r="AD332" s="62"/>
      <c r="AE332" s="62"/>
      <c r="AF332" s="63"/>
      <c r="AG332" s="64"/>
      <c r="AH332" s="6">
        <v>1</v>
      </c>
      <c r="AI332">
        <f t="shared" si="144"/>
        <v>25</v>
      </c>
      <c r="AJ332">
        <f t="shared" si="145"/>
        <v>25</v>
      </c>
      <c r="AK332">
        <f t="shared" si="146"/>
        <v>0</v>
      </c>
      <c r="AL332">
        <f t="shared" si="147"/>
        <v>0</v>
      </c>
      <c r="AM332">
        <f t="shared" si="148"/>
        <v>0</v>
      </c>
      <c r="AN332">
        <f t="shared" si="149"/>
        <v>0</v>
      </c>
      <c r="AO332">
        <f t="shared" si="150"/>
        <v>0</v>
      </c>
      <c r="AP332">
        <f t="shared" si="151"/>
        <v>0</v>
      </c>
      <c r="AQ332">
        <f t="shared" si="152"/>
        <v>0</v>
      </c>
      <c r="AR332">
        <f t="shared" si="153"/>
        <v>0</v>
      </c>
      <c r="AS332">
        <f t="shared" si="154"/>
        <v>0</v>
      </c>
      <c r="AT332">
        <f t="shared" si="155"/>
        <v>0</v>
      </c>
      <c r="AU332">
        <f t="shared" si="156"/>
        <v>1</v>
      </c>
      <c r="AV332">
        <f t="shared" si="157"/>
        <v>1</v>
      </c>
      <c r="AW332">
        <f t="shared" si="158"/>
        <v>1</v>
      </c>
      <c r="AX332">
        <f t="shared" si="159"/>
        <v>1</v>
      </c>
      <c r="AY332">
        <f t="shared" si="160"/>
        <v>40000</v>
      </c>
      <c r="AZ332">
        <f t="shared" si="161"/>
        <v>40000</v>
      </c>
      <c r="BA332">
        <f t="shared" si="162"/>
        <v>0</v>
      </c>
      <c r="BB332">
        <f t="shared" si="163"/>
        <v>0</v>
      </c>
      <c r="BC332">
        <f t="shared" si="164"/>
        <v>0</v>
      </c>
      <c r="BD332">
        <f t="shared" si="165"/>
        <v>0</v>
      </c>
      <c r="BE332">
        <f t="shared" si="166"/>
        <v>0</v>
      </c>
      <c r="BF332">
        <f t="shared" si="167"/>
        <v>0</v>
      </c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</row>
    <row r="333" spans="1:256" s="201" customFormat="1" ht="14.25" x14ac:dyDescent="0.2">
      <c r="A333" s="10">
        <v>3298</v>
      </c>
      <c r="B333" s="11" t="s">
        <v>931</v>
      </c>
      <c r="C333" s="105" t="s">
        <v>932</v>
      </c>
      <c r="D333" s="11" t="s">
        <v>384</v>
      </c>
      <c r="E333" s="12">
        <v>20109</v>
      </c>
      <c r="F333" s="202">
        <v>10</v>
      </c>
      <c r="G333" s="11">
        <v>100000</v>
      </c>
      <c r="H333" s="116">
        <v>0</v>
      </c>
      <c r="I333" s="192"/>
      <c r="J333" s="204"/>
      <c r="K333" s="193"/>
      <c r="L333" s="193"/>
      <c r="M333" s="193"/>
      <c r="N333" s="203">
        <f t="shared" si="140"/>
        <v>100000</v>
      </c>
      <c r="O333" s="203">
        <f t="shared" si="141"/>
        <v>100000</v>
      </c>
      <c r="P333" s="203">
        <f t="shared" si="142"/>
        <v>100000</v>
      </c>
      <c r="Q333" s="214"/>
      <c r="R333" s="215"/>
      <c r="S333" s="218">
        <v>45635</v>
      </c>
      <c r="T333" s="205"/>
      <c r="U333" s="205"/>
      <c r="V333" s="216"/>
      <c r="W333" s="212"/>
      <c r="X333" s="10">
        <v>7</v>
      </c>
      <c r="Y333" s="10">
        <v>7</v>
      </c>
      <c r="Z333" s="213">
        <f t="shared" si="143"/>
        <v>100000</v>
      </c>
      <c r="AA333" s="62"/>
      <c r="AB333" s="62"/>
      <c r="AC333" s="62"/>
      <c r="AD333" s="62"/>
      <c r="AE333" s="62"/>
      <c r="AF333" s="63"/>
      <c r="AG333" s="64"/>
      <c r="AH333" s="6">
        <v>1</v>
      </c>
      <c r="AI333">
        <f t="shared" si="144"/>
        <v>25</v>
      </c>
      <c r="AJ333">
        <f t="shared" si="145"/>
        <v>25</v>
      </c>
      <c r="AK333">
        <f t="shared" si="146"/>
        <v>0</v>
      </c>
      <c r="AL333">
        <f t="shared" si="147"/>
        <v>0</v>
      </c>
      <c r="AM333">
        <f t="shared" si="148"/>
        <v>0</v>
      </c>
      <c r="AN333">
        <f t="shared" si="149"/>
        <v>0</v>
      </c>
      <c r="AO333">
        <f t="shared" si="150"/>
        <v>0</v>
      </c>
      <c r="AP333">
        <f t="shared" si="151"/>
        <v>0</v>
      </c>
      <c r="AQ333">
        <f t="shared" si="152"/>
        <v>0</v>
      </c>
      <c r="AR333">
        <f t="shared" si="153"/>
        <v>0</v>
      </c>
      <c r="AS333">
        <f t="shared" si="154"/>
        <v>0</v>
      </c>
      <c r="AT333">
        <f t="shared" si="155"/>
        <v>0</v>
      </c>
      <c r="AU333">
        <f t="shared" si="156"/>
        <v>1</v>
      </c>
      <c r="AV333">
        <f t="shared" si="157"/>
        <v>1</v>
      </c>
      <c r="AW333">
        <f t="shared" si="158"/>
        <v>1</v>
      </c>
      <c r="AX333">
        <f t="shared" si="159"/>
        <v>1</v>
      </c>
      <c r="AY333">
        <f t="shared" si="160"/>
        <v>100000</v>
      </c>
      <c r="AZ333">
        <f t="shared" si="161"/>
        <v>100000</v>
      </c>
      <c r="BA333">
        <f t="shared" si="162"/>
        <v>0</v>
      </c>
      <c r="BB333">
        <f t="shared" si="163"/>
        <v>0</v>
      </c>
      <c r="BC333">
        <f t="shared" si="164"/>
        <v>0</v>
      </c>
      <c r="BD333">
        <f t="shared" si="165"/>
        <v>0</v>
      </c>
      <c r="BE333">
        <f t="shared" si="166"/>
        <v>0</v>
      </c>
      <c r="BF333">
        <f t="shared" si="167"/>
        <v>0</v>
      </c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</row>
    <row r="334" spans="1:256" s="201" customFormat="1" ht="14.25" x14ac:dyDescent="0.2">
      <c r="A334" s="10">
        <v>3300</v>
      </c>
      <c r="B334" s="11" t="s">
        <v>436</v>
      </c>
      <c r="C334" s="105" t="s">
        <v>437</v>
      </c>
      <c r="D334" s="11" t="s">
        <v>147</v>
      </c>
      <c r="E334" s="12">
        <v>20118</v>
      </c>
      <c r="F334" s="202">
        <v>10</v>
      </c>
      <c r="G334" s="11">
        <v>50000</v>
      </c>
      <c r="H334" s="116">
        <v>0</v>
      </c>
      <c r="I334" s="192"/>
      <c r="J334" s="204"/>
      <c r="K334" s="193"/>
      <c r="L334" s="193"/>
      <c r="M334" s="193"/>
      <c r="N334" s="203">
        <f t="shared" si="140"/>
        <v>50000</v>
      </c>
      <c r="O334" s="203">
        <f t="shared" si="141"/>
        <v>50000</v>
      </c>
      <c r="P334" s="203">
        <f t="shared" si="142"/>
        <v>50000</v>
      </c>
      <c r="Q334" s="214">
        <v>45658</v>
      </c>
      <c r="R334" s="215"/>
      <c r="S334" s="218">
        <v>45631</v>
      </c>
      <c r="T334" s="205"/>
      <c r="U334" s="205"/>
      <c r="V334" s="216" t="s">
        <v>1131</v>
      </c>
      <c r="W334" s="212"/>
      <c r="X334" s="10">
        <v>7</v>
      </c>
      <c r="Y334" s="10">
        <v>7</v>
      </c>
      <c r="Z334" s="213">
        <f t="shared" si="143"/>
        <v>50000</v>
      </c>
      <c r="AA334" s="62"/>
      <c r="AB334" s="62"/>
      <c r="AC334" s="62"/>
      <c r="AD334" s="62"/>
      <c r="AE334" s="62"/>
      <c r="AF334" s="63"/>
      <c r="AG334" s="64"/>
      <c r="AH334" s="6">
        <v>1</v>
      </c>
      <c r="AI334">
        <f t="shared" si="144"/>
        <v>25</v>
      </c>
      <c r="AJ334">
        <f t="shared" si="145"/>
        <v>25</v>
      </c>
      <c r="AK334">
        <f t="shared" si="146"/>
        <v>0</v>
      </c>
      <c r="AL334">
        <f t="shared" si="147"/>
        <v>0</v>
      </c>
      <c r="AM334">
        <f t="shared" si="148"/>
        <v>0</v>
      </c>
      <c r="AN334">
        <f t="shared" si="149"/>
        <v>0</v>
      </c>
      <c r="AO334">
        <f t="shared" si="150"/>
        <v>0</v>
      </c>
      <c r="AP334">
        <f t="shared" si="151"/>
        <v>0</v>
      </c>
      <c r="AQ334">
        <f t="shared" si="152"/>
        <v>0</v>
      </c>
      <c r="AR334">
        <f t="shared" si="153"/>
        <v>0</v>
      </c>
      <c r="AS334">
        <f t="shared" si="154"/>
        <v>0</v>
      </c>
      <c r="AT334">
        <f t="shared" si="155"/>
        <v>0</v>
      </c>
      <c r="AU334">
        <f t="shared" si="156"/>
        <v>1</v>
      </c>
      <c r="AV334">
        <f t="shared" si="157"/>
        <v>1</v>
      </c>
      <c r="AW334">
        <f t="shared" si="158"/>
        <v>1</v>
      </c>
      <c r="AX334">
        <f t="shared" si="159"/>
        <v>1</v>
      </c>
      <c r="AY334">
        <f t="shared" si="160"/>
        <v>50000</v>
      </c>
      <c r="AZ334">
        <f t="shared" si="161"/>
        <v>50000</v>
      </c>
      <c r="BA334">
        <f t="shared" si="162"/>
        <v>0</v>
      </c>
      <c r="BB334">
        <f t="shared" si="163"/>
        <v>0</v>
      </c>
      <c r="BC334">
        <f t="shared" si="164"/>
        <v>0</v>
      </c>
      <c r="BD334">
        <f t="shared" si="165"/>
        <v>0</v>
      </c>
      <c r="BE334">
        <f t="shared" si="166"/>
        <v>0</v>
      </c>
      <c r="BF334">
        <f t="shared" si="167"/>
        <v>0</v>
      </c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1:256" s="201" customFormat="1" ht="14.25" x14ac:dyDescent="0.2">
      <c r="A335" s="10">
        <v>3301</v>
      </c>
      <c r="B335" s="11" t="s">
        <v>933</v>
      </c>
      <c r="C335" s="105" t="s">
        <v>934</v>
      </c>
      <c r="D335" s="11" t="s">
        <v>173</v>
      </c>
      <c r="E335" s="12">
        <v>20120</v>
      </c>
      <c r="F335" s="202">
        <v>10</v>
      </c>
      <c r="G335" s="11">
        <v>130000</v>
      </c>
      <c r="H335" s="116">
        <v>0</v>
      </c>
      <c r="I335" s="192"/>
      <c r="J335" s="204"/>
      <c r="K335" s="193"/>
      <c r="L335" s="193"/>
      <c r="M335" s="193"/>
      <c r="N335" s="203">
        <f t="shared" si="140"/>
        <v>130000</v>
      </c>
      <c r="O335" s="203">
        <f t="shared" si="141"/>
        <v>130000</v>
      </c>
      <c r="P335" s="203">
        <f t="shared" si="142"/>
        <v>130000</v>
      </c>
      <c r="Q335" s="214">
        <v>45660</v>
      </c>
      <c r="R335" s="215"/>
      <c r="S335" s="218">
        <v>45636</v>
      </c>
      <c r="T335" s="205"/>
      <c r="U335" s="205"/>
      <c r="V335" s="216" t="s">
        <v>1131</v>
      </c>
      <c r="W335" s="212"/>
      <c r="X335" s="10">
        <v>7</v>
      </c>
      <c r="Y335" s="10">
        <v>7</v>
      </c>
      <c r="Z335" s="213">
        <f t="shared" si="143"/>
        <v>130000</v>
      </c>
      <c r="AA335" s="62"/>
      <c r="AB335" s="62"/>
      <c r="AC335" s="62"/>
      <c r="AD335" s="62"/>
      <c r="AE335" s="62"/>
      <c r="AF335" s="63"/>
      <c r="AG335" s="64"/>
      <c r="AH335" s="6">
        <v>1</v>
      </c>
      <c r="AI335">
        <f t="shared" si="144"/>
        <v>25</v>
      </c>
      <c r="AJ335">
        <f t="shared" si="145"/>
        <v>25</v>
      </c>
      <c r="AK335">
        <f t="shared" si="146"/>
        <v>0</v>
      </c>
      <c r="AL335">
        <f t="shared" si="147"/>
        <v>0</v>
      </c>
      <c r="AM335">
        <f t="shared" si="148"/>
        <v>0</v>
      </c>
      <c r="AN335">
        <f t="shared" si="149"/>
        <v>0</v>
      </c>
      <c r="AO335">
        <f t="shared" si="150"/>
        <v>0</v>
      </c>
      <c r="AP335">
        <f t="shared" si="151"/>
        <v>0</v>
      </c>
      <c r="AQ335">
        <f t="shared" si="152"/>
        <v>0</v>
      </c>
      <c r="AR335">
        <f t="shared" si="153"/>
        <v>0</v>
      </c>
      <c r="AS335">
        <f t="shared" si="154"/>
        <v>0</v>
      </c>
      <c r="AT335">
        <f t="shared" si="155"/>
        <v>0</v>
      </c>
      <c r="AU335">
        <f t="shared" si="156"/>
        <v>1</v>
      </c>
      <c r="AV335">
        <f t="shared" si="157"/>
        <v>1</v>
      </c>
      <c r="AW335">
        <f t="shared" si="158"/>
        <v>1</v>
      </c>
      <c r="AX335">
        <f t="shared" si="159"/>
        <v>1</v>
      </c>
      <c r="AY335">
        <f t="shared" si="160"/>
        <v>130000</v>
      </c>
      <c r="AZ335">
        <f t="shared" si="161"/>
        <v>130000</v>
      </c>
      <c r="BA335">
        <f t="shared" si="162"/>
        <v>0</v>
      </c>
      <c r="BB335">
        <f t="shared" si="163"/>
        <v>0</v>
      </c>
      <c r="BC335">
        <f t="shared" si="164"/>
        <v>0</v>
      </c>
      <c r="BD335">
        <f t="shared" si="165"/>
        <v>0</v>
      </c>
      <c r="BE335">
        <f t="shared" si="166"/>
        <v>0</v>
      </c>
      <c r="BF335">
        <f t="shared" si="167"/>
        <v>0</v>
      </c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1:256" s="201" customFormat="1" ht="14.25" x14ac:dyDescent="0.2">
      <c r="A336" s="10">
        <v>3303</v>
      </c>
      <c r="B336" s="11" t="s">
        <v>935</v>
      </c>
      <c r="C336" s="105" t="s">
        <v>936</v>
      </c>
      <c r="D336" s="11" t="s">
        <v>106</v>
      </c>
      <c r="E336" s="12">
        <v>20123</v>
      </c>
      <c r="F336" s="202">
        <v>10</v>
      </c>
      <c r="G336" s="11">
        <v>60000</v>
      </c>
      <c r="H336" s="116">
        <v>0</v>
      </c>
      <c r="I336" s="192"/>
      <c r="J336" s="204"/>
      <c r="K336" s="193"/>
      <c r="L336" s="193"/>
      <c r="M336" s="193"/>
      <c r="N336" s="203">
        <f t="shared" si="140"/>
        <v>60000</v>
      </c>
      <c r="O336" s="203">
        <f t="shared" si="141"/>
        <v>60000</v>
      </c>
      <c r="P336" s="203">
        <f t="shared" si="142"/>
        <v>60000</v>
      </c>
      <c r="Q336" s="214"/>
      <c r="R336" s="215"/>
      <c r="S336" s="218">
        <v>45636</v>
      </c>
      <c r="T336" s="205"/>
      <c r="U336" s="205"/>
      <c r="V336" s="216"/>
      <c r="W336" s="212"/>
      <c r="X336" s="10">
        <v>7</v>
      </c>
      <c r="Y336" s="10">
        <v>7</v>
      </c>
      <c r="Z336" s="213">
        <f t="shared" si="143"/>
        <v>60000</v>
      </c>
      <c r="AA336" s="62"/>
      <c r="AB336" s="62"/>
      <c r="AC336" s="62"/>
      <c r="AD336" s="62"/>
      <c r="AE336" s="62"/>
      <c r="AF336" s="63"/>
      <c r="AG336" s="64"/>
      <c r="AH336" s="6">
        <v>1</v>
      </c>
      <c r="AI336">
        <f t="shared" si="144"/>
        <v>25</v>
      </c>
      <c r="AJ336">
        <f t="shared" si="145"/>
        <v>25</v>
      </c>
      <c r="AK336">
        <f t="shared" si="146"/>
        <v>0</v>
      </c>
      <c r="AL336">
        <f t="shared" si="147"/>
        <v>0</v>
      </c>
      <c r="AM336">
        <f t="shared" si="148"/>
        <v>0</v>
      </c>
      <c r="AN336">
        <f t="shared" si="149"/>
        <v>0</v>
      </c>
      <c r="AO336">
        <f t="shared" si="150"/>
        <v>0</v>
      </c>
      <c r="AP336">
        <f t="shared" si="151"/>
        <v>0</v>
      </c>
      <c r="AQ336">
        <f t="shared" si="152"/>
        <v>0</v>
      </c>
      <c r="AR336">
        <f t="shared" si="153"/>
        <v>0</v>
      </c>
      <c r="AS336">
        <f t="shared" si="154"/>
        <v>0</v>
      </c>
      <c r="AT336">
        <f t="shared" si="155"/>
        <v>0</v>
      </c>
      <c r="AU336">
        <f t="shared" si="156"/>
        <v>1</v>
      </c>
      <c r="AV336">
        <f t="shared" si="157"/>
        <v>1</v>
      </c>
      <c r="AW336">
        <f t="shared" si="158"/>
        <v>1</v>
      </c>
      <c r="AX336">
        <f t="shared" si="159"/>
        <v>1</v>
      </c>
      <c r="AY336">
        <f t="shared" si="160"/>
        <v>60000</v>
      </c>
      <c r="AZ336">
        <f t="shared" si="161"/>
        <v>60000</v>
      </c>
      <c r="BA336">
        <f t="shared" si="162"/>
        <v>0</v>
      </c>
      <c r="BB336">
        <f t="shared" si="163"/>
        <v>0</v>
      </c>
      <c r="BC336">
        <f t="shared" si="164"/>
        <v>0</v>
      </c>
      <c r="BD336">
        <f t="shared" si="165"/>
        <v>0</v>
      </c>
      <c r="BE336">
        <f t="shared" si="166"/>
        <v>0</v>
      </c>
      <c r="BF336">
        <f t="shared" si="167"/>
        <v>0</v>
      </c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1:256" s="201" customFormat="1" ht="14.25" x14ac:dyDescent="0.2">
      <c r="A337" s="10">
        <v>3304</v>
      </c>
      <c r="B337" s="11" t="s">
        <v>937</v>
      </c>
      <c r="C337" s="105" t="s">
        <v>938</v>
      </c>
      <c r="D337" s="11" t="s">
        <v>105</v>
      </c>
      <c r="E337" s="12">
        <v>20124</v>
      </c>
      <c r="F337" s="202">
        <v>10</v>
      </c>
      <c r="G337" s="11">
        <v>70000</v>
      </c>
      <c r="H337" s="116">
        <v>0</v>
      </c>
      <c r="I337" s="192"/>
      <c r="J337" s="204"/>
      <c r="K337" s="193"/>
      <c r="L337" s="193"/>
      <c r="M337" s="193"/>
      <c r="N337" s="203">
        <f t="shared" si="140"/>
        <v>70000</v>
      </c>
      <c r="O337" s="203">
        <f t="shared" si="141"/>
        <v>70000</v>
      </c>
      <c r="P337" s="203">
        <f t="shared" si="142"/>
        <v>70000</v>
      </c>
      <c r="Q337" s="214">
        <v>45665</v>
      </c>
      <c r="R337" s="215"/>
      <c r="S337" s="218">
        <v>45630</v>
      </c>
      <c r="T337" s="205"/>
      <c r="U337" s="205"/>
      <c r="V337" s="216" t="s">
        <v>1131</v>
      </c>
      <c r="W337" s="212"/>
      <c r="X337" s="10">
        <v>7</v>
      </c>
      <c r="Y337" s="10">
        <v>7</v>
      </c>
      <c r="Z337" s="213">
        <f t="shared" si="143"/>
        <v>70000</v>
      </c>
      <c r="AA337" s="62"/>
      <c r="AB337" s="62"/>
      <c r="AC337" s="62"/>
      <c r="AD337" s="62"/>
      <c r="AE337" s="62"/>
      <c r="AF337" s="63"/>
      <c r="AG337" s="64"/>
      <c r="AH337" s="6">
        <v>1</v>
      </c>
      <c r="AI337">
        <f t="shared" si="144"/>
        <v>25</v>
      </c>
      <c r="AJ337">
        <f t="shared" si="145"/>
        <v>25</v>
      </c>
      <c r="AK337">
        <f t="shared" si="146"/>
        <v>0</v>
      </c>
      <c r="AL337">
        <f t="shared" si="147"/>
        <v>0</v>
      </c>
      <c r="AM337">
        <f t="shared" si="148"/>
        <v>0</v>
      </c>
      <c r="AN337">
        <f t="shared" si="149"/>
        <v>0</v>
      </c>
      <c r="AO337">
        <f t="shared" si="150"/>
        <v>0</v>
      </c>
      <c r="AP337">
        <f t="shared" si="151"/>
        <v>0</v>
      </c>
      <c r="AQ337">
        <f t="shared" si="152"/>
        <v>0</v>
      </c>
      <c r="AR337">
        <f t="shared" si="153"/>
        <v>0</v>
      </c>
      <c r="AS337">
        <f t="shared" si="154"/>
        <v>0</v>
      </c>
      <c r="AT337">
        <f t="shared" si="155"/>
        <v>0</v>
      </c>
      <c r="AU337">
        <f t="shared" si="156"/>
        <v>1</v>
      </c>
      <c r="AV337">
        <f t="shared" si="157"/>
        <v>1</v>
      </c>
      <c r="AW337">
        <f t="shared" si="158"/>
        <v>1</v>
      </c>
      <c r="AX337">
        <f t="shared" si="159"/>
        <v>1</v>
      </c>
      <c r="AY337">
        <f t="shared" si="160"/>
        <v>70000</v>
      </c>
      <c r="AZ337">
        <f t="shared" si="161"/>
        <v>70000</v>
      </c>
      <c r="BA337">
        <f t="shared" si="162"/>
        <v>0</v>
      </c>
      <c r="BB337">
        <f t="shared" si="163"/>
        <v>0</v>
      </c>
      <c r="BC337">
        <f t="shared" si="164"/>
        <v>0</v>
      </c>
      <c r="BD337">
        <f t="shared" si="165"/>
        <v>0</v>
      </c>
      <c r="BE337">
        <f t="shared" si="166"/>
        <v>0</v>
      </c>
      <c r="BF337">
        <f t="shared" si="167"/>
        <v>0</v>
      </c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1:256" s="201" customFormat="1" ht="14.25" x14ac:dyDescent="0.2">
      <c r="A338" s="10">
        <v>3305</v>
      </c>
      <c r="B338" s="11" t="s">
        <v>939</v>
      </c>
      <c r="C338" s="105" t="s">
        <v>940</v>
      </c>
      <c r="D338" s="11" t="s">
        <v>105</v>
      </c>
      <c r="E338" s="12">
        <v>20122</v>
      </c>
      <c r="F338" s="202">
        <v>10</v>
      </c>
      <c r="G338" s="11">
        <v>60000</v>
      </c>
      <c r="H338" s="116">
        <v>0</v>
      </c>
      <c r="I338" s="192"/>
      <c r="J338" s="204"/>
      <c r="K338" s="193"/>
      <c r="L338" s="193"/>
      <c r="M338" s="193"/>
      <c r="N338" s="203">
        <f t="shared" si="140"/>
        <v>60000</v>
      </c>
      <c r="O338" s="203">
        <f t="shared" si="141"/>
        <v>60000</v>
      </c>
      <c r="P338" s="203">
        <f t="shared" si="142"/>
        <v>60000</v>
      </c>
      <c r="Q338" s="214"/>
      <c r="R338" s="215"/>
      <c r="S338" s="218">
        <v>45635</v>
      </c>
      <c r="T338" s="205"/>
      <c r="U338" s="205"/>
      <c r="V338" s="216"/>
      <c r="W338" s="212"/>
      <c r="X338" s="10">
        <v>7</v>
      </c>
      <c r="Y338" s="10">
        <v>7</v>
      </c>
      <c r="Z338" s="213">
        <f t="shared" si="143"/>
        <v>60000</v>
      </c>
      <c r="AA338" s="62"/>
      <c r="AB338" s="62"/>
      <c r="AC338" s="62"/>
      <c r="AD338" s="62"/>
      <c r="AE338" s="62"/>
      <c r="AF338" s="63"/>
      <c r="AG338" s="64"/>
      <c r="AH338" s="6">
        <v>1</v>
      </c>
      <c r="AI338">
        <f t="shared" si="144"/>
        <v>25</v>
      </c>
      <c r="AJ338">
        <f t="shared" si="145"/>
        <v>25</v>
      </c>
      <c r="AK338">
        <f t="shared" si="146"/>
        <v>0</v>
      </c>
      <c r="AL338">
        <f t="shared" si="147"/>
        <v>0</v>
      </c>
      <c r="AM338">
        <f t="shared" si="148"/>
        <v>0</v>
      </c>
      <c r="AN338">
        <f t="shared" si="149"/>
        <v>0</v>
      </c>
      <c r="AO338">
        <f t="shared" si="150"/>
        <v>0</v>
      </c>
      <c r="AP338">
        <f t="shared" si="151"/>
        <v>0</v>
      </c>
      <c r="AQ338">
        <f t="shared" si="152"/>
        <v>0</v>
      </c>
      <c r="AR338">
        <f t="shared" si="153"/>
        <v>0</v>
      </c>
      <c r="AS338">
        <f t="shared" si="154"/>
        <v>0</v>
      </c>
      <c r="AT338">
        <f t="shared" si="155"/>
        <v>0</v>
      </c>
      <c r="AU338">
        <f t="shared" si="156"/>
        <v>1</v>
      </c>
      <c r="AV338">
        <f t="shared" si="157"/>
        <v>1</v>
      </c>
      <c r="AW338">
        <f t="shared" si="158"/>
        <v>1</v>
      </c>
      <c r="AX338">
        <f t="shared" si="159"/>
        <v>1</v>
      </c>
      <c r="AY338">
        <f t="shared" si="160"/>
        <v>60000</v>
      </c>
      <c r="AZ338">
        <f t="shared" si="161"/>
        <v>60000</v>
      </c>
      <c r="BA338">
        <f t="shared" si="162"/>
        <v>0</v>
      </c>
      <c r="BB338">
        <f t="shared" si="163"/>
        <v>0</v>
      </c>
      <c r="BC338">
        <f t="shared" si="164"/>
        <v>0</v>
      </c>
      <c r="BD338">
        <f t="shared" si="165"/>
        <v>0</v>
      </c>
      <c r="BE338">
        <f t="shared" si="166"/>
        <v>0</v>
      </c>
      <c r="BF338">
        <f t="shared" si="167"/>
        <v>0</v>
      </c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1:256" s="201" customFormat="1" ht="14.25" x14ac:dyDescent="0.2">
      <c r="A339" s="10">
        <v>3307</v>
      </c>
      <c r="B339" s="11" t="s">
        <v>941</v>
      </c>
      <c r="C339" s="105" t="s">
        <v>942</v>
      </c>
      <c r="D339" s="11" t="s">
        <v>373</v>
      </c>
      <c r="E339" s="12">
        <v>20127</v>
      </c>
      <c r="F339" s="202">
        <v>10</v>
      </c>
      <c r="G339" s="11">
        <v>80000</v>
      </c>
      <c r="H339" s="116">
        <v>0</v>
      </c>
      <c r="I339" s="192"/>
      <c r="J339" s="204"/>
      <c r="K339" s="193"/>
      <c r="L339" s="193"/>
      <c r="M339" s="193"/>
      <c r="N339" s="203">
        <f t="shared" si="140"/>
        <v>80000</v>
      </c>
      <c r="O339" s="203">
        <f t="shared" si="141"/>
        <v>80000</v>
      </c>
      <c r="P339" s="203">
        <f t="shared" si="142"/>
        <v>80000</v>
      </c>
      <c r="Q339" s="214"/>
      <c r="R339" s="215"/>
      <c r="S339" s="218">
        <v>45647</v>
      </c>
      <c r="T339" s="205"/>
      <c r="U339" s="205"/>
      <c r="V339" s="216"/>
      <c r="W339" s="212"/>
      <c r="X339" s="10">
        <v>7</v>
      </c>
      <c r="Y339" s="10">
        <v>7</v>
      </c>
      <c r="Z339" s="213">
        <f t="shared" si="143"/>
        <v>80000</v>
      </c>
      <c r="AA339" s="62"/>
      <c r="AB339" s="62"/>
      <c r="AC339" s="62"/>
      <c r="AD339" s="62"/>
      <c r="AE339" s="62"/>
      <c r="AF339" s="63"/>
      <c r="AG339" s="64"/>
      <c r="AH339" s="6">
        <v>1</v>
      </c>
      <c r="AI339">
        <f t="shared" si="144"/>
        <v>25</v>
      </c>
      <c r="AJ339">
        <f t="shared" si="145"/>
        <v>25</v>
      </c>
      <c r="AK339">
        <f t="shared" si="146"/>
        <v>0</v>
      </c>
      <c r="AL339">
        <f t="shared" si="147"/>
        <v>0</v>
      </c>
      <c r="AM339">
        <f t="shared" si="148"/>
        <v>0</v>
      </c>
      <c r="AN339">
        <f t="shared" si="149"/>
        <v>0</v>
      </c>
      <c r="AO339">
        <f t="shared" si="150"/>
        <v>0</v>
      </c>
      <c r="AP339">
        <f t="shared" si="151"/>
        <v>0</v>
      </c>
      <c r="AQ339">
        <f t="shared" si="152"/>
        <v>0</v>
      </c>
      <c r="AR339">
        <f t="shared" si="153"/>
        <v>0</v>
      </c>
      <c r="AS339">
        <f t="shared" si="154"/>
        <v>0</v>
      </c>
      <c r="AT339">
        <f t="shared" si="155"/>
        <v>0</v>
      </c>
      <c r="AU339">
        <f t="shared" si="156"/>
        <v>1</v>
      </c>
      <c r="AV339">
        <f t="shared" si="157"/>
        <v>1</v>
      </c>
      <c r="AW339">
        <f t="shared" si="158"/>
        <v>1</v>
      </c>
      <c r="AX339">
        <f t="shared" si="159"/>
        <v>1</v>
      </c>
      <c r="AY339">
        <f t="shared" si="160"/>
        <v>80000</v>
      </c>
      <c r="AZ339">
        <f t="shared" si="161"/>
        <v>80000</v>
      </c>
      <c r="BA339">
        <f t="shared" si="162"/>
        <v>0</v>
      </c>
      <c r="BB339">
        <f t="shared" si="163"/>
        <v>0</v>
      </c>
      <c r="BC339">
        <f t="shared" si="164"/>
        <v>0</v>
      </c>
      <c r="BD339">
        <f t="shared" si="165"/>
        <v>0</v>
      </c>
      <c r="BE339">
        <f t="shared" si="166"/>
        <v>0</v>
      </c>
      <c r="BF339">
        <f t="shared" si="167"/>
        <v>0</v>
      </c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1:256" s="201" customFormat="1" ht="14.25" x14ac:dyDescent="0.2">
      <c r="A340" s="10">
        <v>3311</v>
      </c>
      <c r="B340" s="11" t="s">
        <v>943</v>
      </c>
      <c r="C340" s="105" t="s">
        <v>944</v>
      </c>
      <c r="D340" s="11" t="s">
        <v>105</v>
      </c>
      <c r="E340" s="12">
        <v>20130</v>
      </c>
      <c r="F340" s="202">
        <v>10</v>
      </c>
      <c r="G340" s="11">
        <v>60000</v>
      </c>
      <c r="H340" s="116">
        <v>0</v>
      </c>
      <c r="I340" s="192"/>
      <c r="J340" s="204"/>
      <c r="K340" s="193"/>
      <c r="L340" s="193"/>
      <c r="M340" s="193"/>
      <c r="N340" s="203">
        <f t="shared" si="140"/>
        <v>60000</v>
      </c>
      <c r="O340" s="203">
        <f t="shared" si="141"/>
        <v>60000</v>
      </c>
      <c r="P340" s="203">
        <f t="shared" si="142"/>
        <v>60000</v>
      </c>
      <c r="Q340" s="214"/>
      <c r="R340" s="215"/>
      <c r="S340" s="218">
        <v>45638</v>
      </c>
      <c r="T340" s="205"/>
      <c r="U340" s="205"/>
      <c r="V340" s="216"/>
      <c r="W340" s="212"/>
      <c r="X340" s="10">
        <v>7</v>
      </c>
      <c r="Y340" s="10">
        <v>7</v>
      </c>
      <c r="Z340" s="213">
        <f t="shared" si="143"/>
        <v>60000</v>
      </c>
      <c r="AA340" s="62"/>
      <c r="AB340" s="62"/>
      <c r="AC340" s="62"/>
      <c r="AD340" s="62"/>
      <c r="AE340" s="62"/>
      <c r="AF340" s="63"/>
      <c r="AG340" s="64"/>
      <c r="AH340" s="6">
        <v>1</v>
      </c>
      <c r="AI340">
        <f t="shared" si="144"/>
        <v>25</v>
      </c>
      <c r="AJ340">
        <f t="shared" si="145"/>
        <v>25</v>
      </c>
      <c r="AK340">
        <f t="shared" si="146"/>
        <v>0</v>
      </c>
      <c r="AL340">
        <f t="shared" si="147"/>
        <v>0</v>
      </c>
      <c r="AM340">
        <f t="shared" si="148"/>
        <v>0</v>
      </c>
      <c r="AN340">
        <f t="shared" si="149"/>
        <v>0</v>
      </c>
      <c r="AO340">
        <f t="shared" si="150"/>
        <v>0</v>
      </c>
      <c r="AP340">
        <f t="shared" si="151"/>
        <v>0</v>
      </c>
      <c r="AQ340">
        <f t="shared" si="152"/>
        <v>0</v>
      </c>
      <c r="AR340">
        <f t="shared" si="153"/>
        <v>0</v>
      </c>
      <c r="AS340">
        <f t="shared" si="154"/>
        <v>0</v>
      </c>
      <c r="AT340">
        <f t="shared" si="155"/>
        <v>0</v>
      </c>
      <c r="AU340">
        <f t="shared" si="156"/>
        <v>1</v>
      </c>
      <c r="AV340">
        <f t="shared" si="157"/>
        <v>1</v>
      </c>
      <c r="AW340">
        <f t="shared" si="158"/>
        <v>1</v>
      </c>
      <c r="AX340">
        <f t="shared" si="159"/>
        <v>1</v>
      </c>
      <c r="AY340">
        <f t="shared" si="160"/>
        <v>60000</v>
      </c>
      <c r="AZ340">
        <f t="shared" si="161"/>
        <v>60000</v>
      </c>
      <c r="BA340">
        <f t="shared" si="162"/>
        <v>0</v>
      </c>
      <c r="BB340">
        <f t="shared" si="163"/>
        <v>0</v>
      </c>
      <c r="BC340">
        <f t="shared" si="164"/>
        <v>0</v>
      </c>
      <c r="BD340">
        <f t="shared" si="165"/>
        <v>0</v>
      </c>
      <c r="BE340">
        <f t="shared" si="166"/>
        <v>0</v>
      </c>
      <c r="BF340">
        <f t="shared" si="167"/>
        <v>0</v>
      </c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1:256" s="201" customFormat="1" ht="14.25" x14ac:dyDescent="0.2">
      <c r="A341" s="10">
        <v>3312</v>
      </c>
      <c r="B341" s="11" t="s">
        <v>945</v>
      </c>
      <c r="C341" s="105" t="s">
        <v>946</v>
      </c>
      <c r="D341" s="11" t="s">
        <v>106</v>
      </c>
      <c r="E341" s="12">
        <v>20135</v>
      </c>
      <c r="F341" s="202">
        <v>10</v>
      </c>
      <c r="G341" s="11">
        <v>80000</v>
      </c>
      <c r="H341" s="116">
        <v>0</v>
      </c>
      <c r="I341" s="192"/>
      <c r="J341" s="204"/>
      <c r="K341" s="193"/>
      <c r="L341" s="193"/>
      <c r="M341" s="193"/>
      <c r="N341" s="203">
        <f t="shared" si="140"/>
        <v>80000</v>
      </c>
      <c r="O341" s="203">
        <f t="shared" si="141"/>
        <v>80000</v>
      </c>
      <c r="P341" s="203">
        <f t="shared" si="142"/>
        <v>80000</v>
      </c>
      <c r="Q341" s="214"/>
      <c r="R341" s="215"/>
      <c r="S341" s="218">
        <v>45656</v>
      </c>
      <c r="T341" s="205"/>
      <c r="U341" s="205"/>
      <c r="V341" s="216"/>
      <c r="W341" s="212"/>
      <c r="X341" s="10">
        <v>7</v>
      </c>
      <c r="Y341" s="10">
        <v>7</v>
      </c>
      <c r="Z341" s="213">
        <f t="shared" si="143"/>
        <v>80000</v>
      </c>
      <c r="AA341" s="62"/>
      <c r="AB341" s="62"/>
      <c r="AC341" s="62"/>
      <c r="AD341" s="62"/>
      <c r="AE341" s="62"/>
      <c r="AF341" s="63"/>
      <c r="AG341" s="64"/>
      <c r="AH341" s="6">
        <v>1</v>
      </c>
      <c r="AI341">
        <f t="shared" si="144"/>
        <v>25</v>
      </c>
      <c r="AJ341">
        <f t="shared" si="145"/>
        <v>25</v>
      </c>
      <c r="AK341">
        <f t="shared" si="146"/>
        <v>0</v>
      </c>
      <c r="AL341">
        <f t="shared" si="147"/>
        <v>0</v>
      </c>
      <c r="AM341">
        <f t="shared" si="148"/>
        <v>0</v>
      </c>
      <c r="AN341">
        <f t="shared" si="149"/>
        <v>0</v>
      </c>
      <c r="AO341">
        <f t="shared" si="150"/>
        <v>0</v>
      </c>
      <c r="AP341">
        <f t="shared" si="151"/>
        <v>0</v>
      </c>
      <c r="AQ341">
        <f t="shared" si="152"/>
        <v>0</v>
      </c>
      <c r="AR341">
        <f t="shared" si="153"/>
        <v>0</v>
      </c>
      <c r="AS341">
        <f t="shared" si="154"/>
        <v>0</v>
      </c>
      <c r="AT341">
        <f t="shared" si="155"/>
        <v>0</v>
      </c>
      <c r="AU341">
        <f t="shared" si="156"/>
        <v>1</v>
      </c>
      <c r="AV341">
        <f t="shared" si="157"/>
        <v>1</v>
      </c>
      <c r="AW341">
        <f t="shared" si="158"/>
        <v>1</v>
      </c>
      <c r="AX341">
        <f t="shared" si="159"/>
        <v>1</v>
      </c>
      <c r="AY341">
        <f t="shared" si="160"/>
        <v>80000</v>
      </c>
      <c r="AZ341">
        <f t="shared" si="161"/>
        <v>80000</v>
      </c>
      <c r="BA341">
        <f t="shared" si="162"/>
        <v>0</v>
      </c>
      <c r="BB341">
        <f t="shared" si="163"/>
        <v>0</v>
      </c>
      <c r="BC341">
        <f t="shared" si="164"/>
        <v>0</v>
      </c>
      <c r="BD341">
        <f t="shared" si="165"/>
        <v>0</v>
      </c>
      <c r="BE341">
        <f t="shared" si="166"/>
        <v>0</v>
      </c>
      <c r="BF341">
        <f t="shared" si="167"/>
        <v>0</v>
      </c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1:256" s="201" customFormat="1" ht="14.25" x14ac:dyDescent="0.2">
      <c r="A342" s="10">
        <v>3315</v>
      </c>
      <c r="B342" s="11" t="s">
        <v>947</v>
      </c>
      <c r="C342" s="105" t="s">
        <v>948</v>
      </c>
      <c r="D342" s="11" t="s">
        <v>105</v>
      </c>
      <c r="E342" s="12">
        <v>20139</v>
      </c>
      <c r="F342" s="202">
        <v>10</v>
      </c>
      <c r="G342" s="11">
        <v>70000</v>
      </c>
      <c r="H342" s="116">
        <v>-70000</v>
      </c>
      <c r="I342" s="192"/>
      <c r="J342" s="204"/>
      <c r="K342" s="193"/>
      <c r="L342" s="193"/>
      <c r="M342" s="193"/>
      <c r="N342" s="203">
        <f t="shared" si="140"/>
        <v>70000</v>
      </c>
      <c r="O342" s="203">
        <f t="shared" si="141"/>
        <v>0</v>
      </c>
      <c r="P342" s="203">
        <f t="shared" si="142"/>
        <v>0</v>
      </c>
      <c r="Q342" s="214"/>
      <c r="R342" s="215"/>
      <c r="S342" s="218">
        <v>45648</v>
      </c>
      <c r="T342" s="205"/>
      <c r="U342" s="205"/>
      <c r="V342" s="216"/>
      <c r="W342" s="212"/>
      <c r="X342" s="10">
        <v>7</v>
      </c>
      <c r="Y342" s="10">
        <v>7</v>
      </c>
      <c r="Z342" s="213">
        <f t="shared" si="143"/>
        <v>70000</v>
      </c>
      <c r="AA342" s="62"/>
      <c r="AB342" s="62"/>
      <c r="AC342" s="62"/>
      <c r="AD342" s="62"/>
      <c r="AE342" s="62"/>
      <c r="AF342" s="63"/>
      <c r="AG342" s="64"/>
      <c r="AH342" s="6">
        <v>1</v>
      </c>
      <c r="AI342">
        <f t="shared" si="144"/>
        <v>25</v>
      </c>
      <c r="AJ342">
        <f t="shared" si="145"/>
        <v>15</v>
      </c>
      <c r="AK342">
        <f t="shared" si="146"/>
        <v>0</v>
      </c>
      <c r="AL342">
        <f t="shared" si="147"/>
        <v>0</v>
      </c>
      <c r="AM342">
        <f t="shared" si="148"/>
        <v>0</v>
      </c>
      <c r="AN342">
        <f t="shared" si="149"/>
        <v>0</v>
      </c>
      <c r="AO342">
        <f t="shared" si="150"/>
        <v>0</v>
      </c>
      <c r="AP342">
        <f t="shared" si="151"/>
        <v>0</v>
      </c>
      <c r="AQ342">
        <f t="shared" si="152"/>
        <v>0</v>
      </c>
      <c r="AR342">
        <f t="shared" si="153"/>
        <v>0</v>
      </c>
      <c r="AS342">
        <f t="shared" si="154"/>
        <v>0</v>
      </c>
      <c r="AT342">
        <f t="shared" si="155"/>
        <v>0</v>
      </c>
      <c r="AU342">
        <f t="shared" si="156"/>
        <v>0</v>
      </c>
      <c r="AV342">
        <f t="shared" si="157"/>
        <v>0</v>
      </c>
      <c r="AW342">
        <f t="shared" si="158"/>
        <v>0</v>
      </c>
      <c r="AX342">
        <f t="shared" si="159"/>
        <v>0</v>
      </c>
      <c r="AY342">
        <f t="shared" si="160"/>
        <v>0</v>
      </c>
      <c r="AZ342">
        <f t="shared" si="161"/>
        <v>0</v>
      </c>
      <c r="BA342">
        <f t="shared" si="162"/>
        <v>0</v>
      </c>
      <c r="BB342">
        <f t="shared" si="163"/>
        <v>0</v>
      </c>
      <c r="BC342">
        <f t="shared" si="164"/>
        <v>0</v>
      </c>
      <c r="BD342">
        <f t="shared" si="165"/>
        <v>0</v>
      </c>
      <c r="BE342">
        <f t="shared" si="166"/>
        <v>0</v>
      </c>
      <c r="BF342">
        <f t="shared" si="167"/>
        <v>0</v>
      </c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1:256" s="201" customFormat="1" ht="14.25" x14ac:dyDescent="0.2">
      <c r="A343" s="10">
        <v>3317</v>
      </c>
      <c r="B343" s="11" t="s">
        <v>949</v>
      </c>
      <c r="C343" s="105" t="s">
        <v>950</v>
      </c>
      <c r="D343" s="11" t="s">
        <v>157</v>
      </c>
      <c r="E343" s="12">
        <v>20138</v>
      </c>
      <c r="F343" s="202">
        <v>10</v>
      </c>
      <c r="G343" s="11">
        <v>90000</v>
      </c>
      <c r="H343" s="116">
        <v>0</v>
      </c>
      <c r="I343" s="192"/>
      <c r="J343" s="204"/>
      <c r="K343" s="193"/>
      <c r="L343" s="193"/>
      <c r="M343" s="193"/>
      <c r="N343" s="203">
        <f t="shared" si="140"/>
        <v>90000</v>
      </c>
      <c r="O343" s="203">
        <f t="shared" si="141"/>
        <v>90000</v>
      </c>
      <c r="P343" s="203">
        <f t="shared" si="142"/>
        <v>90000</v>
      </c>
      <c r="Q343" s="214">
        <v>45664</v>
      </c>
      <c r="R343" s="215"/>
      <c r="S343" s="218">
        <v>45630</v>
      </c>
      <c r="T343" s="205"/>
      <c r="U343" s="205"/>
      <c r="V343" s="216" t="s">
        <v>1136</v>
      </c>
      <c r="W343" s="212"/>
      <c r="X343" s="10">
        <v>7</v>
      </c>
      <c r="Y343" s="10">
        <v>7</v>
      </c>
      <c r="Z343" s="213">
        <f t="shared" si="143"/>
        <v>90000</v>
      </c>
      <c r="AA343" s="62"/>
      <c r="AB343" s="62"/>
      <c r="AC343" s="62"/>
      <c r="AD343" s="62"/>
      <c r="AE343" s="62"/>
      <c r="AF343" s="63"/>
      <c r="AG343" s="64"/>
      <c r="AH343" s="6">
        <v>1</v>
      </c>
      <c r="AI343">
        <f t="shared" si="144"/>
        <v>25</v>
      </c>
      <c r="AJ343">
        <f t="shared" si="145"/>
        <v>25</v>
      </c>
      <c r="AK343">
        <f t="shared" si="146"/>
        <v>0</v>
      </c>
      <c r="AL343">
        <f t="shared" si="147"/>
        <v>0</v>
      </c>
      <c r="AM343">
        <f t="shared" si="148"/>
        <v>0</v>
      </c>
      <c r="AN343">
        <f t="shared" si="149"/>
        <v>0</v>
      </c>
      <c r="AO343">
        <f t="shared" si="150"/>
        <v>0</v>
      </c>
      <c r="AP343">
        <f t="shared" si="151"/>
        <v>0</v>
      </c>
      <c r="AQ343">
        <f t="shared" si="152"/>
        <v>0</v>
      </c>
      <c r="AR343">
        <f t="shared" si="153"/>
        <v>0</v>
      </c>
      <c r="AS343">
        <f t="shared" si="154"/>
        <v>0</v>
      </c>
      <c r="AT343">
        <f t="shared" si="155"/>
        <v>0</v>
      </c>
      <c r="AU343">
        <f t="shared" si="156"/>
        <v>1</v>
      </c>
      <c r="AV343">
        <f t="shared" si="157"/>
        <v>1</v>
      </c>
      <c r="AW343">
        <f t="shared" si="158"/>
        <v>1</v>
      </c>
      <c r="AX343">
        <f t="shared" si="159"/>
        <v>1</v>
      </c>
      <c r="AY343">
        <f t="shared" si="160"/>
        <v>90000</v>
      </c>
      <c r="AZ343">
        <f t="shared" si="161"/>
        <v>90000</v>
      </c>
      <c r="BA343">
        <f t="shared" si="162"/>
        <v>0</v>
      </c>
      <c r="BB343">
        <f t="shared" si="163"/>
        <v>0</v>
      </c>
      <c r="BC343">
        <f t="shared" si="164"/>
        <v>0</v>
      </c>
      <c r="BD343">
        <f t="shared" si="165"/>
        <v>0</v>
      </c>
      <c r="BE343">
        <f t="shared" si="166"/>
        <v>0</v>
      </c>
      <c r="BF343">
        <f t="shared" si="167"/>
        <v>0</v>
      </c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1:256" s="201" customFormat="1" ht="14.25" x14ac:dyDescent="0.2">
      <c r="A344" s="10">
        <v>3321</v>
      </c>
      <c r="B344" s="11" t="s">
        <v>438</v>
      </c>
      <c r="C344" s="105" t="s">
        <v>439</v>
      </c>
      <c r="D344" s="11" t="s">
        <v>106</v>
      </c>
      <c r="E344" s="12">
        <v>3978</v>
      </c>
      <c r="F344" s="202">
        <v>9</v>
      </c>
      <c r="G344" s="11">
        <v>60000</v>
      </c>
      <c r="H344" s="116">
        <v>0</v>
      </c>
      <c r="I344" s="192"/>
      <c r="J344" s="204"/>
      <c r="K344" s="193"/>
      <c r="L344" s="193"/>
      <c r="M344" s="193"/>
      <c r="N344" s="203">
        <f t="shared" si="140"/>
        <v>60000</v>
      </c>
      <c r="O344" s="203">
        <f t="shared" si="141"/>
        <v>60000</v>
      </c>
      <c r="P344" s="203">
        <f t="shared" si="142"/>
        <v>60000</v>
      </c>
      <c r="Q344" s="214"/>
      <c r="R344" s="215"/>
      <c r="S344" s="218">
        <v>45652</v>
      </c>
      <c r="T344" s="205"/>
      <c r="U344" s="205"/>
      <c r="V344" s="216"/>
      <c r="W344" s="212"/>
      <c r="X344" s="10">
        <v>7</v>
      </c>
      <c r="Y344" s="10">
        <v>7</v>
      </c>
      <c r="Z344" s="213">
        <f t="shared" si="143"/>
        <v>60000</v>
      </c>
      <c r="AA344" s="62"/>
      <c r="AB344" s="62"/>
      <c r="AC344" s="62"/>
      <c r="AD344" s="62"/>
      <c r="AE344" s="62"/>
      <c r="AF344" s="63"/>
      <c r="AG344" s="64"/>
      <c r="AH344" s="6">
        <v>1</v>
      </c>
      <c r="AI344">
        <f t="shared" si="144"/>
        <v>25</v>
      </c>
      <c r="AJ344">
        <f t="shared" si="145"/>
        <v>25</v>
      </c>
      <c r="AK344">
        <f t="shared" si="146"/>
        <v>0</v>
      </c>
      <c r="AL344">
        <f t="shared" si="147"/>
        <v>0</v>
      </c>
      <c r="AM344">
        <f t="shared" si="148"/>
        <v>0</v>
      </c>
      <c r="AN344">
        <f t="shared" si="149"/>
        <v>0</v>
      </c>
      <c r="AO344">
        <f t="shared" si="150"/>
        <v>0</v>
      </c>
      <c r="AP344">
        <f t="shared" si="151"/>
        <v>0</v>
      </c>
      <c r="AQ344">
        <f t="shared" si="152"/>
        <v>0</v>
      </c>
      <c r="AR344">
        <f t="shared" si="153"/>
        <v>0</v>
      </c>
      <c r="AS344">
        <f t="shared" si="154"/>
        <v>0</v>
      </c>
      <c r="AT344">
        <f t="shared" si="155"/>
        <v>0</v>
      </c>
      <c r="AU344">
        <f t="shared" si="156"/>
        <v>1</v>
      </c>
      <c r="AV344">
        <f t="shared" si="157"/>
        <v>1</v>
      </c>
      <c r="AW344">
        <f t="shared" si="158"/>
        <v>1</v>
      </c>
      <c r="AX344">
        <f t="shared" si="159"/>
        <v>1</v>
      </c>
      <c r="AY344">
        <f t="shared" si="160"/>
        <v>60000</v>
      </c>
      <c r="AZ344">
        <f t="shared" si="161"/>
        <v>60000</v>
      </c>
      <c r="BA344">
        <f t="shared" si="162"/>
        <v>0</v>
      </c>
      <c r="BB344">
        <f t="shared" si="163"/>
        <v>0</v>
      </c>
      <c r="BC344">
        <f t="shared" si="164"/>
        <v>0</v>
      </c>
      <c r="BD344">
        <f t="shared" si="165"/>
        <v>0</v>
      </c>
      <c r="BE344">
        <f t="shared" si="166"/>
        <v>0</v>
      </c>
      <c r="BF344">
        <f t="shared" si="167"/>
        <v>0</v>
      </c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1:256" s="201" customFormat="1" ht="14.25" x14ac:dyDescent="0.2">
      <c r="A345" s="10">
        <v>3322</v>
      </c>
      <c r="B345" s="11" t="s">
        <v>951</v>
      </c>
      <c r="C345" s="105" t="s">
        <v>952</v>
      </c>
      <c r="D345" s="11" t="s">
        <v>105</v>
      </c>
      <c r="E345" s="12">
        <v>3980</v>
      </c>
      <c r="F345" s="202">
        <v>9</v>
      </c>
      <c r="G345" s="11">
        <v>80000</v>
      </c>
      <c r="H345" s="116">
        <v>0</v>
      </c>
      <c r="I345" s="192"/>
      <c r="J345" s="204"/>
      <c r="K345" s="193"/>
      <c r="L345" s="193"/>
      <c r="M345" s="193"/>
      <c r="N345" s="203">
        <f t="shared" si="140"/>
        <v>80000</v>
      </c>
      <c r="O345" s="203">
        <f t="shared" si="141"/>
        <v>80000</v>
      </c>
      <c r="P345" s="203">
        <f t="shared" si="142"/>
        <v>80000</v>
      </c>
      <c r="Q345" s="214"/>
      <c r="R345" s="215"/>
      <c r="S345" s="218">
        <v>45640</v>
      </c>
      <c r="T345" s="205"/>
      <c r="U345" s="205"/>
      <c r="V345" s="216"/>
      <c r="W345" s="212"/>
      <c r="X345" s="10">
        <v>7</v>
      </c>
      <c r="Y345" s="10">
        <v>7</v>
      </c>
      <c r="Z345" s="213">
        <f t="shared" si="143"/>
        <v>80000</v>
      </c>
      <c r="AA345" s="62"/>
      <c r="AB345" s="62"/>
      <c r="AC345" s="62"/>
      <c r="AD345" s="62"/>
      <c r="AE345" s="62"/>
      <c r="AF345" s="63"/>
      <c r="AG345" s="64"/>
      <c r="AH345" s="6">
        <v>1</v>
      </c>
      <c r="AI345">
        <f t="shared" si="144"/>
        <v>25</v>
      </c>
      <c r="AJ345">
        <f t="shared" si="145"/>
        <v>25</v>
      </c>
      <c r="AK345">
        <f t="shared" si="146"/>
        <v>0</v>
      </c>
      <c r="AL345">
        <f t="shared" si="147"/>
        <v>0</v>
      </c>
      <c r="AM345">
        <f t="shared" si="148"/>
        <v>0</v>
      </c>
      <c r="AN345">
        <f t="shared" si="149"/>
        <v>0</v>
      </c>
      <c r="AO345">
        <f t="shared" si="150"/>
        <v>0</v>
      </c>
      <c r="AP345">
        <f t="shared" si="151"/>
        <v>0</v>
      </c>
      <c r="AQ345">
        <f t="shared" si="152"/>
        <v>0</v>
      </c>
      <c r="AR345">
        <f t="shared" si="153"/>
        <v>0</v>
      </c>
      <c r="AS345">
        <f t="shared" si="154"/>
        <v>0</v>
      </c>
      <c r="AT345">
        <f t="shared" si="155"/>
        <v>0</v>
      </c>
      <c r="AU345">
        <f t="shared" si="156"/>
        <v>1</v>
      </c>
      <c r="AV345">
        <f t="shared" si="157"/>
        <v>1</v>
      </c>
      <c r="AW345">
        <f t="shared" si="158"/>
        <v>1</v>
      </c>
      <c r="AX345">
        <f t="shared" si="159"/>
        <v>1</v>
      </c>
      <c r="AY345">
        <f t="shared" si="160"/>
        <v>80000</v>
      </c>
      <c r="AZ345">
        <f t="shared" si="161"/>
        <v>80000</v>
      </c>
      <c r="BA345">
        <f t="shared" si="162"/>
        <v>0</v>
      </c>
      <c r="BB345">
        <f t="shared" si="163"/>
        <v>0</v>
      </c>
      <c r="BC345">
        <f t="shared" si="164"/>
        <v>0</v>
      </c>
      <c r="BD345">
        <f t="shared" si="165"/>
        <v>0</v>
      </c>
      <c r="BE345">
        <f t="shared" si="166"/>
        <v>0</v>
      </c>
      <c r="BF345">
        <f t="shared" si="167"/>
        <v>0</v>
      </c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1:256" s="201" customFormat="1" ht="14.25" x14ac:dyDescent="0.2">
      <c r="A346" s="10">
        <v>3324</v>
      </c>
      <c r="B346" s="11" t="s">
        <v>440</v>
      </c>
      <c r="C346" s="105" t="s">
        <v>441</v>
      </c>
      <c r="D346" s="11" t="s">
        <v>295</v>
      </c>
      <c r="E346" s="12">
        <v>20115</v>
      </c>
      <c r="F346" s="202">
        <v>9</v>
      </c>
      <c r="G346" s="11">
        <v>40000</v>
      </c>
      <c r="H346" s="116">
        <v>0</v>
      </c>
      <c r="I346" s="192"/>
      <c r="J346" s="204"/>
      <c r="K346" s="193"/>
      <c r="L346" s="193"/>
      <c r="M346" s="193"/>
      <c r="N346" s="203">
        <f t="shared" si="140"/>
        <v>40000</v>
      </c>
      <c r="O346" s="203">
        <f t="shared" si="141"/>
        <v>40000</v>
      </c>
      <c r="P346" s="203">
        <f t="shared" si="142"/>
        <v>40000</v>
      </c>
      <c r="Q346" s="214"/>
      <c r="R346" s="215"/>
      <c r="S346" s="218">
        <v>45649</v>
      </c>
      <c r="T346" s="205"/>
      <c r="U346" s="205"/>
      <c r="V346" s="216"/>
      <c r="W346" s="212"/>
      <c r="X346" s="10">
        <v>7</v>
      </c>
      <c r="Y346" s="10">
        <v>7</v>
      </c>
      <c r="Z346" s="213">
        <f t="shared" si="143"/>
        <v>40000</v>
      </c>
      <c r="AA346" s="62"/>
      <c r="AB346" s="62"/>
      <c r="AC346" s="62"/>
      <c r="AD346" s="62"/>
      <c r="AE346" s="62"/>
      <c r="AF346" s="63"/>
      <c r="AG346" s="64"/>
      <c r="AH346" s="6">
        <v>1</v>
      </c>
      <c r="AI346">
        <f t="shared" si="144"/>
        <v>25</v>
      </c>
      <c r="AJ346">
        <f t="shared" si="145"/>
        <v>25</v>
      </c>
      <c r="AK346">
        <f t="shared" si="146"/>
        <v>0</v>
      </c>
      <c r="AL346">
        <f t="shared" si="147"/>
        <v>0</v>
      </c>
      <c r="AM346">
        <f t="shared" si="148"/>
        <v>0</v>
      </c>
      <c r="AN346">
        <f t="shared" si="149"/>
        <v>0</v>
      </c>
      <c r="AO346">
        <f t="shared" si="150"/>
        <v>0</v>
      </c>
      <c r="AP346">
        <f t="shared" si="151"/>
        <v>0</v>
      </c>
      <c r="AQ346">
        <f t="shared" si="152"/>
        <v>0</v>
      </c>
      <c r="AR346">
        <f t="shared" si="153"/>
        <v>0</v>
      </c>
      <c r="AS346">
        <f t="shared" si="154"/>
        <v>0</v>
      </c>
      <c r="AT346">
        <f t="shared" si="155"/>
        <v>0</v>
      </c>
      <c r="AU346">
        <f t="shared" si="156"/>
        <v>1</v>
      </c>
      <c r="AV346">
        <f t="shared" si="157"/>
        <v>1</v>
      </c>
      <c r="AW346">
        <f t="shared" si="158"/>
        <v>1</v>
      </c>
      <c r="AX346">
        <f t="shared" si="159"/>
        <v>1</v>
      </c>
      <c r="AY346">
        <f t="shared" si="160"/>
        <v>40000</v>
      </c>
      <c r="AZ346">
        <f t="shared" si="161"/>
        <v>40000</v>
      </c>
      <c r="BA346">
        <f t="shared" si="162"/>
        <v>0</v>
      </c>
      <c r="BB346">
        <f t="shared" si="163"/>
        <v>0</v>
      </c>
      <c r="BC346">
        <f t="shared" si="164"/>
        <v>0</v>
      </c>
      <c r="BD346">
        <f t="shared" si="165"/>
        <v>0</v>
      </c>
      <c r="BE346">
        <f t="shared" si="166"/>
        <v>0</v>
      </c>
      <c r="BF346">
        <f t="shared" si="167"/>
        <v>0</v>
      </c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1:256" s="201" customFormat="1" ht="14.25" x14ac:dyDescent="0.2">
      <c r="A347" s="10">
        <v>3325</v>
      </c>
      <c r="B347" s="11" t="s">
        <v>953</v>
      </c>
      <c r="C347" s="105" t="s">
        <v>954</v>
      </c>
      <c r="D347" s="11" t="s">
        <v>106</v>
      </c>
      <c r="E347" s="12">
        <v>20132</v>
      </c>
      <c r="F347" s="202">
        <v>9</v>
      </c>
      <c r="G347" s="11">
        <v>200000</v>
      </c>
      <c r="H347" s="116">
        <v>-600000</v>
      </c>
      <c r="I347" s="192"/>
      <c r="J347" s="204"/>
      <c r="K347" s="193"/>
      <c r="L347" s="193"/>
      <c r="M347" s="193"/>
      <c r="N347" s="203">
        <f t="shared" si="140"/>
        <v>200000</v>
      </c>
      <c r="O347" s="203">
        <f t="shared" si="141"/>
        <v>-400000</v>
      </c>
      <c r="P347" s="203">
        <f t="shared" si="142"/>
        <v>0</v>
      </c>
      <c r="Q347" s="214">
        <v>45665</v>
      </c>
      <c r="R347" s="215"/>
      <c r="S347" s="218">
        <v>45636</v>
      </c>
      <c r="T347" s="205"/>
      <c r="U347" s="205"/>
      <c r="V347" s="216" t="s">
        <v>1131</v>
      </c>
      <c r="W347" s="212"/>
      <c r="X347" s="10">
        <v>7</v>
      </c>
      <c r="Y347" s="10">
        <v>7</v>
      </c>
      <c r="Z347" s="213">
        <f t="shared" si="143"/>
        <v>200000</v>
      </c>
      <c r="AA347" s="62"/>
      <c r="AB347" s="62"/>
      <c r="AC347" s="62"/>
      <c r="AD347" s="62"/>
      <c r="AE347" s="62"/>
      <c r="AF347" s="63"/>
      <c r="AG347" s="64"/>
      <c r="AH347" s="6">
        <v>1</v>
      </c>
      <c r="AI347">
        <f t="shared" si="144"/>
        <v>25</v>
      </c>
      <c r="AJ347">
        <f t="shared" si="145"/>
        <v>25</v>
      </c>
      <c r="AK347">
        <f t="shared" si="146"/>
        <v>0</v>
      </c>
      <c r="AL347">
        <f t="shared" si="147"/>
        <v>0</v>
      </c>
      <c r="AM347">
        <f t="shared" si="148"/>
        <v>0</v>
      </c>
      <c r="AN347">
        <f t="shared" si="149"/>
        <v>0</v>
      </c>
      <c r="AO347">
        <f t="shared" si="150"/>
        <v>0</v>
      </c>
      <c r="AP347">
        <f t="shared" si="151"/>
        <v>0</v>
      </c>
      <c r="AQ347">
        <f t="shared" si="152"/>
        <v>0</v>
      </c>
      <c r="AR347">
        <f t="shared" si="153"/>
        <v>0</v>
      </c>
      <c r="AS347">
        <f t="shared" si="154"/>
        <v>0</v>
      </c>
      <c r="AT347">
        <f t="shared" si="155"/>
        <v>0</v>
      </c>
      <c r="AU347">
        <f t="shared" si="156"/>
        <v>0</v>
      </c>
      <c r="AV347">
        <f t="shared" si="157"/>
        <v>0</v>
      </c>
      <c r="AW347">
        <f t="shared" si="158"/>
        <v>0</v>
      </c>
      <c r="AX347">
        <f t="shared" si="159"/>
        <v>0</v>
      </c>
      <c r="AY347">
        <f t="shared" si="160"/>
        <v>0</v>
      </c>
      <c r="AZ347">
        <f t="shared" si="161"/>
        <v>0</v>
      </c>
      <c r="BA347">
        <f t="shared" si="162"/>
        <v>0</v>
      </c>
      <c r="BB347">
        <f t="shared" si="163"/>
        <v>0</v>
      </c>
      <c r="BC347">
        <f t="shared" si="164"/>
        <v>0</v>
      </c>
      <c r="BD347">
        <f t="shared" si="165"/>
        <v>0</v>
      </c>
      <c r="BE347">
        <f t="shared" si="166"/>
        <v>0</v>
      </c>
      <c r="BF347">
        <f t="shared" si="167"/>
        <v>0</v>
      </c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1:256" s="201" customFormat="1" ht="14.25" x14ac:dyDescent="0.2">
      <c r="A348" s="10">
        <v>3328</v>
      </c>
      <c r="B348" s="11" t="s">
        <v>442</v>
      </c>
      <c r="C348" s="105" t="s">
        <v>443</v>
      </c>
      <c r="D348" s="11" t="s">
        <v>173</v>
      </c>
      <c r="E348" s="12">
        <v>20142</v>
      </c>
      <c r="F348" s="202">
        <v>9</v>
      </c>
      <c r="G348" s="11">
        <v>50000</v>
      </c>
      <c r="H348" s="116">
        <v>0</v>
      </c>
      <c r="I348" s="192"/>
      <c r="J348" s="204"/>
      <c r="K348" s="193"/>
      <c r="L348" s="193"/>
      <c r="M348" s="193"/>
      <c r="N348" s="203">
        <f t="shared" si="140"/>
        <v>50000</v>
      </c>
      <c r="O348" s="203">
        <f t="shared" si="141"/>
        <v>50000</v>
      </c>
      <c r="P348" s="203">
        <f t="shared" si="142"/>
        <v>50000</v>
      </c>
      <c r="Q348" s="214"/>
      <c r="R348" s="215"/>
      <c r="S348" s="218">
        <v>45653</v>
      </c>
      <c r="T348" s="205"/>
      <c r="U348" s="205"/>
      <c r="V348" s="216"/>
      <c r="W348" s="212"/>
      <c r="X348" s="10">
        <v>7</v>
      </c>
      <c r="Y348" s="10">
        <v>7</v>
      </c>
      <c r="Z348" s="213">
        <f t="shared" si="143"/>
        <v>50000</v>
      </c>
      <c r="AA348" s="62"/>
      <c r="AB348" s="62"/>
      <c r="AC348" s="62"/>
      <c r="AD348" s="62"/>
      <c r="AE348" s="62"/>
      <c r="AF348" s="63"/>
      <c r="AG348" s="64"/>
      <c r="AH348" s="6">
        <v>1</v>
      </c>
      <c r="AI348">
        <f t="shared" si="144"/>
        <v>25</v>
      </c>
      <c r="AJ348">
        <f t="shared" si="145"/>
        <v>25</v>
      </c>
      <c r="AK348">
        <f t="shared" si="146"/>
        <v>0</v>
      </c>
      <c r="AL348">
        <f t="shared" si="147"/>
        <v>0</v>
      </c>
      <c r="AM348">
        <f t="shared" si="148"/>
        <v>0</v>
      </c>
      <c r="AN348">
        <f t="shared" si="149"/>
        <v>0</v>
      </c>
      <c r="AO348">
        <f t="shared" si="150"/>
        <v>0</v>
      </c>
      <c r="AP348">
        <f t="shared" si="151"/>
        <v>0</v>
      </c>
      <c r="AQ348">
        <f t="shared" si="152"/>
        <v>0</v>
      </c>
      <c r="AR348">
        <f t="shared" si="153"/>
        <v>0</v>
      </c>
      <c r="AS348">
        <f t="shared" si="154"/>
        <v>0</v>
      </c>
      <c r="AT348">
        <f t="shared" si="155"/>
        <v>0</v>
      </c>
      <c r="AU348">
        <f t="shared" si="156"/>
        <v>1</v>
      </c>
      <c r="AV348">
        <f t="shared" si="157"/>
        <v>1</v>
      </c>
      <c r="AW348">
        <f t="shared" si="158"/>
        <v>1</v>
      </c>
      <c r="AX348">
        <f t="shared" si="159"/>
        <v>1</v>
      </c>
      <c r="AY348">
        <f t="shared" si="160"/>
        <v>50000</v>
      </c>
      <c r="AZ348">
        <f t="shared" si="161"/>
        <v>50000</v>
      </c>
      <c r="BA348">
        <f t="shared" si="162"/>
        <v>0</v>
      </c>
      <c r="BB348">
        <f t="shared" si="163"/>
        <v>0</v>
      </c>
      <c r="BC348">
        <f t="shared" si="164"/>
        <v>0</v>
      </c>
      <c r="BD348">
        <f t="shared" si="165"/>
        <v>0</v>
      </c>
      <c r="BE348">
        <f t="shared" si="166"/>
        <v>0</v>
      </c>
      <c r="BF348">
        <f t="shared" si="167"/>
        <v>0</v>
      </c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1:256" s="201" customFormat="1" ht="14.25" x14ac:dyDescent="0.2">
      <c r="A349" s="10">
        <v>3329</v>
      </c>
      <c r="B349" s="11" t="s">
        <v>444</v>
      </c>
      <c r="C349" s="105" t="s">
        <v>445</v>
      </c>
      <c r="D349" s="11" t="s">
        <v>106</v>
      </c>
      <c r="E349" s="12">
        <v>20144</v>
      </c>
      <c r="F349" s="202">
        <v>9</v>
      </c>
      <c r="G349" s="11">
        <v>40000</v>
      </c>
      <c r="H349" s="116">
        <v>0</v>
      </c>
      <c r="I349" s="192"/>
      <c r="J349" s="204"/>
      <c r="K349" s="193"/>
      <c r="L349" s="193"/>
      <c r="M349" s="193"/>
      <c r="N349" s="203">
        <f t="shared" si="140"/>
        <v>40000</v>
      </c>
      <c r="O349" s="203">
        <f t="shared" si="141"/>
        <v>40000</v>
      </c>
      <c r="P349" s="203">
        <f t="shared" si="142"/>
        <v>40000</v>
      </c>
      <c r="Q349" s="214"/>
      <c r="R349" s="215"/>
      <c r="S349" s="218">
        <v>45656</v>
      </c>
      <c r="T349" s="205"/>
      <c r="U349" s="205"/>
      <c r="V349" s="216"/>
      <c r="W349" s="212"/>
      <c r="X349" s="10">
        <v>7</v>
      </c>
      <c r="Y349" s="10">
        <v>7</v>
      </c>
      <c r="Z349" s="213">
        <f t="shared" si="143"/>
        <v>40000</v>
      </c>
      <c r="AA349" s="62"/>
      <c r="AB349" s="62"/>
      <c r="AC349" s="62"/>
      <c r="AD349" s="62"/>
      <c r="AE349" s="62"/>
      <c r="AF349" s="63"/>
      <c r="AG349" s="64"/>
      <c r="AH349" s="6">
        <v>1</v>
      </c>
      <c r="AI349">
        <f t="shared" si="144"/>
        <v>25</v>
      </c>
      <c r="AJ349">
        <f t="shared" si="145"/>
        <v>25</v>
      </c>
      <c r="AK349">
        <f t="shared" si="146"/>
        <v>0</v>
      </c>
      <c r="AL349">
        <f t="shared" si="147"/>
        <v>0</v>
      </c>
      <c r="AM349">
        <f t="shared" si="148"/>
        <v>0</v>
      </c>
      <c r="AN349">
        <f t="shared" si="149"/>
        <v>0</v>
      </c>
      <c r="AO349">
        <f t="shared" si="150"/>
        <v>0</v>
      </c>
      <c r="AP349">
        <f t="shared" si="151"/>
        <v>0</v>
      </c>
      <c r="AQ349">
        <f t="shared" si="152"/>
        <v>0</v>
      </c>
      <c r="AR349">
        <f t="shared" si="153"/>
        <v>0</v>
      </c>
      <c r="AS349">
        <f t="shared" si="154"/>
        <v>0</v>
      </c>
      <c r="AT349">
        <f t="shared" si="155"/>
        <v>0</v>
      </c>
      <c r="AU349">
        <f t="shared" si="156"/>
        <v>1</v>
      </c>
      <c r="AV349">
        <f t="shared" si="157"/>
        <v>1</v>
      </c>
      <c r="AW349">
        <f t="shared" si="158"/>
        <v>1</v>
      </c>
      <c r="AX349">
        <f t="shared" si="159"/>
        <v>1</v>
      </c>
      <c r="AY349">
        <f t="shared" si="160"/>
        <v>40000</v>
      </c>
      <c r="AZ349">
        <f t="shared" si="161"/>
        <v>40000</v>
      </c>
      <c r="BA349">
        <f t="shared" si="162"/>
        <v>0</v>
      </c>
      <c r="BB349">
        <f t="shared" si="163"/>
        <v>0</v>
      </c>
      <c r="BC349">
        <f t="shared" si="164"/>
        <v>0</v>
      </c>
      <c r="BD349">
        <f t="shared" si="165"/>
        <v>0</v>
      </c>
      <c r="BE349">
        <f t="shared" si="166"/>
        <v>0</v>
      </c>
      <c r="BF349">
        <f t="shared" si="167"/>
        <v>0</v>
      </c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1:256" s="201" customFormat="1" ht="14.25" x14ac:dyDescent="0.2">
      <c r="A350" s="10">
        <v>3330</v>
      </c>
      <c r="B350" s="11" t="s">
        <v>446</v>
      </c>
      <c r="C350" s="105" t="s">
        <v>447</v>
      </c>
      <c r="D350" s="11" t="s">
        <v>295</v>
      </c>
      <c r="E350" s="12">
        <v>20145</v>
      </c>
      <c r="F350" s="202">
        <v>9</v>
      </c>
      <c r="G350" s="11">
        <v>60000</v>
      </c>
      <c r="H350" s="116">
        <v>0</v>
      </c>
      <c r="I350" s="192"/>
      <c r="J350" s="204"/>
      <c r="K350" s="193"/>
      <c r="L350" s="193"/>
      <c r="M350" s="193"/>
      <c r="N350" s="203">
        <f t="shared" si="140"/>
        <v>60000</v>
      </c>
      <c r="O350" s="203">
        <f t="shared" si="141"/>
        <v>60000</v>
      </c>
      <c r="P350" s="203">
        <f t="shared" si="142"/>
        <v>60000</v>
      </c>
      <c r="Q350" s="214"/>
      <c r="R350" s="215"/>
      <c r="S350" s="218">
        <v>45650</v>
      </c>
      <c r="T350" s="205"/>
      <c r="U350" s="205"/>
      <c r="V350" s="216"/>
      <c r="W350" s="212"/>
      <c r="X350" s="10">
        <v>7</v>
      </c>
      <c r="Y350" s="10">
        <v>7</v>
      </c>
      <c r="Z350" s="213">
        <f t="shared" si="143"/>
        <v>60000</v>
      </c>
      <c r="AA350" s="62"/>
      <c r="AB350" s="62"/>
      <c r="AC350" s="62"/>
      <c r="AD350" s="62"/>
      <c r="AE350" s="62"/>
      <c r="AF350" s="63"/>
      <c r="AG350" s="64"/>
      <c r="AH350" s="6">
        <v>1</v>
      </c>
      <c r="AI350">
        <f t="shared" si="144"/>
        <v>25</v>
      </c>
      <c r="AJ350">
        <f t="shared" si="145"/>
        <v>25</v>
      </c>
      <c r="AK350">
        <f t="shared" si="146"/>
        <v>0</v>
      </c>
      <c r="AL350">
        <f t="shared" si="147"/>
        <v>0</v>
      </c>
      <c r="AM350">
        <f t="shared" si="148"/>
        <v>0</v>
      </c>
      <c r="AN350">
        <f t="shared" si="149"/>
        <v>0</v>
      </c>
      <c r="AO350">
        <f t="shared" si="150"/>
        <v>0</v>
      </c>
      <c r="AP350">
        <f t="shared" si="151"/>
        <v>0</v>
      </c>
      <c r="AQ350">
        <f t="shared" si="152"/>
        <v>0</v>
      </c>
      <c r="AR350">
        <f t="shared" si="153"/>
        <v>0</v>
      </c>
      <c r="AS350">
        <f t="shared" si="154"/>
        <v>0</v>
      </c>
      <c r="AT350">
        <f t="shared" si="155"/>
        <v>0</v>
      </c>
      <c r="AU350">
        <f t="shared" si="156"/>
        <v>1</v>
      </c>
      <c r="AV350">
        <f t="shared" si="157"/>
        <v>1</v>
      </c>
      <c r="AW350">
        <f t="shared" si="158"/>
        <v>1</v>
      </c>
      <c r="AX350">
        <f t="shared" si="159"/>
        <v>1</v>
      </c>
      <c r="AY350">
        <f t="shared" si="160"/>
        <v>60000</v>
      </c>
      <c r="AZ350">
        <f t="shared" si="161"/>
        <v>60000</v>
      </c>
      <c r="BA350">
        <f t="shared" si="162"/>
        <v>0</v>
      </c>
      <c r="BB350">
        <f t="shared" si="163"/>
        <v>0</v>
      </c>
      <c r="BC350">
        <f t="shared" si="164"/>
        <v>0</v>
      </c>
      <c r="BD350">
        <f t="shared" si="165"/>
        <v>0</v>
      </c>
      <c r="BE350">
        <f t="shared" si="166"/>
        <v>0</v>
      </c>
      <c r="BF350">
        <f t="shared" si="167"/>
        <v>0</v>
      </c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1:256" s="201" customFormat="1" ht="14.25" x14ac:dyDescent="0.2">
      <c r="A351" s="10">
        <v>3332</v>
      </c>
      <c r="B351" s="11" t="s">
        <v>955</v>
      </c>
      <c r="C351" s="105" t="s">
        <v>956</v>
      </c>
      <c r="D351" s="11" t="s">
        <v>620</v>
      </c>
      <c r="E351" s="12">
        <v>20147</v>
      </c>
      <c r="F351" s="202">
        <v>9</v>
      </c>
      <c r="G351" s="11">
        <v>80000</v>
      </c>
      <c r="H351" s="116">
        <v>0</v>
      </c>
      <c r="I351" s="192"/>
      <c r="J351" s="204"/>
      <c r="K351" s="193"/>
      <c r="L351" s="193"/>
      <c r="M351" s="193"/>
      <c r="N351" s="203">
        <f t="shared" si="140"/>
        <v>80000</v>
      </c>
      <c r="O351" s="203">
        <f t="shared" si="141"/>
        <v>80000</v>
      </c>
      <c r="P351" s="203">
        <f t="shared" si="142"/>
        <v>80000</v>
      </c>
      <c r="Q351" s="214"/>
      <c r="R351" s="215"/>
      <c r="S351" s="218">
        <v>45636</v>
      </c>
      <c r="T351" s="205"/>
      <c r="U351" s="205"/>
      <c r="V351" s="216"/>
      <c r="W351" s="212"/>
      <c r="X351" s="10">
        <v>7</v>
      </c>
      <c r="Y351" s="10">
        <v>7</v>
      </c>
      <c r="Z351" s="213">
        <f t="shared" si="143"/>
        <v>80000</v>
      </c>
      <c r="AA351" s="62"/>
      <c r="AB351" s="62"/>
      <c r="AC351" s="62"/>
      <c r="AD351" s="62"/>
      <c r="AE351" s="62"/>
      <c r="AF351" s="63"/>
      <c r="AG351" s="64"/>
      <c r="AH351" s="6">
        <v>1</v>
      </c>
      <c r="AI351">
        <f t="shared" si="144"/>
        <v>25</v>
      </c>
      <c r="AJ351">
        <f t="shared" si="145"/>
        <v>25</v>
      </c>
      <c r="AK351">
        <f t="shared" si="146"/>
        <v>0</v>
      </c>
      <c r="AL351">
        <f t="shared" si="147"/>
        <v>0</v>
      </c>
      <c r="AM351">
        <f t="shared" si="148"/>
        <v>0</v>
      </c>
      <c r="AN351">
        <f t="shared" si="149"/>
        <v>0</v>
      </c>
      <c r="AO351">
        <f t="shared" si="150"/>
        <v>0</v>
      </c>
      <c r="AP351">
        <f t="shared" si="151"/>
        <v>0</v>
      </c>
      <c r="AQ351">
        <f t="shared" si="152"/>
        <v>0</v>
      </c>
      <c r="AR351">
        <f t="shared" si="153"/>
        <v>0</v>
      </c>
      <c r="AS351">
        <f t="shared" si="154"/>
        <v>0</v>
      </c>
      <c r="AT351">
        <f t="shared" si="155"/>
        <v>0</v>
      </c>
      <c r="AU351">
        <f t="shared" si="156"/>
        <v>1</v>
      </c>
      <c r="AV351">
        <f t="shared" si="157"/>
        <v>1</v>
      </c>
      <c r="AW351">
        <f t="shared" si="158"/>
        <v>1</v>
      </c>
      <c r="AX351">
        <f t="shared" si="159"/>
        <v>1</v>
      </c>
      <c r="AY351">
        <f t="shared" si="160"/>
        <v>80000</v>
      </c>
      <c r="AZ351">
        <f t="shared" si="161"/>
        <v>80000</v>
      </c>
      <c r="BA351">
        <f t="shared" si="162"/>
        <v>0</v>
      </c>
      <c r="BB351">
        <f t="shared" si="163"/>
        <v>0</v>
      </c>
      <c r="BC351">
        <f t="shared" si="164"/>
        <v>0</v>
      </c>
      <c r="BD351">
        <f t="shared" si="165"/>
        <v>0</v>
      </c>
      <c r="BE351">
        <f t="shared" si="166"/>
        <v>0</v>
      </c>
      <c r="BF351">
        <f t="shared" si="167"/>
        <v>0</v>
      </c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1:256" s="201" customFormat="1" ht="14.25" x14ac:dyDescent="0.2">
      <c r="A352" s="10">
        <v>3333</v>
      </c>
      <c r="B352" s="11" t="s">
        <v>448</v>
      </c>
      <c r="C352" s="105" t="s">
        <v>449</v>
      </c>
      <c r="D352" s="11" t="s">
        <v>105</v>
      </c>
      <c r="E352" s="12">
        <v>20148</v>
      </c>
      <c r="F352" s="202">
        <v>9</v>
      </c>
      <c r="G352" s="11">
        <v>50000</v>
      </c>
      <c r="H352" s="116">
        <v>0</v>
      </c>
      <c r="I352" s="192"/>
      <c r="J352" s="204"/>
      <c r="K352" s="193"/>
      <c r="L352" s="193"/>
      <c r="M352" s="193"/>
      <c r="N352" s="203">
        <f t="shared" si="140"/>
        <v>50000</v>
      </c>
      <c r="O352" s="203">
        <f t="shared" si="141"/>
        <v>50000</v>
      </c>
      <c r="P352" s="203">
        <f t="shared" si="142"/>
        <v>50000</v>
      </c>
      <c r="Q352" s="214">
        <v>45660</v>
      </c>
      <c r="R352" s="215"/>
      <c r="S352" s="218">
        <v>45636</v>
      </c>
      <c r="T352" s="205"/>
      <c r="U352" s="205"/>
      <c r="V352" s="216" t="s">
        <v>1131</v>
      </c>
      <c r="W352" s="212"/>
      <c r="X352" s="10">
        <v>7</v>
      </c>
      <c r="Y352" s="10">
        <v>7</v>
      </c>
      <c r="Z352" s="213">
        <f t="shared" si="143"/>
        <v>50000</v>
      </c>
      <c r="AA352" s="62"/>
      <c r="AB352" s="62"/>
      <c r="AC352" s="62"/>
      <c r="AD352" s="62"/>
      <c r="AE352" s="62"/>
      <c r="AF352" s="63"/>
      <c r="AG352" s="64"/>
      <c r="AH352" s="6">
        <v>1</v>
      </c>
      <c r="AI352">
        <f t="shared" si="144"/>
        <v>25</v>
      </c>
      <c r="AJ352">
        <f t="shared" si="145"/>
        <v>25</v>
      </c>
      <c r="AK352">
        <f t="shared" si="146"/>
        <v>0</v>
      </c>
      <c r="AL352">
        <f t="shared" si="147"/>
        <v>0</v>
      </c>
      <c r="AM352">
        <f t="shared" si="148"/>
        <v>0</v>
      </c>
      <c r="AN352">
        <f t="shared" si="149"/>
        <v>0</v>
      </c>
      <c r="AO352">
        <f t="shared" si="150"/>
        <v>0</v>
      </c>
      <c r="AP352">
        <f t="shared" si="151"/>
        <v>0</v>
      </c>
      <c r="AQ352">
        <f t="shared" si="152"/>
        <v>0</v>
      </c>
      <c r="AR352">
        <f t="shared" si="153"/>
        <v>0</v>
      </c>
      <c r="AS352">
        <f t="shared" si="154"/>
        <v>0</v>
      </c>
      <c r="AT352">
        <f t="shared" si="155"/>
        <v>0</v>
      </c>
      <c r="AU352">
        <f t="shared" si="156"/>
        <v>1</v>
      </c>
      <c r="AV352">
        <f t="shared" si="157"/>
        <v>1</v>
      </c>
      <c r="AW352">
        <f t="shared" si="158"/>
        <v>1</v>
      </c>
      <c r="AX352">
        <f t="shared" si="159"/>
        <v>1</v>
      </c>
      <c r="AY352">
        <f t="shared" si="160"/>
        <v>50000</v>
      </c>
      <c r="AZ352">
        <f t="shared" si="161"/>
        <v>50000</v>
      </c>
      <c r="BA352">
        <f t="shared" si="162"/>
        <v>0</v>
      </c>
      <c r="BB352">
        <f t="shared" si="163"/>
        <v>0</v>
      </c>
      <c r="BC352">
        <f t="shared" si="164"/>
        <v>0</v>
      </c>
      <c r="BD352">
        <f t="shared" si="165"/>
        <v>0</v>
      </c>
      <c r="BE352">
        <f t="shared" si="166"/>
        <v>0</v>
      </c>
      <c r="BF352">
        <f t="shared" si="167"/>
        <v>0</v>
      </c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1:256" s="201" customFormat="1" ht="14.25" x14ac:dyDescent="0.2">
      <c r="A353" s="10">
        <v>3334</v>
      </c>
      <c r="B353" s="11" t="s">
        <v>957</v>
      </c>
      <c r="C353" s="105" t="s">
        <v>958</v>
      </c>
      <c r="D353" s="11" t="s">
        <v>105</v>
      </c>
      <c r="E353" s="12">
        <v>20149</v>
      </c>
      <c r="F353" s="202">
        <v>9</v>
      </c>
      <c r="G353" s="11">
        <v>70000</v>
      </c>
      <c r="H353" s="116">
        <v>0</v>
      </c>
      <c r="I353" s="192"/>
      <c r="J353" s="204"/>
      <c r="K353" s="193"/>
      <c r="L353" s="193"/>
      <c r="M353" s="193"/>
      <c r="N353" s="203">
        <f t="shared" si="140"/>
        <v>70000</v>
      </c>
      <c r="O353" s="203">
        <f t="shared" si="141"/>
        <v>70000</v>
      </c>
      <c r="P353" s="203">
        <f t="shared" si="142"/>
        <v>70000</v>
      </c>
      <c r="Q353" s="214">
        <v>45660</v>
      </c>
      <c r="R353" s="215"/>
      <c r="S353" s="218">
        <v>45631</v>
      </c>
      <c r="T353" s="205"/>
      <c r="U353" s="205"/>
      <c r="V353" s="216" t="s">
        <v>1131</v>
      </c>
      <c r="W353" s="212"/>
      <c r="X353" s="10">
        <v>7</v>
      </c>
      <c r="Y353" s="10">
        <v>7</v>
      </c>
      <c r="Z353" s="213">
        <f t="shared" si="143"/>
        <v>70000</v>
      </c>
      <c r="AA353" s="62"/>
      <c r="AB353" s="62"/>
      <c r="AC353" s="62"/>
      <c r="AD353" s="62"/>
      <c r="AE353" s="62"/>
      <c r="AF353" s="63"/>
      <c r="AG353" s="64"/>
      <c r="AH353" s="6">
        <v>1</v>
      </c>
      <c r="AI353">
        <f t="shared" si="144"/>
        <v>25</v>
      </c>
      <c r="AJ353">
        <f t="shared" si="145"/>
        <v>25</v>
      </c>
      <c r="AK353">
        <f t="shared" si="146"/>
        <v>0</v>
      </c>
      <c r="AL353">
        <f t="shared" si="147"/>
        <v>0</v>
      </c>
      <c r="AM353">
        <f t="shared" si="148"/>
        <v>0</v>
      </c>
      <c r="AN353">
        <f t="shared" si="149"/>
        <v>0</v>
      </c>
      <c r="AO353">
        <f t="shared" si="150"/>
        <v>0</v>
      </c>
      <c r="AP353">
        <f t="shared" si="151"/>
        <v>0</v>
      </c>
      <c r="AQ353">
        <f t="shared" si="152"/>
        <v>0</v>
      </c>
      <c r="AR353">
        <f t="shared" si="153"/>
        <v>0</v>
      </c>
      <c r="AS353">
        <f t="shared" si="154"/>
        <v>0</v>
      </c>
      <c r="AT353">
        <f t="shared" si="155"/>
        <v>0</v>
      </c>
      <c r="AU353">
        <f t="shared" si="156"/>
        <v>1</v>
      </c>
      <c r="AV353">
        <f t="shared" si="157"/>
        <v>1</v>
      </c>
      <c r="AW353">
        <f t="shared" si="158"/>
        <v>1</v>
      </c>
      <c r="AX353">
        <f t="shared" si="159"/>
        <v>1</v>
      </c>
      <c r="AY353">
        <f t="shared" si="160"/>
        <v>70000</v>
      </c>
      <c r="AZ353">
        <f t="shared" si="161"/>
        <v>70000</v>
      </c>
      <c r="BA353">
        <f t="shared" si="162"/>
        <v>0</v>
      </c>
      <c r="BB353">
        <f t="shared" si="163"/>
        <v>0</v>
      </c>
      <c r="BC353">
        <f t="shared" si="164"/>
        <v>0</v>
      </c>
      <c r="BD353">
        <f t="shared" si="165"/>
        <v>0</v>
      </c>
      <c r="BE353">
        <f t="shared" si="166"/>
        <v>0</v>
      </c>
      <c r="BF353">
        <f t="shared" si="167"/>
        <v>0</v>
      </c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1:256" s="201" customFormat="1" ht="14.25" x14ac:dyDescent="0.2">
      <c r="A354" s="10">
        <v>3342</v>
      </c>
      <c r="B354" s="11" t="s">
        <v>959</v>
      </c>
      <c r="C354" s="105" t="s">
        <v>960</v>
      </c>
      <c r="D354" s="11" t="s">
        <v>106</v>
      </c>
      <c r="E354" s="12">
        <v>20158</v>
      </c>
      <c r="F354" s="202">
        <v>9</v>
      </c>
      <c r="G354" s="11">
        <v>100000</v>
      </c>
      <c r="H354" s="116">
        <v>0</v>
      </c>
      <c r="I354" s="192"/>
      <c r="J354" s="204"/>
      <c r="K354" s="193"/>
      <c r="L354" s="193"/>
      <c r="M354" s="193"/>
      <c r="N354" s="203">
        <f t="shared" si="140"/>
        <v>100000</v>
      </c>
      <c r="O354" s="203">
        <f t="shared" si="141"/>
        <v>100000</v>
      </c>
      <c r="P354" s="203">
        <f t="shared" si="142"/>
        <v>100000</v>
      </c>
      <c r="Q354" s="214"/>
      <c r="R354" s="215"/>
      <c r="S354" s="218">
        <v>45637</v>
      </c>
      <c r="T354" s="205"/>
      <c r="U354" s="205"/>
      <c r="V354" s="216"/>
      <c r="W354" s="212"/>
      <c r="X354" s="10">
        <v>7</v>
      </c>
      <c r="Y354" s="10">
        <v>7</v>
      </c>
      <c r="Z354" s="213">
        <f t="shared" si="143"/>
        <v>100000</v>
      </c>
      <c r="AA354" s="62"/>
      <c r="AB354" s="62"/>
      <c r="AC354" s="62"/>
      <c r="AD354" s="62"/>
      <c r="AE354" s="62"/>
      <c r="AF354" s="63"/>
      <c r="AG354" s="64"/>
      <c r="AH354" s="6">
        <v>1</v>
      </c>
      <c r="AI354">
        <f t="shared" si="144"/>
        <v>25</v>
      </c>
      <c r="AJ354">
        <f t="shared" si="145"/>
        <v>25</v>
      </c>
      <c r="AK354">
        <f t="shared" si="146"/>
        <v>0</v>
      </c>
      <c r="AL354">
        <f t="shared" si="147"/>
        <v>0</v>
      </c>
      <c r="AM354">
        <f t="shared" si="148"/>
        <v>0</v>
      </c>
      <c r="AN354">
        <f t="shared" si="149"/>
        <v>0</v>
      </c>
      <c r="AO354">
        <f t="shared" si="150"/>
        <v>0</v>
      </c>
      <c r="AP354">
        <f t="shared" si="151"/>
        <v>0</v>
      </c>
      <c r="AQ354">
        <f t="shared" si="152"/>
        <v>0</v>
      </c>
      <c r="AR354">
        <f t="shared" si="153"/>
        <v>0</v>
      </c>
      <c r="AS354">
        <f t="shared" si="154"/>
        <v>0</v>
      </c>
      <c r="AT354">
        <f t="shared" si="155"/>
        <v>0</v>
      </c>
      <c r="AU354">
        <f t="shared" si="156"/>
        <v>1</v>
      </c>
      <c r="AV354">
        <f t="shared" si="157"/>
        <v>1</v>
      </c>
      <c r="AW354">
        <f t="shared" si="158"/>
        <v>1</v>
      </c>
      <c r="AX354">
        <f t="shared" si="159"/>
        <v>1</v>
      </c>
      <c r="AY354">
        <f t="shared" si="160"/>
        <v>100000</v>
      </c>
      <c r="AZ354">
        <f t="shared" si="161"/>
        <v>100000</v>
      </c>
      <c r="BA354">
        <f t="shared" si="162"/>
        <v>0</v>
      </c>
      <c r="BB354">
        <f t="shared" si="163"/>
        <v>0</v>
      </c>
      <c r="BC354">
        <f t="shared" si="164"/>
        <v>0</v>
      </c>
      <c r="BD354">
        <f t="shared" si="165"/>
        <v>0</v>
      </c>
      <c r="BE354">
        <f t="shared" si="166"/>
        <v>0</v>
      </c>
      <c r="BF354">
        <f t="shared" si="167"/>
        <v>0</v>
      </c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1:256" s="201" customFormat="1" ht="14.25" x14ac:dyDescent="0.2">
      <c r="A355" s="10">
        <v>3343</v>
      </c>
      <c r="B355" s="11" t="s">
        <v>961</v>
      </c>
      <c r="C355" s="105" t="s">
        <v>962</v>
      </c>
      <c r="D355" s="11" t="s">
        <v>105</v>
      </c>
      <c r="E355" s="12">
        <v>20161</v>
      </c>
      <c r="F355" s="202">
        <v>9</v>
      </c>
      <c r="G355" s="11">
        <v>70000</v>
      </c>
      <c r="H355" s="116">
        <v>0</v>
      </c>
      <c r="I355" s="192"/>
      <c r="J355" s="204"/>
      <c r="K355" s="193"/>
      <c r="L355" s="193"/>
      <c r="M355" s="193"/>
      <c r="N355" s="203">
        <f t="shared" si="140"/>
        <v>70000</v>
      </c>
      <c r="O355" s="203">
        <f t="shared" si="141"/>
        <v>70000</v>
      </c>
      <c r="P355" s="203">
        <f t="shared" si="142"/>
        <v>70000</v>
      </c>
      <c r="Q355" s="214"/>
      <c r="R355" s="215"/>
      <c r="S355" s="218">
        <v>45646</v>
      </c>
      <c r="T355" s="205"/>
      <c r="U355" s="205"/>
      <c r="V355" s="216"/>
      <c r="W355" s="212"/>
      <c r="X355" s="10">
        <v>7</v>
      </c>
      <c r="Y355" s="10">
        <v>7</v>
      </c>
      <c r="Z355" s="213">
        <f t="shared" si="143"/>
        <v>70000</v>
      </c>
      <c r="AA355" s="62"/>
      <c r="AB355" s="62"/>
      <c r="AC355" s="62"/>
      <c r="AD355" s="62"/>
      <c r="AE355" s="62"/>
      <c r="AF355" s="63"/>
      <c r="AG355" s="64"/>
      <c r="AH355" s="6">
        <v>1</v>
      </c>
      <c r="AI355">
        <f t="shared" si="144"/>
        <v>25</v>
      </c>
      <c r="AJ355">
        <f t="shared" si="145"/>
        <v>25</v>
      </c>
      <c r="AK355">
        <f t="shared" si="146"/>
        <v>0</v>
      </c>
      <c r="AL355">
        <f t="shared" si="147"/>
        <v>0</v>
      </c>
      <c r="AM355">
        <f t="shared" si="148"/>
        <v>0</v>
      </c>
      <c r="AN355">
        <f t="shared" si="149"/>
        <v>0</v>
      </c>
      <c r="AO355">
        <f t="shared" si="150"/>
        <v>0</v>
      </c>
      <c r="AP355">
        <f t="shared" si="151"/>
        <v>0</v>
      </c>
      <c r="AQ355">
        <f t="shared" si="152"/>
        <v>0</v>
      </c>
      <c r="AR355">
        <f t="shared" si="153"/>
        <v>0</v>
      </c>
      <c r="AS355">
        <f t="shared" si="154"/>
        <v>0</v>
      </c>
      <c r="AT355">
        <f t="shared" si="155"/>
        <v>0</v>
      </c>
      <c r="AU355">
        <f t="shared" si="156"/>
        <v>1</v>
      </c>
      <c r="AV355">
        <f t="shared" si="157"/>
        <v>1</v>
      </c>
      <c r="AW355">
        <f t="shared" si="158"/>
        <v>1</v>
      </c>
      <c r="AX355">
        <f t="shared" si="159"/>
        <v>1</v>
      </c>
      <c r="AY355">
        <f t="shared" si="160"/>
        <v>70000</v>
      </c>
      <c r="AZ355">
        <f t="shared" si="161"/>
        <v>70000</v>
      </c>
      <c r="BA355">
        <f t="shared" si="162"/>
        <v>0</v>
      </c>
      <c r="BB355">
        <f t="shared" si="163"/>
        <v>0</v>
      </c>
      <c r="BC355">
        <f t="shared" si="164"/>
        <v>0</v>
      </c>
      <c r="BD355">
        <f t="shared" si="165"/>
        <v>0</v>
      </c>
      <c r="BE355">
        <f t="shared" si="166"/>
        <v>0</v>
      </c>
      <c r="BF355">
        <f t="shared" si="167"/>
        <v>0</v>
      </c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1:256" s="201" customFormat="1" ht="14.25" x14ac:dyDescent="0.2">
      <c r="A356" s="10">
        <v>3346</v>
      </c>
      <c r="B356" s="11" t="s">
        <v>963</v>
      </c>
      <c r="C356" s="105" t="s">
        <v>964</v>
      </c>
      <c r="D356" s="11" t="s">
        <v>259</v>
      </c>
      <c r="E356" s="12">
        <v>20166</v>
      </c>
      <c r="F356" s="202">
        <v>8</v>
      </c>
      <c r="G356" s="11">
        <v>30000</v>
      </c>
      <c r="H356" s="116">
        <v>0</v>
      </c>
      <c r="I356" s="192"/>
      <c r="J356" s="204"/>
      <c r="K356" s="193"/>
      <c r="L356" s="193"/>
      <c r="M356" s="193"/>
      <c r="N356" s="203">
        <f t="shared" si="140"/>
        <v>30000</v>
      </c>
      <c r="O356" s="203">
        <f t="shared" si="141"/>
        <v>30000</v>
      </c>
      <c r="P356" s="203">
        <f t="shared" si="142"/>
        <v>30000</v>
      </c>
      <c r="Q356" s="214"/>
      <c r="R356" s="215"/>
      <c r="S356" s="218">
        <v>45636</v>
      </c>
      <c r="T356" s="205"/>
      <c r="U356" s="205"/>
      <c r="V356" s="216"/>
      <c r="W356" s="212"/>
      <c r="X356" s="10">
        <v>7</v>
      </c>
      <c r="Y356" s="10">
        <v>7</v>
      </c>
      <c r="Z356" s="213">
        <f t="shared" si="143"/>
        <v>30000</v>
      </c>
      <c r="AA356" s="62"/>
      <c r="AB356" s="62"/>
      <c r="AC356" s="62"/>
      <c r="AD356" s="62"/>
      <c r="AE356" s="62"/>
      <c r="AF356" s="63"/>
      <c r="AG356" s="64"/>
      <c r="AH356" s="6">
        <v>1</v>
      </c>
      <c r="AI356">
        <f t="shared" si="144"/>
        <v>25</v>
      </c>
      <c r="AJ356">
        <f t="shared" si="145"/>
        <v>25</v>
      </c>
      <c r="AK356">
        <f t="shared" si="146"/>
        <v>0</v>
      </c>
      <c r="AL356">
        <f t="shared" si="147"/>
        <v>0</v>
      </c>
      <c r="AM356">
        <f t="shared" si="148"/>
        <v>0</v>
      </c>
      <c r="AN356">
        <f t="shared" si="149"/>
        <v>0</v>
      </c>
      <c r="AO356">
        <f t="shared" si="150"/>
        <v>0</v>
      </c>
      <c r="AP356">
        <f t="shared" si="151"/>
        <v>0</v>
      </c>
      <c r="AQ356">
        <f t="shared" si="152"/>
        <v>0</v>
      </c>
      <c r="AR356">
        <f t="shared" si="153"/>
        <v>0</v>
      </c>
      <c r="AS356">
        <f t="shared" si="154"/>
        <v>0</v>
      </c>
      <c r="AT356">
        <f t="shared" si="155"/>
        <v>0</v>
      </c>
      <c r="AU356">
        <f t="shared" si="156"/>
        <v>1</v>
      </c>
      <c r="AV356">
        <f t="shared" si="157"/>
        <v>1</v>
      </c>
      <c r="AW356">
        <f t="shared" si="158"/>
        <v>1</v>
      </c>
      <c r="AX356">
        <f t="shared" si="159"/>
        <v>1</v>
      </c>
      <c r="AY356">
        <f t="shared" si="160"/>
        <v>30000</v>
      </c>
      <c r="AZ356">
        <f t="shared" si="161"/>
        <v>30000</v>
      </c>
      <c r="BA356">
        <f t="shared" si="162"/>
        <v>0</v>
      </c>
      <c r="BB356">
        <f t="shared" si="163"/>
        <v>0</v>
      </c>
      <c r="BC356">
        <f t="shared" si="164"/>
        <v>0</v>
      </c>
      <c r="BD356">
        <f t="shared" si="165"/>
        <v>0</v>
      </c>
      <c r="BE356">
        <f t="shared" si="166"/>
        <v>0</v>
      </c>
      <c r="BF356">
        <f t="shared" si="167"/>
        <v>0</v>
      </c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1:256" s="201" customFormat="1" ht="14.25" x14ac:dyDescent="0.2">
      <c r="A357" s="10">
        <v>3347</v>
      </c>
      <c r="B357" s="11" t="s">
        <v>965</v>
      </c>
      <c r="C357" s="105" t="s">
        <v>966</v>
      </c>
      <c r="D357" s="11" t="s">
        <v>157</v>
      </c>
      <c r="E357" s="12">
        <v>20163</v>
      </c>
      <c r="F357" s="202">
        <v>8</v>
      </c>
      <c r="G357" s="11">
        <v>60000</v>
      </c>
      <c r="H357" s="116">
        <v>0</v>
      </c>
      <c r="I357" s="192"/>
      <c r="J357" s="204"/>
      <c r="K357" s="193"/>
      <c r="L357" s="193"/>
      <c r="M357" s="193"/>
      <c r="N357" s="203">
        <f t="shared" si="140"/>
        <v>60000</v>
      </c>
      <c r="O357" s="203">
        <f t="shared" si="141"/>
        <v>60000</v>
      </c>
      <c r="P357" s="203">
        <f t="shared" si="142"/>
        <v>60000</v>
      </c>
      <c r="Q357" s="214"/>
      <c r="R357" s="215"/>
      <c r="S357" s="218">
        <v>45636</v>
      </c>
      <c r="T357" s="205"/>
      <c r="U357" s="205"/>
      <c r="V357" s="216"/>
      <c r="W357" s="212"/>
      <c r="X357" s="10">
        <v>7</v>
      </c>
      <c r="Y357" s="10">
        <v>7</v>
      </c>
      <c r="Z357" s="213">
        <f t="shared" si="143"/>
        <v>60000</v>
      </c>
      <c r="AA357" s="62"/>
      <c r="AB357" s="62"/>
      <c r="AC357" s="62"/>
      <c r="AD357" s="62"/>
      <c r="AE357" s="62"/>
      <c r="AF357" s="63"/>
      <c r="AG357" s="64"/>
      <c r="AH357" s="6">
        <v>1</v>
      </c>
      <c r="AI357">
        <f t="shared" si="144"/>
        <v>25</v>
      </c>
      <c r="AJ357">
        <f t="shared" si="145"/>
        <v>25</v>
      </c>
      <c r="AK357">
        <f t="shared" si="146"/>
        <v>0</v>
      </c>
      <c r="AL357">
        <f t="shared" si="147"/>
        <v>0</v>
      </c>
      <c r="AM357">
        <f t="shared" si="148"/>
        <v>0</v>
      </c>
      <c r="AN357">
        <f t="shared" si="149"/>
        <v>0</v>
      </c>
      <c r="AO357">
        <f t="shared" si="150"/>
        <v>0</v>
      </c>
      <c r="AP357">
        <f t="shared" si="151"/>
        <v>0</v>
      </c>
      <c r="AQ357">
        <f t="shared" si="152"/>
        <v>0</v>
      </c>
      <c r="AR357">
        <f t="shared" si="153"/>
        <v>0</v>
      </c>
      <c r="AS357">
        <f t="shared" si="154"/>
        <v>0</v>
      </c>
      <c r="AT357">
        <f t="shared" si="155"/>
        <v>0</v>
      </c>
      <c r="AU357">
        <f t="shared" si="156"/>
        <v>1</v>
      </c>
      <c r="AV357">
        <f t="shared" si="157"/>
        <v>1</v>
      </c>
      <c r="AW357">
        <f t="shared" si="158"/>
        <v>1</v>
      </c>
      <c r="AX357">
        <f t="shared" si="159"/>
        <v>1</v>
      </c>
      <c r="AY357">
        <f t="shared" si="160"/>
        <v>60000</v>
      </c>
      <c r="AZ357">
        <f t="shared" si="161"/>
        <v>60000</v>
      </c>
      <c r="BA357">
        <f t="shared" si="162"/>
        <v>0</v>
      </c>
      <c r="BB357">
        <f t="shared" si="163"/>
        <v>0</v>
      </c>
      <c r="BC357">
        <f t="shared" si="164"/>
        <v>0</v>
      </c>
      <c r="BD357">
        <f t="shared" si="165"/>
        <v>0</v>
      </c>
      <c r="BE357">
        <f t="shared" si="166"/>
        <v>0</v>
      </c>
      <c r="BF357">
        <f t="shared" si="167"/>
        <v>0</v>
      </c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1:256" s="201" customFormat="1" ht="14.25" x14ac:dyDescent="0.2">
      <c r="A358" s="10">
        <v>3348</v>
      </c>
      <c r="B358" s="11" t="s">
        <v>967</v>
      </c>
      <c r="C358" s="105" t="s">
        <v>968</v>
      </c>
      <c r="D358" s="11" t="s">
        <v>157</v>
      </c>
      <c r="E358" s="12">
        <v>20160</v>
      </c>
      <c r="F358" s="202">
        <v>8</v>
      </c>
      <c r="G358" s="11">
        <v>70000</v>
      </c>
      <c r="H358" s="116">
        <v>0</v>
      </c>
      <c r="I358" s="192"/>
      <c r="J358" s="204"/>
      <c r="K358" s="193"/>
      <c r="L358" s="193"/>
      <c r="M358" s="193"/>
      <c r="N358" s="203">
        <f t="shared" si="140"/>
        <v>70000</v>
      </c>
      <c r="O358" s="203">
        <f t="shared" si="141"/>
        <v>70000</v>
      </c>
      <c r="P358" s="203">
        <f t="shared" si="142"/>
        <v>70000</v>
      </c>
      <c r="Q358" s="214">
        <v>45665</v>
      </c>
      <c r="R358" s="215"/>
      <c r="S358" s="218">
        <v>45631</v>
      </c>
      <c r="T358" s="205"/>
      <c r="U358" s="205"/>
      <c r="V358" s="216" t="s">
        <v>1131</v>
      </c>
      <c r="W358" s="212"/>
      <c r="X358" s="10">
        <v>7</v>
      </c>
      <c r="Y358" s="10">
        <v>7</v>
      </c>
      <c r="Z358" s="213">
        <f t="shared" si="143"/>
        <v>70000</v>
      </c>
      <c r="AA358" s="62"/>
      <c r="AB358" s="62"/>
      <c r="AC358" s="62"/>
      <c r="AD358" s="62"/>
      <c r="AE358" s="62"/>
      <c r="AF358" s="63"/>
      <c r="AG358" s="64"/>
      <c r="AH358" s="6">
        <v>1</v>
      </c>
      <c r="AI358">
        <f t="shared" si="144"/>
        <v>25</v>
      </c>
      <c r="AJ358">
        <f t="shared" si="145"/>
        <v>25</v>
      </c>
      <c r="AK358">
        <f t="shared" si="146"/>
        <v>0</v>
      </c>
      <c r="AL358">
        <f t="shared" si="147"/>
        <v>0</v>
      </c>
      <c r="AM358">
        <f t="shared" si="148"/>
        <v>0</v>
      </c>
      <c r="AN358">
        <f t="shared" si="149"/>
        <v>0</v>
      </c>
      <c r="AO358">
        <f t="shared" si="150"/>
        <v>0</v>
      </c>
      <c r="AP358">
        <f t="shared" si="151"/>
        <v>0</v>
      </c>
      <c r="AQ358">
        <f t="shared" si="152"/>
        <v>0</v>
      </c>
      <c r="AR358">
        <f t="shared" si="153"/>
        <v>0</v>
      </c>
      <c r="AS358">
        <f t="shared" si="154"/>
        <v>0</v>
      </c>
      <c r="AT358">
        <f t="shared" si="155"/>
        <v>0</v>
      </c>
      <c r="AU358">
        <f t="shared" si="156"/>
        <v>1</v>
      </c>
      <c r="AV358">
        <f t="shared" si="157"/>
        <v>1</v>
      </c>
      <c r="AW358">
        <f t="shared" si="158"/>
        <v>1</v>
      </c>
      <c r="AX358">
        <f t="shared" si="159"/>
        <v>1</v>
      </c>
      <c r="AY358">
        <f t="shared" si="160"/>
        <v>70000</v>
      </c>
      <c r="AZ358">
        <f t="shared" si="161"/>
        <v>70000</v>
      </c>
      <c r="BA358">
        <f t="shared" si="162"/>
        <v>0</v>
      </c>
      <c r="BB358">
        <f t="shared" si="163"/>
        <v>0</v>
      </c>
      <c r="BC358">
        <f t="shared" si="164"/>
        <v>0</v>
      </c>
      <c r="BD358">
        <f t="shared" si="165"/>
        <v>0</v>
      </c>
      <c r="BE358">
        <f t="shared" si="166"/>
        <v>0</v>
      </c>
      <c r="BF358">
        <f t="shared" si="167"/>
        <v>0</v>
      </c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1:256" s="201" customFormat="1" ht="14.25" x14ac:dyDescent="0.2">
      <c r="A359" s="10">
        <v>3349</v>
      </c>
      <c r="B359" s="11" t="s">
        <v>969</v>
      </c>
      <c r="C359" s="105" t="s">
        <v>970</v>
      </c>
      <c r="D359" s="11" t="s">
        <v>220</v>
      </c>
      <c r="E359" s="12">
        <v>20116</v>
      </c>
      <c r="F359" s="202">
        <v>8</v>
      </c>
      <c r="G359" s="11">
        <v>260000</v>
      </c>
      <c r="H359" s="116">
        <v>0</v>
      </c>
      <c r="I359" s="192"/>
      <c r="J359" s="204"/>
      <c r="K359" s="193"/>
      <c r="L359" s="193"/>
      <c r="M359" s="193"/>
      <c r="N359" s="203">
        <f t="shared" si="140"/>
        <v>260000</v>
      </c>
      <c r="O359" s="203">
        <f t="shared" si="141"/>
        <v>260000</v>
      </c>
      <c r="P359" s="203">
        <f t="shared" si="142"/>
        <v>260000</v>
      </c>
      <c r="Q359" s="214">
        <v>45659</v>
      </c>
      <c r="R359" s="215"/>
      <c r="S359" s="218">
        <v>45628</v>
      </c>
      <c r="T359" s="205"/>
      <c r="U359" s="205"/>
      <c r="V359" s="216" t="s">
        <v>1131</v>
      </c>
      <c r="W359" s="212"/>
      <c r="X359" s="10">
        <v>7</v>
      </c>
      <c r="Y359" s="10">
        <v>7</v>
      </c>
      <c r="Z359" s="213">
        <f t="shared" si="143"/>
        <v>260000</v>
      </c>
      <c r="AA359" s="62"/>
      <c r="AB359" s="62"/>
      <c r="AC359" s="62"/>
      <c r="AD359" s="62"/>
      <c r="AE359" s="62"/>
      <c r="AF359" s="63"/>
      <c r="AG359" s="64"/>
      <c r="AH359" s="6">
        <v>1</v>
      </c>
      <c r="AI359">
        <f t="shared" si="144"/>
        <v>25</v>
      </c>
      <c r="AJ359">
        <f t="shared" si="145"/>
        <v>25</v>
      </c>
      <c r="AK359">
        <f t="shared" si="146"/>
        <v>0</v>
      </c>
      <c r="AL359">
        <f t="shared" si="147"/>
        <v>0</v>
      </c>
      <c r="AM359">
        <f t="shared" si="148"/>
        <v>0</v>
      </c>
      <c r="AN359">
        <f t="shared" si="149"/>
        <v>0</v>
      </c>
      <c r="AO359">
        <f t="shared" si="150"/>
        <v>0</v>
      </c>
      <c r="AP359">
        <f t="shared" si="151"/>
        <v>0</v>
      </c>
      <c r="AQ359">
        <f t="shared" si="152"/>
        <v>0</v>
      </c>
      <c r="AR359">
        <f t="shared" si="153"/>
        <v>0</v>
      </c>
      <c r="AS359">
        <f t="shared" si="154"/>
        <v>0</v>
      </c>
      <c r="AT359">
        <f t="shared" si="155"/>
        <v>0</v>
      </c>
      <c r="AU359">
        <f t="shared" si="156"/>
        <v>1</v>
      </c>
      <c r="AV359">
        <f t="shared" si="157"/>
        <v>1</v>
      </c>
      <c r="AW359">
        <f t="shared" si="158"/>
        <v>1</v>
      </c>
      <c r="AX359">
        <f t="shared" si="159"/>
        <v>1</v>
      </c>
      <c r="AY359">
        <f t="shared" si="160"/>
        <v>260000</v>
      </c>
      <c r="AZ359">
        <f t="shared" si="161"/>
        <v>260000</v>
      </c>
      <c r="BA359">
        <f t="shared" si="162"/>
        <v>0</v>
      </c>
      <c r="BB359">
        <f t="shared" si="163"/>
        <v>0</v>
      </c>
      <c r="BC359">
        <f t="shared" si="164"/>
        <v>0</v>
      </c>
      <c r="BD359">
        <f t="shared" si="165"/>
        <v>0</v>
      </c>
      <c r="BE359">
        <f t="shared" si="166"/>
        <v>0</v>
      </c>
      <c r="BF359">
        <f t="shared" si="167"/>
        <v>0</v>
      </c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1:256" s="201" customFormat="1" ht="14.25" x14ac:dyDescent="0.2">
      <c r="A360" s="10">
        <v>3351</v>
      </c>
      <c r="B360" s="11" t="s">
        <v>971</v>
      </c>
      <c r="C360" s="105" t="s">
        <v>972</v>
      </c>
      <c r="D360" s="11" t="s">
        <v>173</v>
      </c>
      <c r="E360" s="12">
        <v>20170</v>
      </c>
      <c r="F360" s="202">
        <v>8</v>
      </c>
      <c r="G360" s="11">
        <v>50000</v>
      </c>
      <c r="H360" s="116">
        <v>0</v>
      </c>
      <c r="I360" s="192"/>
      <c r="J360" s="204"/>
      <c r="K360" s="193"/>
      <c r="L360" s="193"/>
      <c r="M360" s="193"/>
      <c r="N360" s="203">
        <f t="shared" si="140"/>
        <v>50000</v>
      </c>
      <c r="O360" s="203">
        <f t="shared" si="141"/>
        <v>50000</v>
      </c>
      <c r="P360" s="203">
        <f t="shared" si="142"/>
        <v>50000</v>
      </c>
      <c r="Q360" s="214"/>
      <c r="R360" s="215"/>
      <c r="S360" s="218">
        <v>45636</v>
      </c>
      <c r="T360" s="205"/>
      <c r="U360" s="205"/>
      <c r="V360" s="216"/>
      <c r="W360" s="212"/>
      <c r="X360" s="10">
        <v>7</v>
      </c>
      <c r="Y360" s="10">
        <v>7</v>
      </c>
      <c r="Z360" s="213">
        <f t="shared" si="143"/>
        <v>50000</v>
      </c>
      <c r="AA360" s="62"/>
      <c r="AB360" s="62"/>
      <c r="AC360" s="62"/>
      <c r="AD360" s="62"/>
      <c r="AE360" s="62"/>
      <c r="AF360" s="63"/>
      <c r="AG360" s="64"/>
      <c r="AH360" s="6">
        <v>1</v>
      </c>
      <c r="AI360">
        <f t="shared" si="144"/>
        <v>25</v>
      </c>
      <c r="AJ360">
        <f t="shared" si="145"/>
        <v>25</v>
      </c>
      <c r="AK360">
        <f t="shared" si="146"/>
        <v>0</v>
      </c>
      <c r="AL360">
        <f t="shared" si="147"/>
        <v>0</v>
      </c>
      <c r="AM360">
        <f t="shared" si="148"/>
        <v>0</v>
      </c>
      <c r="AN360">
        <f t="shared" si="149"/>
        <v>0</v>
      </c>
      <c r="AO360">
        <f t="shared" si="150"/>
        <v>0</v>
      </c>
      <c r="AP360">
        <f t="shared" si="151"/>
        <v>0</v>
      </c>
      <c r="AQ360">
        <f t="shared" si="152"/>
        <v>0</v>
      </c>
      <c r="AR360">
        <f t="shared" si="153"/>
        <v>0</v>
      </c>
      <c r="AS360">
        <f t="shared" si="154"/>
        <v>0</v>
      </c>
      <c r="AT360">
        <f t="shared" si="155"/>
        <v>0</v>
      </c>
      <c r="AU360">
        <f t="shared" si="156"/>
        <v>1</v>
      </c>
      <c r="AV360">
        <f t="shared" si="157"/>
        <v>1</v>
      </c>
      <c r="AW360">
        <f t="shared" si="158"/>
        <v>1</v>
      </c>
      <c r="AX360">
        <f t="shared" si="159"/>
        <v>1</v>
      </c>
      <c r="AY360">
        <f t="shared" si="160"/>
        <v>50000</v>
      </c>
      <c r="AZ360">
        <f t="shared" si="161"/>
        <v>50000</v>
      </c>
      <c r="BA360">
        <f t="shared" si="162"/>
        <v>0</v>
      </c>
      <c r="BB360">
        <f t="shared" si="163"/>
        <v>0</v>
      </c>
      <c r="BC360">
        <f t="shared" si="164"/>
        <v>0</v>
      </c>
      <c r="BD360">
        <f t="shared" si="165"/>
        <v>0</v>
      </c>
      <c r="BE360">
        <f t="shared" si="166"/>
        <v>0</v>
      </c>
      <c r="BF360">
        <f t="shared" si="167"/>
        <v>0</v>
      </c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1:256" s="201" customFormat="1" ht="14.25" x14ac:dyDescent="0.2">
      <c r="A361" s="10">
        <v>3353</v>
      </c>
      <c r="B361" s="11" t="s">
        <v>973</v>
      </c>
      <c r="C361" s="105" t="s">
        <v>974</v>
      </c>
      <c r="D361" s="11" t="s">
        <v>411</v>
      </c>
      <c r="E361" s="12">
        <v>20174</v>
      </c>
      <c r="F361" s="202">
        <v>8</v>
      </c>
      <c r="G361" s="11">
        <v>30000</v>
      </c>
      <c r="H361" s="116">
        <v>0</v>
      </c>
      <c r="I361" s="192"/>
      <c r="J361" s="204"/>
      <c r="K361" s="193"/>
      <c r="L361" s="193"/>
      <c r="M361" s="193"/>
      <c r="N361" s="203">
        <f t="shared" si="140"/>
        <v>30000</v>
      </c>
      <c r="O361" s="203">
        <f t="shared" si="141"/>
        <v>30000</v>
      </c>
      <c r="P361" s="203">
        <f t="shared" si="142"/>
        <v>30000</v>
      </c>
      <c r="Q361" s="214"/>
      <c r="R361" s="215"/>
      <c r="S361" s="218">
        <v>45640</v>
      </c>
      <c r="T361" s="205"/>
      <c r="U361" s="205"/>
      <c r="V361" s="216"/>
      <c r="W361" s="212"/>
      <c r="X361" s="10">
        <v>7</v>
      </c>
      <c r="Y361" s="10">
        <v>7</v>
      </c>
      <c r="Z361" s="213">
        <f t="shared" si="143"/>
        <v>30000</v>
      </c>
      <c r="AA361" s="62"/>
      <c r="AB361" s="62"/>
      <c r="AC361" s="62"/>
      <c r="AD361" s="62"/>
      <c r="AE361" s="62"/>
      <c r="AF361" s="63"/>
      <c r="AG361" s="64"/>
      <c r="AH361" s="6">
        <v>1</v>
      </c>
      <c r="AI361">
        <f t="shared" si="144"/>
        <v>25</v>
      </c>
      <c r="AJ361">
        <f t="shared" si="145"/>
        <v>25</v>
      </c>
      <c r="AK361">
        <f t="shared" si="146"/>
        <v>0</v>
      </c>
      <c r="AL361">
        <f t="shared" si="147"/>
        <v>0</v>
      </c>
      <c r="AM361">
        <f t="shared" si="148"/>
        <v>0</v>
      </c>
      <c r="AN361">
        <f t="shared" si="149"/>
        <v>0</v>
      </c>
      <c r="AO361">
        <f t="shared" si="150"/>
        <v>0</v>
      </c>
      <c r="AP361">
        <f t="shared" si="151"/>
        <v>0</v>
      </c>
      <c r="AQ361">
        <f t="shared" si="152"/>
        <v>0</v>
      </c>
      <c r="AR361">
        <f t="shared" si="153"/>
        <v>0</v>
      </c>
      <c r="AS361">
        <f t="shared" si="154"/>
        <v>0</v>
      </c>
      <c r="AT361">
        <f t="shared" si="155"/>
        <v>0</v>
      </c>
      <c r="AU361">
        <f t="shared" si="156"/>
        <v>1</v>
      </c>
      <c r="AV361">
        <f t="shared" si="157"/>
        <v>1</v>
      </c>
      <c r="AW361">
        <f t="shared" si="158"/>
        <v>1</v>
      </c>
      <c r="AX361">
        <f t="shared" si="159"/>
        <v>1</v>
      </c>
      <c r="AY361">
        <f t="shared" si="160"/>
        <v>30000</v>
      </c>
      <c r="AZ361">
        <f t="shared" si="161"/>
        <v>30000</v>
      </c>
      <c r="BA361">
        <f t="shared" si="162"/>
        <v>0</v>
      </c>
      <c r="BB361">
        <f t="shared" si="163"/>
        <v>0</v>
      </c>
      <c r="BC361">
        <f t="shared" si="164"/>
        <v>0</v>
      </c>
      <c r="BD361">
        <f t="shared" si="165"/>
        <v>0</v>
      </c>
      <c r="BE361">
        <f t="shared" si="166"/>
        <v>0</v>
      </c>
      <c r="BF361">
        <f t="shared" si="167"/>
        <v>0</v>
      </c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1:256" s="201" customFormat="1" ht="14.25" x14ac:dyDescent="0.2">
      <c r="A362" s="10">
        <v>3354</v>
      </c>
      <c r="B362" s="11" t="s">
        <v>975</v>
      </c>
      <c r="C362" s="105" t="s">
        <v>976</v>
      </c>
      <c r="D362" s="11" t="s">
        <v>173</v>
      </c>
      <c r="E362" s="12">
        <v>20176</v>
      </c>
      <c r="F362" s="202">
        <v>8</v>
      </c>
      <c r="G362" s="11">
        <v>50000</v>
      </c>
      <c r="H362" s="116">
        <v>0</v>
      </c>
      <c r="I362" s="192"/>
      <c r="J362" s="204"/>
      <c r="K362" s="193"/>
      <c r="L362" s="193"/>
      <c r="M362" s="193"/>
      <c r="N362" s="203">
        <f t="shared" si="140"/>
        <v>50000</v>
      </c>
      <c r="O362" s="203">
        <f t="shared" si="141"/>
        <v>50000</v>
      </c>
      <c r="P362" s="203">
        <f t="shared" si="142"/>
        <v>50000</v>
      </c>
      <c r="Q362" s="214"/>
      <c r="R362" s="215"/>
      <c r="S362" s="218">
        <v>45642</v>
      </c>
      <c r="T362" s="205"/>
      <c r="U362" s="205"/>
      <c r="V362" s="216"/>
      <c r="W362" s="212"/>
      <c r="X362" s="10">
        <v>7</v>
      </c>
      <c r="Y362" s="10">
        <v>7</v>
      </c>
      <c r="Z362" s="213">
        <f t="shared" si="143"/>
        <v>50000</v>
      </c>
      <c r="AA362" s="62"/>
      <c r="AB362" s="62"/>
      <c r="AC362" s="62"/>
      <c r="AD362" s="62"/>
      <c r="AE362" s="62"/>
      <c r="AF362" s="63"/>
      <c r="AG362" s="64"/>
      <c r="AH362" s="6">
        <v>1</v>
      </c>
      <c r="AI362">
        <f t="shared" si="144"/>
        <v>25</v>
      </c>
      <c r="AJ362">
        <f t="shared" si="145"/>
        <v>25</v>
      </c>
      <c r="AK362">
        <f t="shared" si="146"/>
        <v>0</v>
      </c>
      <c r="AL362">
        <f t="shared" si="147"/>
        <v>0</v>
      </c>
      <c r="AM362">
        <f t="shared" si="148"/>
        <v>0</v>
      </c>
      <c r="AN362">
        <f t="shared" si="149"/>
        <v>0</v>
      </c>
      <c r="AO362">
        <f t="shared" si="150"/>
        <v>0</v>
      </c>
      <c r="AP362">
        <f t="shared" si="151"/>
        <v>0</v>
      </c>
      <c r="AQ362">
        <f t="shared" si="152"/>
        <v>0</v>
      </c>
      <c r="AR362">
        <f t="shared" si="153"/>
        <v>0</v>
      </c>
      <c r="AS362">
        <f t="shared" si="154"/>
        <v>0</v>
      </c>
      <c r="AT362">
        <f t="shared" si="155"/>
        <v>0</v>
      </c>
      <c r="AU362">
        <f t="shared" si="156"/>
        <v>1</v>
      </c>
      <c r="AV362">
        <f t="shared" si="157"/>
        <v>1</v>
      </c>
      <c r="AW362">
        <f t="shared" si="158"/>
        <v>1</v>
      </c>
      <c r="AX362">
        <f t="shared" si="159"/>
        <v>1</v>
      </c>
      <c r="AY362">
        <f t="shared" si="160"/>
        <v>50000</v>
      </c>
      <c r="AZ362">
        <f t="shared" si="161"/>
        <v>50000</v>
      </c>
      <c r="BA362">
        <f t="shared" si="162"/>
        <v>0</v>
      </c>
      <c r="BB362">
        <f t="shared" si="163"/>
        <v>0</v>
      </c>
      <c r="BC362">
        <f t="shared" si="164"/>
        <v>0</v>
      </c>
      <c r="BD362">
        <f t="shared" si="165"/>
        <v>0</v>
      </c>
      <c r="BE362">
        <f t="shared" si="166"/>
        <v>0</v>
      </c>
      <c r="BF362">
        <f t="shared" si="167"/>
        <v>0</v>
      </c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1:256" s="201" customFormat="1" ht="14.25" x14ac:dyDescent="0.2">
      <c r="A363" s="10">
        <v>3355</v>
      </c>
      <c r="B363" s="11" t="s">
        <v>977</v>
      </c>
      <c r="C363" s="105" t="s">
        <v>978</v>
      </c>
      <c r="D363" s="11" t="s">
        <v>105</v>
      </c>
      <c r="E363" s="12">
        <v>20168</v>
      </c>
      <c r="F363" s="202">
        <v>8</v>
      </c>
      <c r="G363" s="11">
        <v>100000</v>
      </c>
      <c r="H363" s="116">
        <v>0</v>
      </c>
      <c r="I363" s="192"/>
      <c r="J363" s="204"/>
      <c r="K363" s="193"/>
      <c r="L363" s="193"/>
      <c r="M363" s="193"/>
      <c r="N363" s="203">
        <f t="shared" si="140"/>
        <v>100000</v>
      </c>
      <c r="O363" s="203">
        <f t="shared" si="141"/>
        <v>100000</v>
      </c>
      <c r="P363" s="203">
        <f t="shared" si="142"/>
        <v>100000</v>
      </c>
      <c r="Q363" s="214"/>
      <c r="R363" s="215"/>
      <c r="S363" s="218">
        <v>45640</v>
      </c>
      <c r="T363" s="205"/>
      <c r="U363" s="205"/>
      <c r="V363" s="216"/>
      <c r="W363" s="212"/>
      <c r="X363" s="10">
        <v>7</v>
      </c>
      <c r="Y363" s="10">
        <v>7</v>
      </c>
      <c r="Z363" s="213">
        <f t="shared" si="143"/>
        <v>100000</v>
      </c>
      <c r="AA363" s="62"/>
      <c r="AB363" s="62"/>
      <c r="AC363" s="62"/>
      <c r="AD363" s="62"/>
      <c r="AE363" s="62"/>
      <c r="AF363" s="63"/>
      <c r="AG363" s="64"/>
      <c r="AH363" s="6">
        <v>1</v>
      </c>
      <c r="AI363">
        <f t="shared" si="144"/>
        <v>25</v>
      </c>
      <c r="AJ363">
        <f t="shared" si="145"/>
        <v>25</v>
      </c>
      <c r="AK363">
        <f t="shared" si="146"/>
        <v>0</v>
      </c>
      <c r="AL363">
        <f t="shared" si="147"/>
        <v>0</v>
      </c>
      <c r="AM363">
        <f t="shared" si="148"/>
        <v>0</v>
      </c>
      <c r="AN363">
        <f t="shared" si="149"/>
        <v>0</v>
      </c>
      <c r="AO363">
        <f t="shared" si="150"/>
        <v>0</v>
      </c>
      <c r="AP363">
        <f t="shared" si="151"/>
        <v>0</v>
      </c>
      <c r="AQ363">
        <f t="shared" si="152"/>
        <v>0</v>
      </c>
      <c r="AR363">
        <f t="shared" si="153"/>
        <v>0</v>
      </c>
      <c r="AS363">
        <f t="shared" si="154"/>
        <v>0</v>
      </c>
      <c r="AT363">
        <f t="shared" si="155"/>
        <v>0</v>
      </c>
      <c r="AU363">
        <f t="shared" si="156"/>
        <v>1</v>
      </c>
      <c r="AV363">
        <f t="shared" si="157"/>
        <v>1</v>
      </c>
      <c r="AW363">
        <f t="shared" si="158"/>
        <v>1</v>
      </c>
      <c r="AX363">
        <f t="shared" si="159"/>
        <v>1</v>
      </c>
      <c r="AY363">
        <f t="shared" si="160"/>
        <v>100000</v>
      </c>
      <c r="AZ363">
        <f t="shared" si="161"/>
        <v>100000</v>
      </c>
      <c r="BA363">
        <f t="shared" si="162"/>
        <v>0</v>
      </c>
      <c r="BB363">
        <f t="shared" si="163"/>
        <v>0</v>
      </c>
      <c r="BC363">
        <f t="shared" si="164"/>
        <v>0</v>
      </c>
      <c r="BD363">
        <f t="shared" si="165"/>
        <v>0</v>
      </c>
      <c r="BE363">
        <f t="shared" si="166"/>
        <v>0</v>
      </c>
      <c r="BF363">
        <f t="shared" si="167"/>
        <v>0</v>
      </c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1:256" s="201" customFormat="1" ht="14.25" x14ac:dyDescent="0.2">
      <c r="A364" s="10">
        <v>3356</v>
      </c>
      <c r="B364" s="11" t="s">
        <v>979</v>
      </c>
      <c r="C364" s="105" t="s">
        <v>980</v>
      </c>
      <c r="D364" s="11" t="s">
        <v>221</v>
      </c>
      <c r="E364" s="12">
        <v>20349</v>
      </c>
      <c r="F364" s="202">
        <v>8</v>
      </c>
      <c r="G364" s="11">
        <v>30000</v>
      </c>
      <c r="H364" s="116">
        <v>0</v>
      </c>
      <c r="I364" s="192"/>
      <c r="J364" s="204"/>
      <c r="K364" s="193"/>
      <c r="L364" s="193"/>
      <c r="M364" s="193"/>
      <c r="N364" s="203">
        <f t="shared" si="140"/>
        <v>30000</v>
      </c>
      <c r="O364" s="203">
        <f t="shared" si="141"/>
        <v>30000</v>
      </c>
      <c r="P364" s="203">
        <f t="shared" si="142"/>
        <v>30000</v>
      </c>
      <c r="Q364" s="214"/>
      <c r="R364" s="215"/>
      <c r="S364" s="218">
        <v>45643</v>
      </c>
      <c r="T364" s="205"/>
      <c r="U364" s="205"/>
      <c r="V364" s="216"/>
      <c r="W364" s="212"/>
      <c r="X364" s="10">
        <v>7</v>
      </c>
      <c r="Y364" s="10">
        <v>7</v>
      </c>
      <c r="Z364" s="213">
        <f t="shared" si="143"/>
        <v>30000</v>
      </c>
      <c r="AA364" s="62"/>
      <c r="AB364" s="62"/>
      <c r="AC364" s="62"/>
      <c r="AD364" s="62"/>
      <c r="AE364" s="62"/>
      <c r="AF364" s="63"/>
      <c r="AG364" s="64"/>
      <c r="AH364" s="6">
        <v>1</v>
      </c>
      <c r="AI364">
        <f t="shared" si="144"/>
        <v>25</v>
      </c>
      <c r="AJ364">
        <f t="shared" si="145"/>
        <v>25</v>
      </c>
      <c r="AK364">
        <f t="shared" si="146"/>
        <v>0</v>
      </c>
      <c r="AL364">
        <f t="shared" si="147"/>
        <v>0</v>
      </c>
      <c r="AM364">
        <f t="shared" si="148"/>
        <v>0</v>
      </c>
      <c r="AN364">
        <f t="shared" si="149"/>
        <v>0</v>
      </c>
      <c r="AO364">
        <f t="shared" si="150"/>
        <v>0</v>
      </c>
      <c r="AP364">
        <f t="shared" si="151"/>
        <v>0</v>
      </c>
      <c r="AQ364">
        <f t="shared" si="152"/>
        <v>0</v>
      </c>
      <c r="AR364">
        <f t="shared" si="153"/>
        <v>0</v>
      </c>
      <c r="AS364">
        <f t="shared" si="154"/>
        <v>0</v>
      </c>
      <c r="AT364">
        <f t="shared" si="155"/>
        <v>0</v>
      </c>
      <c r="AU364">
        <f t="shared" si="156"/>
        <v>1</v>
      </c>
      <c r="AV364">
        <f t="shared" si="157"/>
        <v>1</v>
      </c>
      <c r="AW364">
        <f t="shared" si="158"/>
        <v>1</v>
      </c>
      <c r="AX364">
        <f t="shared" si="159"/>
        <v>1</v>
      </c>
      <c r="AY364">
        <f t="shared" si="160"/>
        <v>30000</v>
      </c>
      <c r="AZ364">
        <f t="shared" si="161"/>
        <v>30000</v>
      </c>
      <c r="BA364">
        <f t="shared" si="162"/>
        <v>0</v>
      </c>
      <c r="BB364">
        <f t="shared" si="163"/>
        <v>0</v>
      </c>
      <c r="BC364">
        <f t="shared" si="164"/>
        <v>0</v>
      </c>
      <c r="BD364">
        <f t="shared" si="165"/>
        <v>0</v>
      </c>
      <c r="BE364">
        <f t="shared" si="166"/>
        <v>0</v>
      </c>
      <c r="BF364">
        <f t="shared" si="167"/>
        <v>0</v>
      </c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1:256" s="201" customFormat="1" ht="14.25" x14ac:dyDescent="0.2">
      <c r="A365" s="10">
        <v>3357</v>
      </c>
      <c r="B365" s="11" t="s">
        <v>981</v>
      </c>
      <c r="C365" s="105" t="s">
        <v>982</v>
      </c>
      <c r="D365" s="11" t="s">
        <v>106</v>
      </c>
      <c r="E365" s="12">
        <v>3986</v>
      </c>
      <c r="F365" s="202">
        <v>8</v>
      </c>
      <c r="G365" s="11">
        <v>55000</v>
      </c>
      <c r="H365" s="116">
        <v>0</v>
      </c>
      <c r="I365" s="192"/>
      <c r="J365" s="204"/>
      <c r="K365" s="193"/>
      <c r="L365" s="193"/>
      <c r="M365" s="193"/>
      <c r="N365" s="203">
        <f t="shared" si="140"/>
        <v>55000</v>
      </c>
      <c r="O365" s="203">
        <f t="shared" si="141"/>
        <v>55000</v>
      </c>
      <c r="P365" s="203">
        <f t="shared" si="142"/>
        <v>55000</v>
      </c>
      <c r="Q365" s="214"/>
      <c r="R365" s="215"/>
      <c r="S365" s="218">
        <v>45635</v>
      </c>
      <c r="T365" s="205"/>
      <c r="U365" s="205"/>
      <c r="V365" s="216"/>
      <c r="W365" s="212" t="s">
        <v>1144</v>
      </c>
      <c r="X365" s="10">
        <v>7</v>
      </c>
      <c r="Y365" s="10">
        <v>7</v>
      </c>
      <c r="Z365" s="213">
        <f t="shared" si="143"/>
        <v>55000</v>
      </c>
      <c r="AA365" s="62"/>
      <c r="AB365" s="62"/>
      <c r="AC365" s="62"/>
      <c r="AD365" s="62"/>
      <c r="AE365" s="62"/>
      <c r="AF365" s="63"/>
      <c r="AG365" s="64"/>
      <c r="AH365" s="6">
        <v>1</v>
      </c>
      <c r="AI365">
        <f t="shared" si="144"/>
        <v>25</v>
      </c>
      <c r="AJ365">
        <f t="shared" si="145"/>
        <v>25</v>
      </c>
      <c r="AK365">
        <f t="shared" si="146"/>
        <v>0</v>
      </c>
      <c r="AL365">
        <f t="shared" si="147"/>
        <v>0</v>
      </c>
      <c r="AM365">
        <f t="shared" si="148"/>
        <v>0</v>
      </c>
      <c r="AN365">
        <f t="shared" si="149"/>
        <v>0</v>
      </c>
      <c r="AO365">
        <f t="shared" si="150"/>
        <v>0</v>
      </c>
      <c r="AP365">
        <f t="shared" si="151"/>
        <v>0</v>
      </c>
      <c r="AQ365">
        <f t="shared" si="152"/>
        <v>0</v>
      </c>
      <c r="AR365">
        <f t="shared" si="153"/>
        <v>0</v>
      </c>
      <c r="AS365">
        <f t="shared" si="154"/>
        <v>0</v>
      </c>
      <c r="AT365">
        <f t="shared" si="155"/>
        <v>0</v>
      </c>
      <c r="AU365">
        <f t="shared" si="156"/>
        <v>1</v>
      </c>
      <c r="AV365">
        <f t="shared" si="157"/>
        <v>1</v>
      </c>
      <c r="AW365">
        <f t="shared" si="158"/>
        <v>1</v>
      </c>
      <c r="AX365">
        <f t="shared" si="159"/>
        <v>1</v>
      </c>
      <c r="AY365">
        <f t="shared" si="160"/>
        <v>55000</v>
      </c>
      <c r="AZ365">
        <f t="shared" si="161"/>
        <v>55000</v>
      </c>
      <c r="BA365">
        <f t="shared" si="162"/>
        <v>0</v>
      </c>
      <c r="BB365">
        <f t="shared" si="163"/>
        <v>0</v>
      </c>
      <c r="BC365">
        <f t="shared" si="164"/>
        <v>0</v>
      </c>
      <c r="BD365">
        <f t="shared" si="165"/>
        <v>0</v>
      </c>
      <c r="BE365">
        <f t="shared" si="166"/>
        <v>0</v>
      </c>
      <c r="BF365">
        <f t="shared" si="167"/>
        <v>0</v>
      </c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1:256" s="201" customFormat="1" ht="14.25" x14ac:dyDescent="0.2">
      <c r="A366" s="10">
        <v>3358</v>
      </c>
      <c r="B366" s="11" t="s">
        <v>983</v>
      </c>
      <c r="C366" s="105" t="s">
        <v>984</v>
      </c>
      <c r="D366" s="11" t="s">
        <v>157</v>
      </c>
      <c r="E366" s="12">
        <v>20178</v>
      </c>
      <c r="F366" s="202">
        <v>8</v>
      </c>
      <c r="G366" s="11">
        <v>55000</v>
      </c>
      <c r="H366" s="116">
        <v>0</v>
      </c>
      <c r="I366" s="192"/>
      <c r="J366" s="204"/>
      <c r="K366" s="193"/>
      <c r="L366" s="193"/>
      <c r="M366" s="193"/>
      <c r="N366" s="203">
        <f t="shared" si="140"/>
        <v>55000</v>
      </c>
      <c r="O366" s="203">
        <f t="shared" si="141"/>
        <v>55000</v>
      </c>
      <c r="P366" s="203">
        <f t="shared" si="142"/>
        <v>55000</v>
      </c>
      <c r="Q366" s="214"/>
      <c r="R366" s="215"/>
      <c r="S366" s="218">
        <v>45636</v>
      </c>
      <c r="T366" s="205"/>
      <c r="U366" s="205"/>
      <c r="V366" s="216"/>
      <c r="W366" s="212"/>
      <c r="X366" s="10">
        <v>7</v>
      </c>
      <c r="Y366" s="10">
        <v>7</v>
      </c>
      <c r="Z366" s="213">
        <f t="shared" si="143"/>
        <v>55000</v>
      </c>
      <c r="AA366" s="62"/>
      <c r="AB366" s="62"/>
      <c r="AC366" s="62"/>
      <c r="AD366" s="62"/>
      <c r="AE366" s="62"/>
      <c r="AF366" s="63"/>
      <c r="AG366" s="64"/>
      <c r="AH366" s="6">
        <v>1</v>
      </c>
      <c r="AI366">
        <f t="shared" si="144"/>
        <v>25</v>
      </c>
      <c r="AJ366">
        <f t="shared" si="145"/>
        <v>25</v>
      </c>
      <c r="AK366">
        <f t="shared" si="146"/>
        <v>0</v>
      </c>
      <c r="AL366">
        <f t="shared" si="147"/>
        <v>0</v>
      </c>
      <c r="AM366">
        <f t="shared" si="148"/>
        <v>0</v>
      </c>
      <c r="AN366">
        <f t="shared" si="149"/>
        <v>0</v>
      </c>
      <c r="AO366">
        <f t="shared" si="150"/>
        <v>0</v>
      </c>
      <c r="AP366">
        <f t="shared" si="151"/>
        <v>0</v>
      </c>
      <c r="AQ366">
        <f t="shared" si="152"/>
        <v>0</v>
      </c>
      <c r="AR366">
        <f t="shared" si="153"/>
        <v>0</v>
      </c>
      <c r="AS366">
        <f t="shared" si="154"/>
        <v>0</v>
      </c>
      <c r="AT366">
        <f t="shared" si="155"/>
        <v>0</v>
      </c>
      <c r="AU366">
        <f t="shared" si="156"/>
        <v>1</v>
      </c>
      <c r="AV366">
        <f t="shared" si="157"/>
        <v>1</v>
      </c>
      <c r="AW366">
        <f t="shared" si="158"/>
        <v>1</v>
      </c>
      <c r="AX366">
        <f t="shared" si="159"/>
        <v>1</v>
      </c>
      <c r="AY366">
        <f t="shared" si="160"/>
        <v>55000</v>
      </c>
      <c r="AZ366">
        <f t="shared" si="161"/>
        <v>55000</v>
      </c>
      <c r="BA366">
        <f t="shared" si="162"/>
        <v>0</v>
      </c>
      <c r="BB366">
        <f t="shared" si="163"/>
        <v>0</v>
      </c>
      <c r="BC366">
        <f t="shared" si="164"/>
        <v>0</v>
      </c>
      <c r="BD366">
        <f t="shared" si="165"/>
        <v>0</v>
      </c>
      <c r="BE366">
        <f t="shared" si="166"/>
        <v>0</v>
      </c>
      <c r="BF366">
        <f t="shared" si="167"/>
        <v>0</v>
      </c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1:256" s="201" customFormat="1" ht="14.25" x14ac:dyDescent="0.2">
      <c r="A367" s="10">
        <v>3359</v>
      </c>
      <c r="B367" s="11" t="s">
        <v>985</v>
      </c>
      <c r="C367" s="105" t="s">
        <v>986</v>
      </c>
      <c r="D367" s="11" t="s">
        <v>220</v>
      </c>
      <c r="E367" s="12">
        <v>20182</v>
      </c>
      <c r="F367" s="202">
        <v>8</v>
      </c>
      <c r="G367" s="11">
        <v>60000</v>
      </c>
      <c r="H367" s="116">
        <v>0</v>
      </c>
      <c r="I367" s="192"/>
      <c r="J367" s="204"/>
      <c r="K367" s="193"/>
      <c r="L367" s="193"/>
      <c r="M367" s="193"/>
      <c r="N367" s="203">
        <f t="shared" si="140"/>
        <v>60000</v>
      </c>
      <c r="O367" s="203">
        <f t="shared" si="141"/>
        <v>60000</v>
      </c>
      <c r="P367" s="203">
        <f t="shared" si="142"/>
        <v>60000</v>
      </c>
      <c r="Q367" s="214">
        <v>45663</v>
      </c>
      <c r="R367" s="215"/>
      <c r="S367" s="218">
        <v>45635</v>
      </c>
      <c r="T367" s="205"/>
      <c r="U367" s="205"/>
      <c r="V367" s="216" t="s">
        <v>1131</v>
      </c>
      <c r="W367" s="212"/>
      <c r="X367" s="10">
        <v>7</v>
      </c>
      <c r="Y367" s="10">
        <v>7</v>
      </c>
      <c r="Z367" s="213">
        <f t="shared" si="143"/>
        <v>60000</v>
      </c>
      <c r="AA367" s="62"/>
      <c r="AB367" s="62"/>
      <c r="AC367" s="62"/>
      <c r="AD367" s="62"/>
      <c r="AE367" s="62"/>
      <c r="AF367" s="63"/>
      <c r="AG367" s="64"/>
      <c r="AH367" s="6">
        <v>1</v>
      </c>
      <c r="AI367">
        <f t="shared" si="144"/>
        <v>25</v>
      </c>
      <c r="AJ367">
        <f t="shared" si="145"/>
        <v>25</v>
      </c>
      <c r="AK367">
        <f t="shared" si="146"/>
        <v>0</v>
      </c>
      <c r="AL367">
        <f t="shared" si="147"/>
        <v>0</v>
      </c>
      <c r="AM367">
        <f t="shared" si="148"/>
        <v>0</v>
      </c>
      <c r="AN367">
        <f t="shared" si="149"/>
        <v>0</v>
      </c>
      <c r="AO367">
        <f t="shared" si="150"/>
        <v>0</v>
      </c>
      <c r="AP367">
        <f t="shared" si="151"/>
        <v>0</v>
      </c>
      <c r="AQ367">
        <f t="shared" si="152"/>
        <v>0</v>
      </c>
      <c r="AR367">
        <f t="shared" si="153"/>
        <v>0</v>
      </c>
      <c r="AS367">
        <f t="shared" si="154"/>
        <v>0</v>
      </c>
      <c r="AT367">
        <f t="shared" si="155"/>
        <v>0</v>
      </c>
      <c r="AU367">
        <f t="shared" si="156"/>
        <v>1</v>
      </c>
      <c r="AV367">
        <f t="shared" si="157"/>
        <v>1</v>
      </c>
      <c r="AW367">
        <f t="shared" si="158"/>
        <v>1</v>
      </c>
      <c r="AX367">
        <f t="shared" si="159"/>
        <v>1</v>
      </c>
      <c r="AY367">
        <f t="shared" si="160"/>
        <v>60000</v>
      </c>
      <c r="AZ367">
        <f t="shared" si="161"/>
        <v>60000</v>
      </c>
      <c r="BA367">
        <f t="shared" si="162"/>
        <v>0</v>
      </c>
      <c r="BB367">
        <f t="shared" si="163"/>
        <v>0</v>
      </c>
      <c r="BC367">
        <f t="shared" si="164"/>
        <v>0</v>
      </c>
      <c r="BD367">
        <f t="shared" si="165"/>
        <v>0</v>
      </c>
      <c r="BE367">
        <f t="shared" si="166"/>
        <v>0</v>
      </c>
      <c r="BF367">
        <f t="shared" si="167"/>
        <v>0</v>
      </c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1:256" s="201" customFormat="1" ht="14.25" x14ac:dyDescent="0.2">
      <c r="A368" s="10">
        <v>3360</v>
      </c>
      <c r="B368" s="11" t="s">
        <v>987</v>
      </c>
      <c r="C368" s="105" t="s">
        <v>988</v>
      </c>
      <c r="D368" s="11" t="s">
        <v>218</v>
      </c>
      <c r="E368" s="12">
        <v>20177</v>
      </c>
      <c r="F368" s="202">
        <v>8</v>
      </c>
      <c r="G368" s="11">
        <v>70000</v>
      </c>
      <c r="H368" s="116">
        <v>-70000</v>
      </c>
      <c r="I368" s="192"/>
      <c r="J368" s="204"/>
      <c r="K368" s="193"/>
      <c r="L368" s="193"/>
      <c r="M368" s="193"/>
      <c r="N368" s="203">
        <f t="shared" si="140"/>
        <v>70000</v>
      </c>
      <c r="O368" s="203">
        <f t="shared" si="141"/>
        <v>0</v>
      </c>
      <c r="P368" s="203">
        <f t="shared" si="142"/>
        <v>0</v>
      </c>
      <c r="Q368" s="214"/>
      <c r="R368" s="215"/>
      <c r="S368" s="218">
        <v>45644</v>
      </c>
      <c r="T368" s="205"/>
      <c r="U368" s="205"/>
      <c r="V368" s="216"/>
      <c r="W368" s="212"/>
      <c r="X368" s="10">
        <v>7</v>
      </c>
      <c r="Y368" s="10">
        <v>7</v>
      </c>
      <c r="Z368" s="213">
        <f t="shared" si="143"/>
        <v>70000</v>
      </c>
      <c r="AA368" s="62"/>
      <c r="AB368" s="62"/>
      <c r="AC368" s="62"/>
      <c r="AD368" s="62"/>
      <c r="AE368" s="62"/>
      <c r="AF368" s="63"/>
      <c r="AG368" s="64"/>
      <c r="AH368" s="6">
        <v>1</v>
      </c>
      <c r="AI368">
        <f t="shared" si="144"/>
        <v>25</v>
      </c>
      <c r="AJ368">
        <f t="shared" si="145"/>
        <v>15</v>
      </c>
      <c r="AK368">
        <f t="shared" si="146"/>
        <v>0</v>
      </c>
      <c r="AL368">
        <f t="shared" si="147"/>
        <v>0</v>
      </c>
      <c r="AM368">
        <f t="shared" si="148"/>
        <v>0</v>
      </c>
      <c r="AN368">
        <f t="shared" si="149"/>
        <v>0</v>
      </c>
      <c r="AO368">
        <f t="shared" si="150"/>
        <v>0</v>
      </c>
      <c r="AP368">
        <f t="shared" si="151"/>
        <v>0</v>
      </c>
      <c r="AQ368">
        <f t="shared" si="152"/>
        <v>0</v>
      </c>
      <c r="AR368">
        <f t="shared" si="153"/>
        <v>0</v>
      </c>
      <c r="AS368">
        <f t="shared" si="154"/>
        <v>0</v>
      </c>
      <c r="AT368">
        <f t="shared" si="155"/>
        <v>0</v>
      </c>
      <c r="AU368">
        <f t="shared" si="156"/>
        <v>0</v>
      </c>
      <c r="AV368">
        <f t="shared" si="157"/>
        <v>0</v>
      </c>
      <c r="AW368">
        <f t="shared" si="158"/>
        <v>0</v>
      </c>
      <c r="AX368">
        <f t="shared" si="159"/>
        <v>0</v>
      </c>
      <c r="AY368">
        <f t="shared" si="160"/>
        <v>0</v>
      </c>
      <c r="AZ368">
        <f t="shared" si="161"/>
        <v>0</v>
      </c>
      <c r="BA368">
        <f t="shared" si="162"/>
        <v>0</v>
      </c>
      <c r="BB368">
        <f t="shared" si="163"/>
        <v>0</v>
      </c>
      <c r="BC368">
        <f t="shared" si="164"/>
        <v>0</v>
      </c>
      <c r="BD368">
        <f t="shared" si="165"/>
        <v>0</v>
      </c>
      <c r="BE368">
        <f t="shared" si="166"/>
        <v>0</v>
      </c>
      <c r="BF368">
        <f t="shared" si="167"/>
        <v>0</v>
      </c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1:256" s="201" customFormat="1" ht="14.25" x14ac:dyDescent="0.2">
      <c r="A369" s="10">
        <v>3361</v>
      </c>
      <c r="B369" s="11" t="s">
        <v>989</v>
      </c>
      <c r="C369" s="105" t="s">
        <v>990</v>
      </c>
      <c r="D369" s="11" t="s">
        <v>218</v>
      </c>
      <c r="E369" s="12">
        <v>20175</v>
      </c>
      <c r="F369" s="202">
        <v>8</v>
      </c>
      <c r="G369" s="11">
        <v>60000</v>
      </c>
      <c r="H369" s="116">
        <v>0</v>
      </c>
      <c r="I369" s="192"/>
      <c r="J369" s="204"/>
      <c r="K369" s="193"/>
      <c r="L369" s="193"/>
      <c r="M369" s="193"/>
      <c r="N369" s="203">
        <f t="shared" si="140"/>
        <v>60000</v>
      </c>
      <c r="O369" s="203">
        <f t="shared" si="141"/>
        <v>60000</v>
      </c>
      <c r="P369" s="203">
        <f t="shared" si="142"/>
        <v>60000</v>
      </c>
      <c r="Q369" s="214"/>
      <c r="R369" s="215"/>
      <c r="S369" s="218">
        <v>45644</v>
      </c>
      <c r="T369" s="205"/>
      <c r="U369" s="205"/>
      <c r="V369" s="216"/>
      <c r="W369" s="212"/>
      <c r="X369" s="10">
        <v>7</v>
      </c>
      <c r="Y369" s="10">
        <v>7</v>
      </c>
      <c r="Z369" s="213">
        <f t="shared" si="143"/>
        <v>60000</v>
      </c>
      <c r="AA369" s="62"/>
      <c r="AB369" s="62"/>
      <c r="AC369" s="62"/>
      <c r="AD369" s="62"/>
      <c r="AE369" s="62"/>
      <c r="AF369" s="63"/>
      <c r="AG369" s="64"/>
      <c r="AH369" s="6">
        <v>1</v>
      </c>
      <c r="AI369">
        <f t="shared" si="144"/>
        <v>25</v>
      </c>
      <c r="AJ369">
        <f t="shared" si="145"/>
        <v>25</v>
      </c>
      <c r="AK369">
        <f t="shared" si="146"/>
        <v>0</v>
      </c>
      <c r="AL369">
        <f t="shared" si="147"/>
        <v>0</v>
      </c>
      <c r="AM369">
        <f t="shared" si="148"/>
        <v>0</v>
      </c>
      <c r="AN369">
        <f t="shared" si="149"/>
        <v>0</v>
      </c>
      <c r="AO369">
        <f t="shared" si="150"/>
        <v>0</v>
      </c>
      <c r="AP369">
        <f t="shared" si="151"/>
        <v>0</v>
      </c>
      <c r="AQ369">
        <f t="shared" si="152"/>
        <v>0</v>
      </c>
      <c r="AR369">
        <f t="shared" si="153"/>
        <v>0</v>
      </c>
      <c r="AS369">
        <f t="shared" si="154"/>
        <v>0</v>
      </c>
      <c r="AT369">
        <f t="shared" si="155"/>
        <v>0</v>
      </c>
      <c r="AU369">
        <f t="shared" si="156"/>
        <v>1</v>
      </c>
      <c r="AV369">
        <f t="shared" si="157"/>
        <v>1</v>
      </c>
      <c r="AW369">
        <f t="shared" si="158"/>
        <v>1</v>
      </c>
      <c r="AX369">
        <f t="shared" si="159"/>
        <v>1</v>
      </c>
      <c r="AY369">
        <f t="shared" si="160"/>
        <v>60000</v>
      </c>
      <c r="AZ369">
        <f t="shared" si="161"/>
        <v>60000</v>
      </c>
      <c r="BA369">
        <f t="shared" si="162"/>
        <v>0</v>
      </c>
      <c r="BB369">
        <f t="shared" si="163"/>
        <v>0</v>
      </c>
      <c r="BC369">
        <f t="shared" si="164"/>
        <v>0</v>
      </c>
      <c r="BD369">
        <f t="shared" si="165"/>
        <v>0</v>
      </c>
      <c r="BE369">
        <f t="shared" si="166"/>
        <v>0</v>
      </c>
      <c r="BF369">
        <f t="shared" si="167"/>
        <v>0</v>
      </c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1:256" s="201" customFormat="1" ht="14.25" x14ac:dyDescent="0.2">
      <c r="A370" s="10">
        <v>3365</v>
      </c>
      <c r="B370" s="11" t="s">
        <v>991</v>
      </c>
      <c r="C370" s="105" t="s">
        <v>992</v>
      </c>
      <c r="D370" s="11" t="s">
        <v>106</v>
      </c>
      <c r="E370" s="12">
        <v>20188</v>
      </c>
      <c r="F370" s="202">
        <v>8</v>
      </c>
      <c r="G370" s="11">
        <v>50000</v>
      </c>
      <c r="H370" s="116">
        <v>40000</v>
      </c>
      <c r="I370" s="192"/>
      <c r="J370" s="204"/>
      <c r="K370" s="193"/>
      <c r="L370" s="193"/>
      <c r="M370" s="193"/>
      <c r="N370" s="203">
        <f t="shared" si="140"/>
        <v>90000</v>
      </c>
      <c r="O370" s="203">
        <f t="shared" si="141"/>
        <v>90000</v>
      </c>
      <c r="P370" s="203">
        <f t="shared" si="142"/>
        <v>90000</v>
      </c>
      <c r="Q370" s="214"/>
      <c r="R370" s="215"/>
      <c r="S370" s="218">
        <v>45656</v>
      </c>
      <c r="T370" s="205"/>
      <c r="U370" s="205"/>
      <c r="V370" s="216"/>
      <c r="W370" s="212"/>
      <c r="X370" s="10">
        <v>7</v>
      </c>
      <c r="Y370" s="10">
        <v>7</v>
      </c>
      <c r="Z370" s="213">
        <f t="shared" si="143"/>
        <v>90000</v>
      </c>
      <c r="AA370" s="62"/>
      <c r="AB370" s="62"/>
      <c r="AC370" s="62"/>
      <c r="AD370" s="62"/>
      <c r="AE370" s="62"/>
      <c r="AF370" s="63"/>
      <c r="AG370" s="64"/>
      <c r="AH370" s="6">
        <v>1</v>
      </c>
      <c r="AI370">
        <f t="shared" si="144"/>
        <v>25</v>
      </c>
      <c r="AJ370">
        <f t="shared" si="145"/>
        <v>25</v>
      </c>
      <c r="AK370">
        <f t="shared" si="146"/>
        <v>0</v>
      </c>
      <c r="AL370">
        <f t="shared" si="147"/>
        <v>0</v>
      </c>
      <c r="AM370">
        <f t="shared" si="148"/>
        <v>0</v>
      </c>
      <c r="AN370">
        <f t="shared" si="149"/>
        <v>0</v>
      </c>
      <c r="AO370">
        <f t="shared" si="150"/>
        <v>0</v>
      </c>
      <c r="AP370">
        <f t="shared" si="151"/>
        <v>0</v>
      </c>
      <c r="AQ370">
        <f t="shared" si="152"/>
        <v>0</v>
      </c>
      <c r="AR370">
        <f t="shared" si="153"/>
        <v>0</v>
      </c>
      <c r="AS370">
        <f t="shared" si="154"/>
        <v>0</v>
      </c>
      <c r="AT370">
        <f t="shared" si="155"/>
        <v>0</v>
      </c>
      <c r="AU370">
        <f t="shared" si="156"/>
        <v>1</v>
      </c>
      <c r="AV370">
        <f t="shared" si="157"/>
        <v>1</v>
      </c>
      <c r="AW370">
        <f t="shared" si="158"/>
        <v>1</v>
      </c>
      <c r="AX370">
        <f t="shared" si="159"/>
        <v>1</v>
      </c>
      <c r="AY370">
        <f t="shared" si="160"/>
        <v>90000</v>
      </c>
      <c r="AZ370">
        <f t="shared" si="161"/>
        <v>90000</v>
      </c>
      <c r="BA370">
        <f t="shared" si="162"/>
        <v>0</v>
      </c>
      <c r="BB370">
        <f t="shared" si="163"/>
        <v>0</v>
      </c>
      <c r="BC370">
        <f t="shared" si="164"/>
        <v>0</v>
      </c>
      <c r="BD370">
        <f t="shared" si="165"/>
        <v>0</v>
      </c>
      <c r="BE370">
        <f t="shared" si="166"/>
        <v>0</v>
      </c>
      <c r="BF370">
        <f t="shared" si="167"/>
        <v>0</v>
      </c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1:256" s="201" customFormat="1" ht="14.25" x14ac:dyDescent="0.2">
      <c r="A371" s="10">
        <v>3366</v>
      </c>
      <c r="B371" s="11" t="s">
        <v>993</v>
      </c>
      <c r="C371" s="105" t="s">
        <v>994</v>
      </c>
      <c r="D371" s="11" t="s">
        <v>106</v>
      </c>
      <c r="E371" s="12">
        <v>20179</v>
      </c>
      <c r="F371" s="202">
        <v>8</v>
      </c>
      <c r="G371" s="11">
        <v>50000</v>
      </c>
      <c r="H371" s="116">
        <v>-50000</v>
      </c>
      <c r="I371" s="192"/>
      <c r="J371" s="204"/>
      <c r="K371" s="193"/>
      <c r="L371" s="193"/>
      <c r="M371" s="193"/>
      <c r="N371" s="203">
        <f t="shared" si="140"/>
        <v>50000</v>
      </c>
      <c r="O371" s="203">
        <f t="shared" si="141"/>
        <v>0</v>
      </c>
      <c r="P371" s="203">
        <f t="shared" si="142"/>
        <v>0</v>
      </c>
      <c r="Q371" s="214"/>
      <c r="R371" s="215"/>
      <c r="S371" s="218">
        <v>45636</v>
      </c>
      <c r="T371" s="205"/>
      <c r="U371" s="205"/>
      <c r="V371" s="216"/>
      <c r="W371" s="212"/>
      <c r="X371" s="10">
        <v>7</v>
      </c>
      <c r="Y371" s="10">
        <v>7</v>
      </c>
      <c r="Z371" s="213">
        <f t="shared" si="143"/>
        <v>50000</v>
      </c>
      <c r="AA371" s="62"/>
      <c r="AB371" s="62"/>
      <c r="AC371" s="62"/>
      <c r="AD371" s="62"/>
      <c r="AE371" s="62"/>
      <c r="AF371" s="63"/>
      <c r="AG371" s="64"/>
      <c r="AH371" s="6">
        <v>1</v>
      </c>
      <c r="AI371">
        <f t="shared" si="144"/>
        <v>25</v>
      </c>
      <c r="AJ371">
        <f t="shared" si="145"/>
        <v>15</v>
      </c>
      <c r="AK371">
        <f t="shared" si="146"/>
        <v>0</v>
      </c>
      <c r="AL371">
        <f t="shared" si="147"/>
        <v>0</v>
      </c>
      <c r="AM371">
        <f t="shared" si="148"/>
        <v>0</v>
      </c>
      <c r="AN371">
        <f t="shared" si="149"/>
        <v>0</v>
      </c>
      <c r="AO371">
        <f t="shared" si="150"/>
        <v>0</v>
      </c>
      <c r="AP371">
        <f t="shared" si="151"/>
        <v>0</v>
      </c>
      <c r="AQ371">
        <f t="shared" si="152"/>
        <v>0</v>
      </c>
      <c r="AR371">
        <f t="shared" si="153"/>
        <v>0</v>
      </c>
      <c r="AS371">
        <f t="shared" si="154"/>
        <v>0</v>
      </c>
      <c r="AT371">
        <f t="shared" si="155"/>
        <v>0</v>
      </c>
      <c r="AU371">
        <f t="shared" si="156"/>
        <v>0</v>
      </c>
      <c r="AV371">
        <f t="shared" si="157"/>
        <v>0</v>
      </c>
      <c r="AW371">
        <f t="shared" si="158"/>
        <v>0</v>
      </c>
      <c r="AX371">
        <f t="shared" si="159"/>
        <v>0</v>
      </c>
      <c r="AY371">
        <f t="shared" si="160"/>
        <v>0</v>
      </c>
      <c r="AZ371">
        <f t="shared" si="161"/>
        <v>0</v>
      </c>
      <c r="BA371">
        <f t="shared" si="162"/>
        <v>0</v>
      </c>
      <c r="BB371">
        <f t="shared" si="163"/>
        <v>0</v>
      </c>
      <c r="BC371">
        <f t="shared" si="164"/>
        <v>0</v>
      </c>
      <c r="BD371">
        <f t="shared" si="165"/>
        <v>0</v>
      </c>
      <c r="BE371">
        <f t="shared" si="166"/>
        <v>0</v>
      </c>
      <c r="BF371">
        <f t="shared" si="167"/>
        <v>0</v>
      </c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1:256" s="201" customFormat="1" ht="14.25" x14ac:dyDescent="0.2">
      <c r="A372" s="10">
        <v>3367</v>
      </c>
      <c r="B372" s="11" t="s">
        <v>995</v>
      </c>
      <c r="C372" s="105" t="s">
        <v>996</v>
      </c>
      <c r="D372" s="11" t="s">
        <v>147</v>
      </c>
      <c r="E372" s="12">
        <v>20140</v>
      </c>
      <c r="F372" s="202">
        <v>8</v>
      </c>
      <c r="G372" s="11">
        <v>60000</v>
      </c>
      <c r="H372" s="116">
        <v>-60000</v>
      </c>
      <c r="I372" s="192"/>
      <c r="J372" s="204"/>
      <c r="K372" s="193"/>
      <c r="L372" s="193"/>
      <c r="M372" s="193"/>
      <c r="N372" s="203">
        <f t="shared" si="140"/>
        <v>60000</v>
      </c>
      <c r="O372" s="203">
        <f t="shared" si="141"/>
        <v>0</v>
      </c>
      <c r="P372" s="203">
        <f t="shared" si="142"/>
        <v>0</v>
      </c>
      <c r="Q372" s="214">
        <v>45663</v>
      </c>
      <c r="R372" s="215"/>
      <c r="S372" s="218">
        <v>45632</v>
      </c>
      <c r="T372" s="205"/>
      <c r="U372" s="205"/>
      <c r="V372" s="216" t="s">
        <v>1131</v>
      </c>
      <c r="W372" s="212"/>
      <c r="X372" s="10">
        <v>7</v>
      </c>
      <c r="Y372" s="10">
        <v>7</v>
      </c>
      <c r="Z372" s="213">
        <f t="shared" si="143"/>
        <v>60000</v>
      </c>
      <c r="AA372" s="62"/>
      <c r="AB372" s="62"/>
      <c r="AC372" s="62"/>
      <c r="AD372" s="62"/>
      <c r="AE372" s="62"/>
      <c r="AF372" s="63"/>
      <c r="AG372" s="64"/>
      <c r="AH372" s="6">
        <v>1</v>
      </c>
      <c r="AI372">
        <f t="shared" si="144"/>
        <v>25</v>
      </c>
      <c r="AJ372">
        <f t="shared" si="145"/>
        <v>15</v>
      </c>
      <c r="AK372">
        <f t="shared" si="146"/>
        <v>0</v>
      </c>
      <c r="AL372">
        <f t="shared" si="147"/>
        <v>0</v>
      </c>
      <c r="AM372">
        <f t="shared" si="148"/>
        <v>0</v>
      </c>
      <c r="AN372">
        <f t="shared" si="149"/>
        <v>0</v>
      </c>
      <c r="AO372">
        <f t="shared" si="150"/>
        <v>0</v>
      </c>
      <c r="AP372">
        <f t="shared" si="151"/>
        <v>0</v>
      </c>
      <c r="AQ372">
        <f t="shared" si="152"/>
        <v>0</v>
      </c>
      <c r="AR372">
        <f t="shared" si="153"/>
        <v>0</v>
      </c>
      <c r="AS372">
        <f t="shared" si="154"/>
        <v>0</v>
      </c>
      <c r="AT372">
        <f t="shared" si="155"/>
        <v>0</v>
      </c>
      <c r="AU372">
        <f t="shared" si="156"/>
        <v>0</v>
      </c>
      <c r="AV372">
        <f t="shared" si="157"/>
        <v>0</v>
      </c>
      <c r="AW372">
        <f t="shared" si="158"/>
        <v>0</v>
      </c>
      <c r="AX372">
        <f t="shared" si="159"/>
        <v>0</v>
      </c>
      <c r="AY372">
        <f t="shared" si="160"/>
        <v>0</v>
      </c>
      <c r="AZ372">
        <f t="shared" si="161"/>
        <v>0</v>
      </c>
      <c r="BA372">
        <f t="shared" si="162"/>
        <v>0</v>
      </c>
      <c r="BB372">
        <f t="shared" si="163"/>
        <v>0</v>
      </c>
      <c r="BC372">
        <f t="shared" si="164"/>
        <v>0</v>
      </c>
      <c r="BD372">
        <f t="shared" si="165"/>
        <v>0</v>
      </c>
      <c r="BE372">
        <f t="shared" si="166"/>
        <v>0</v>
      </c>
      <c r="BF372">
        <f t="shared" si="167"/>
        <v>0</v>
      </c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1:256" s="201" customFormat="1" ht="14.25" x14ac:dyDescent="0.2">
      <c r="A373" s="10">
        <v>3368</v>
      </c>
      <c r="B373" s="11" t="s">
        <v>997</v>
      </c>
      <c r="C373" s="105" t="s">
        <v>998</v>
      </c>
      <c r="D373" s="11" t="s">
        <v>105</v>
      </c>
      <c r="E373" s="12">
        <v>20187</v>
      </c>
      <c r="F373" s="202">
        <v>8</v>
      </c>
      <c r="G373" s="11">
        <v>50000</v>
      </c>
      <c r="H373" s="116">
        <v>0</v>
      </c>
      <c r="I373" s="192"/>
      <c r="J373" s="204"/>
      <c r="K373" s="193"/>
      <c r="L373" s="193"/>
      <c r="M373" s="193"/>
      <c r="N373" s="203">
        <f t="shared" si="140"/>
        <v>50000</v>
      </c>
      <c r="O373" s="203">
        <f t="shared" si="141"/>
        <v>50000</v>
      </c>
      <c r="P373" s="203">
        <f t="shared" si="142"/>
        <v>50000</v>
      </c>
      <c r="Q373" s="214"/>
      <c r="R373" s="215"/>
      <c r="S373" s="218">
        <v>45631</v>
      </c>
      <c r="T373" s="205"/>
      <c r="U373" s="205"/>
      <c r="V373" s="216"/>
      <c r="W373" s="212"/>
      <c r="X373" s="10">
        <v>7</v>
      </c>
      <c r="Y373" s="10">
        <v>7</v>
      </c>
      <c r="Z373" s="213">
        <f t="shared" si="143"/>
        <v>50000</v>
      </c>
      <c r="AA373" s="62"/>
      <c r="AB373" s="62"/>
      <c r="AC373" s="62"/>
      <c r="AD373" s="62"/>
      <c r="AE373" s="62"/>
      <c r="AF373" s="63"/>
      <c r="AG373" s="64"/>
      <c r="AH373" s="6">
        <v>1</v>
      </c>
      <c r="AI373">
        <f t="shared" si="144"/>
        <v>25</v>
      </c>
      <c r="AJ373">
        <f t="shared" si="145"/>
        <v>25</v>
      </c>
      <c r="AK373">
        <f t="shared" si="146"/>
        <v>0</v>
      </c>
      <c r="AL373">
        <f t="shared" si="147"/>
        <v>0</v>
      </c>
      <c r="AM373">
        <f t="shared" si="148"/>
        <v>0</v>
      </c>
      <c r="AN373">
        <f t="shared" si="149"/>
        <v>0</v>
      </c>
      <c r="AO373">
        <f t="shared" si="150"/>
        <v>0</v>
      </c>
      <c r="AP373">
        <f t="shared" si="151"/>
        <v>0</v>
      </c>
      <c r="AQ373">
        <f t="shared" si="152"/>
        <v>0</v>
      </c>
      <c r="AR373">
        <f t="shared" si="153"/>
        <v>0</v>
      </c>
      <c r="AS373">
        <f t="shared" si="154"/>
        <v>0</v>
      </c>
      <c r="AT373">
        <f t="shared" si="155"/>
        <v>0</v>
      </c>
      <c r="AU373">
        <f t="shared" si="156"/>
        <v>1</v>
      </c>
      <c r="AV373">
        <f t="shared" si="157"/>
        <v>1</v>
      </c>
      <c r="AW373">
        <f t="shared" si="158"/>
        <v>1</v>
      </c>
      <c r="AX373">
        <f t="shared" si="159"/>
        <v>1</v>
      </c>
      <c r="AY373">
        <f t="shared" si="160"/>
        <v>50000</v>
      </c>
      <c r="AZ373">
        <f t="shared" si="161"/>
        <v>50000</v>
      </c>
      <c r="BA373">
        <f t="shared" si="162"/>
        <v>0</v>
      </c>
      <c r="BB373">
        <f t="shared" si="163"/>
        <v>0</v>
      </c>
      <c r="BC373">
        <f t="shared" si="164"/>
        <v>0</v>
      </c>
      <c r="BD373">
        <f t="shared" si="165"/>
        <v>0</v>
      </c>
      <c r="BE373">
        <f t="shared" si="166"/>
        <v>0</v>
      </c>
      <c r="BF373">
        <f t="shared" si="167"/>
        <v>0</v>
      </c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1:256" s="201" customFormat="1" ht="14.25" x14ac:dyDescent="0.2">
      <c r="A374" s="10">
        <v>3369</v>
      </c>
      <c r="B374" s="11" t="s">
        <v>999</v>
      </c>
      <c r="C374" s="105" t="s">
        <v>1000</v>
      </c>
      <c r="D374" s="11" t="s">
        <v>157</v>
      </c>
      <c r="E374" s="12">
        <v>20151</v>
      </c>
      <c r="F374" s="202">
        <v>8</v>
      </c>
      <c r="G374" s="11">
        <v>40000</v>
      </c>
      <c r="H374" s="116">
        <v>-10000</v>
      </c>
      <c r="I374" s="192"/>
      <c r="J374" s="204"/>
      <c r="K374" s="193"/>
      <c r="L374" s="193"/>
      <c r="M374" s="193"/>
      <c r="N374" s="203">
        <f t="shared" si="140"/>
        <v>40000</v>
      </c>
      <c r="O374" s="203">
        <f t="shared" si="141"/>
        <v>30000</v>
      </c>
      <c r="P374" s="203">
        <f t="shared" si="142"/>
        <v>30000</v>
      </c>
      <c r="Q374" s="214"/>
      <c r="R374" s="215"/>
      <c r="S374" s="218">
        <v>45636</v>
      </c>
      <c r="T374" s="205"/>
      <c r="U374" s="205"/>
      <c r="V374" s="216"/>
      <c r="W374" s="212"/>
      <c r="X374" s="10">
        <v>7</v>
      </c>
      <c r="Y374" s="10">
        <v>7</v>
      </c>
      <c r="Z374" s="213">
        <f t="shared" si="143"/>
        <v>40000</v>
      </c>
      <c r="AA374" s="62"/>
      <c r="AB374" s="62"/>
      <c r="AC374" s="62"/>
      <c r="AD374" s="62"/>
      <c r="AE374" s="62"/>
      <c r="AF374" s="63"/>
      <c r="AG374" s="64"/>
      <c r="AH374" s="6">
        <v>1</v>
      </c>
      <c r="AI374">
        <f t="shared" si="144"/>
        <v>25</v>
      </c>
      <c r="AJ374">
        <f t="shared" si="145"/>
        <v>25</v>
      </c>
      <c r="AK374">
        <f t="shared" si="146"/>
        <v>0</v>
      </c>
      <c r="AL374">
        <f t="shared" si="147"/>
        <v>0</v>
      </c>
      <c r="AM374">
        <f t="shared" si="148"/>
        <v>0</v>
      </c>
      <c r="AN374">
        <f t="shared" si="149"/>
        <v>0</v>
      </c>
      <c r="AO374">
        <f t="shared" si="150"/>
        <v>0</v>
      </c>
      <c r="AP374">
        <f t="shared" si="151"/>
        <v>0</v>
      </c>
      <c r="AQ374">
        <f t="shared" si="152"/>
        <v>0</v>
      </c>
      <c r="AR374">
        <f t="shared" si="153"/>
        <v>0</v>
      </c>
      <c r="AS374">
        <f t="shared" si="154"/>
        <v>0</v>
      </c>
      <c r="AT374">
        <f t="shared" si="155"/>
        <v>0</v>
      </c>
      <c r="AU374">
        <f t="shared" si="156"/>
        <v>1</v>
      </c>
      <c r="AV374">
        <f t="shared" si="157"/>
        <v>1</v>
      </c>
      <c r="AW374">
        <f t="shared" si="158"/>
        <v>1</v>
      </c>
      <c r="AX374">
        <f t="shared" si="159"/>
        <v>1</v>
      </c>
      <c r="AY374">
        <f t="shared" si="160"/>
        <v>30000</v>
      </c>
      <c r="AZ374">
        <f t="shared" si="161"/>
        <v>30000</v>
      </c>
      <c r="BA374">
        <f t="shared" si="162"/>
        <v>0</v>
      </c>
      <c r="BB374">
        <f t="shared" si="163"/>
        <v>0</v>
      </c>
      <c r="BC374">
        <f t="shared" si="164"/>
        <v>0</v>
      </c>
      <c r="BD374">
        <f t="shared" si="165"/>
        <v>0</v>
      </c>
      <c r="BE374">
        <f t="shared" si="166"/>
        <v>0</v>
      </c>
      <c r="BF374">
        <f t="shared" si="167"/>
        <v>0</v>
      </c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1:256" s="201" customFormat="1" ht="14.25" x14ac:dyDescent="0.2">
      <c r="A375" s="10">
        <v>3371</v>
      </c>
      <c r="B375" s="11" t="s">
        <v>1001</v>
      </c>
      <c r="C375" s="105" t="s">
        <v>1002</v>
      </c>
      <c r="D375" s="11" t="s">
        <v>106</v>
      </c>
      <c r="E375" s="12">
        <v>20186</v>
      </c>
      <c r="F375" s="202">
        <v>8</v>
      </c>
      <c r="G375" s="11">
        <v>70000</v>
      </c>
      <c r="H375" s="116">
        <v>0</v>
      </c>
      <c r="I375" s="192"/>
      <c r="J375" s="204"/>
      <c r="K375" s="193"/>
      <c r="L375" s="193"/>
      <c r="M375" s="193"/>
      <c r="N375" s="203">
        <f t="shared" si="140"/>
        <v>70000</v>
      </c>
      <c r="O375" s="203">
        <f t="shared" si="141"/>
        <v>70000</v>
      </c>
      <c r="P375" s="203">
        <f t="shared" si="142"/>
        <v>70000</v>
      </c>
      <c r="Q375" s="214"/>
      <c r="R375" s="215"/>
      <c r="S375" s="218">
        <v>45652</v>
      </c>
      <c r="T375" s="205"/>
      <c r="U375" s="205"/>
      <c r="V375" s="216"/>
      <c r="W375" s="212"/>
      <c r="X375" s="10">
        <v>7</v>
      </c>
      <c r="Y375" s="10">
        <v>7</v>
      </c>
      <c r="Z375" s="213">
        <f t="shared" si="143"/>
        <v>70000</v>
      </c>
      <c r="AA375" s="62"/>
      <c r="AB375" s="62"/>
      <c r="AC375" s="62"/>
      <c r="AD375" s="62"/>
      <c r="AE375" s="62"/>
      <c r="AF375" s="63"/>
      <c r="AG375" s="64"/>
      <c r="AH375" s="6">
        <v>1</v>
      </c>
      <c r="AI375">
        <f t="shared" si="144"/>
        <v>25</v>
      </c>
      <c r="AJ375">
        <f t="shared" si="145"/>
        <v>25</v>
      </c>
      <c r="AK375">
        <f t="shared" si="146"/>
        <v>0</v>
      </c>
      <c r="AL375">
        <f t="shared" si="147"/>
        <v>0</v>
      </c>
      <c r="AM375">
        <f t="shared" si="148"/>
        <v>0</v>
      </c>
      <c r="AN375">
        <f t="shared" si="149"/>
        <v>0</v>
      </c>
      <c r="AO375">
        <f t="shared" si="150"/>
        <v>0</v>
      </c>
      <c r="AP375">
        <f t="shared" si="151"/>
        <v>0</v>
      </c>
      <c r="AQ375">
        <f t="shared" si="152"/>
        <v>0</v>
      </c>
      <c r="AR375">
        <f t="shared" si="153"/>
        <v>0</v>
      </c>
      <c r="AS375">
        <f t="shared" si="154"/>
        <v>0</v>
      </c>
      <c r="AT375">
        <f t="shared" si="155"/>
        <v>0</v>
      </c>
      <c r="AU375">
        <f t="shared" si="156"/>
        <v>1</v>
      </c>
      <c r="AV375">
        <f t="shared" si="157"/>
        <v>1</v>
      </c>
      <c r="AW375">
        <f t="shared" si="158"/>
        <v>1</v>
      </c>
      <c r="AX375">
        <f t="shared" si="159"/>
        <v>1</v>
      </c>
      <c r="AY375">
        <f t="shared" si="160"/>
        <v>70000</v>
      </c>
      <c r="AZ375">
        <f t="shared" si="161"/>
        <v>70000</v>
      </c>
      <c r="BA375">
        <f t="shared" si="162"/>
        <v>0</v>
      </c>
      <c r="BB375">
        <f t="shared" si="163"/>
        <v>0</v>
      </c>
      <c r="BC375">
        <f t="shared" si="164"/>
        <v>0</v>
      </c>
      <c r="BD375">
        <f t="shared" si="165"/>
        <v>0</v>
      </c>
      <c r="BE375">
        <f t="shared" si="166"/>
        <v>0</v>
      </c>
      <c r="BF375">
        <f t="shared" si="167"/>
        <v>0</v>
      </c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1:256" s="201" customFormat="1" ht="14.25" x14ac:dyDescent="0.2">
      <c r="A376" s="10">
        <v>3373</v>
      </c>
      <c r="B376" s="11" t="s">
        <v>1003</v>
      </c>
      <c r="C376" s="105" t="s">
        <v>1004</v>
      </c>
      <c r="D376" s="11" t="s">
        <v>106</v>
      </c>
      <c r="E376" s="12">
        <v>20193</v>
      </c>
      <c r="F376" s="202">
        <v>7</v>
      </c>
      <c r="G376" s="11">
        <v>70000</v>
      </c>
      <c r="H376" s="116">
        <v>0</v>
      </c>
      <c r="I376" s="192"/>
      <c r="J376" s="204"/>
      <c r="K376" s="193"/>
      <c r="L376" s="193"/>
      <c r="M376" s="193"/>
      <c r="N376" s="203">
        <f t="shared" si="140"/>
        <v>70000</v>
      </c>
      <c r="O376" s="203">
        <f t="shared" si="141"/>
        <v>70000</v>
      </c>
      <c r="P376" s="203">
        <f t="shared" si="142"/>
        <v>70000</v>
      </c>
      <c r="Q376" s="214">
        <v>45665</v>
      </c>
      <c r="R376" s="215"/>
      <c r="S376" s="218">
        <v>45633</v>
      </c>
      <c r="T376" s="205"/>
      <c r="U376" s="205"/>
      <c r="V376" s="216" t="s">
        <v>1131</v>
      </c>
      <c r="W376" s="212"/>
      <c r="X376" s="10">
        <v>7</v>
      </c>
      <c r="Y376" s="10">
        <v>7</v>
      </c>
      <c r="Z376" s="213">
        <f t="shared" si="143"/>
        <v>70000</v>
      </c>
      <c r="AA376" s="62"/>
      <c r="AB376" s="62"/>
      <c r="AC376" s="62"/>
      <c r="AD376" s="62"/>
      <c r="AE376" s="62"/>
      <c r="AF376" s="63"/>
      <c r="AG376" s="64"/>
      <c r="AH376" s="6">
        <v>1</v>
      </c>
      <c r="AI376">
        <f t="shared" si="144"/>
        <v>25</v>
      </c>
      <c r="AJ376">
        <f t="shared" si="145"/>
        <v>25</v>
      </c>
      <c r="AK376">
        <f t="shared" si="146"/>
        <v>0</v>
      </c>
      <c r="AL376">
        <f t="shared" si="147"/>
        <v>0</v>
      </c>
      <c r="AM376">
        <f t="shared" si="148"/>
        <v>0</v>
      </c>
      <c r="AN376">
        <f t="shared" si="149"/>
        <v>0</v>
      </c>
      <c r="AO376">
        <f t="shared" si="150"/>
        <v>0</v>
      </c>
      <c r="AP376">
        <f t="shared" si="151"/>
        <v>0</v>
      </c>
      <c r="AQ376">
        <f t="shared" si="152"/>
        <v>0</v>
      </c>
      <c r="AR376">
        <f t="shared" si="153"/>
        <v>0</v>
      </c>
      <c r="AS376">
        <f t="shared" si="154"/>
        <v>0</v>
      </c>
      <c r="AT376">
        <f t="shared" si="155"/>
        <v>0</v>
      </c>
      <c r="AU376">
        <f t="shared" si="156"/>
        <v>1</v>
      </c>
      <c r="AV376">
        <f t="shared" si="157"/>
        <v>1</v>
      </c>
      <c r="AW376">
        <f t="shared" si="158"/>
        <v>1</v>
      </c>
      <c r="AX376">
        <f t="shared" si="159"/>
        <v>1</v>
      </c>
      <c r="AY376">
        <f t="shared" si="160"/>
        <v>70000</v>
      </c>
      <c r="AZ376">
        <f t="shared" si="161"/>
        <v>70000</v>
      </c>
      <c r="BA376">
        <f t="shared" si="162"/>
        <v>0</v>
      </c>
      <c r="BB376">
        <f t="shared" si="163"/>
        <v>0</v>
      </c>
      <c r="BC376">
        <f t="shared" si="164"/>
        <v>0</v>
      </c>
      <c r="BD376">
        <f t="shared" si="165"/>
        <v>0</v>
      </c>
      <c r="BE376">
        <f t="shared" si="166"/>
        <v>0</v>
      </c>
      <c r="BF376">
        <f t="shared" si="167"/>
        <v>0</v>
      </c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1:256" s="201" customFormat="1" ht="14.25" x14ac:dyDescent="0.2">
      <c r="A377" s="10">
        <v>3374</v>
      </c>
      <c r="B377" s="11" t="s">
        <v>1005</v>
      </c>
      <c r="C377" s="105" t="s">
        <v>1006</v>
      </c>
      <c r="D377" s="11" t="s">
        <v>173</v>
      </c>
      <c r="E377" s="12">
        <v>20167</v>
      </c>
      <c r="F377" s="202">
        <v>7</v>
      </c>
      <c r="G377" s="11">
        <v>220000</v>
      </c>
      <c r="H377" s="116">
        <v>0</v>
      </c>
      <c r="I377" s="192"/>
      <c r="J377" s="204"/>
      <c r="K377" s="193"/>
      <c r="L377" s="193"/>
      <c r="M377" s="193"/>
      <c r="N377" s="203">
        <f t="shared" si="140"/>
        <v>220000</v>
      </c>
      <c r="O377" s="203">
        <f t="shared" si="141"/>
        <v>220000</v>
      </c>
      <c r="P377" s="203">
        <f t="shared" si="142"/>
        <v>220000</v>
      </c>
      <c r="Q377" s="214">
        <v>45664</v>
      </c>
      <c r="R377" s="215"/>
      <c r="S377" s="218">
        <v>45633</v>
      </c>
      <c r="T377" s="205"/>
      <c r="U377" s="205"/>
      <c r="V377" s="216" t="s">
        <v>1131</v>
      </c>
      <c r="W377" s="212"/>
      <c r="X377" s="10">
        <v>7</v>
      </c>
      <c r="Y377" s="10">
        <v>7</v>
      </c>
      <c r="Z377" s="213">
        <f t="shared" si="143"/>
        <v>220000</v>
      </c>
      <c r="AA377" s="62"/>
      <c r="AB377" s="62"/>
      <c r="AC377" s="62"/>
      <c r="AD377" s="62"/>
      <c r="AE377" s="62"/>
      <c r="AF377" s="63"/>
      <c r="AG377" s="64"/>
      <c r="AH377" s="6">
        <v>1</v>
      </c>
      <c r="AI377">
        <f t="shared" si="144"/>
        <v>25</v>
      </c>
      <c r="AJ377">
        <f t="shared" si="145"/>
        <v>25</v>
      </c>
      <c r="AK377">
        <f t="shared" si="146"/>
        <v>0</v>
      </c>
      <c r="AL377">
        <f t="shared" si="147"/>
        <v>0</v>
      </c>
      <c r="AM377">
        <f t="shared" si="148"/>
        <v>0</v>
      </c>
      <c r="AN377">
        <f t="shared" si="149"/>
        <v>0</v>
      </c>
      <c r="AO377">
        <f t="shared" si="150"/>
        <v>0</v>
      </c>
      <c r="AP377">
        <f t="shared" si="151"/>
        <v>0</v>
      </c>
      <c r="AQ377">
        <f t="shared" si="152"/>
        <v>0</v>
      </c>
      <c r="AR377">
        <f t="shared" si="153"/>
        <v>0</v>
      </c>
      <c r="AS377">
        <f t="shared" si="154"/>
        <v>0</v>
      </c>
      <c r="AT377">
        <f t="shared" si="155"/>
        <v>0</v>
      </c>
      <c r="AU377">
        <f t="shared" si="156"/>
        <v>1</v>
      </c>
      <c r="AV377">
        <f t="shared" si="157"/>
        <v>1</v>
      </c>
      <c r="AW377">
        <f t="shared" si="158"/>
        <v>1</v>
      </c>
      <c r="AX377">
        <f t="shared" si="159"/>
        <v>1</v>
      </c>
      <c r="AY377">
        <f t="shared" si="160"/>
        <v>220000</v>
      </c>
      <c r="AZ377">
        <f t="shared" si="161"/>
        <v>220000</v>
      </c>
      <c r="BA377">
        <f t="shared" si="162"/>
        <v>0</v>
      </c>
      <c r="BB377">
        <f t="shared" si="163"/>
        <v>0</v>
      </c>
      <c r="BC377">
        <f t="shared" si="164"/>
        <v>0</v>
      </c>
      <c r="BD377">
        <f t="shared" si="165"/>
        <v>0</v>
      </c>
      <c r="BE377">
        <f t="shared" si="166"/>
        <v>0</v>
      </c>
      <c r="BF377">
        <f t="shared" si="167"/>
        <v>0</v>
      </c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1:256" s="201" customFormat="1" ht="14.25" x14ac:dyDescent="0.2">
      <c r="A378" s="10">
        <v>3375</v>
      </c>
      <c r="B378" s="11" t="s">
        <v>1007</v>
      </c>
      <c r="C378" s="105" t="s">
        <v>1008</v>
      </c>
      <c r="D378" s="11" t="s">
        <v>106</v>
      </c>
      <c r="E378" s="12">
        <v>20191</v>
      </c>
      <c r="F378" s="202">
        <v>7</v>
      </c>
      <c r="G378" s="11">
        <v>100000</v>
      </c>
      <c r="H378" s="116">
        <v>0</v>
      </c>
      <c r="I378" s="192"/>
      <c r="J378" s="204"/>
      <c r="K378" s="193"/>
      <c r="L378" s="193"/>
      <c r="M378" s="193"/>
      <c r="N378" s="203">
        <f t="shared" si="140"/>
        <v>100000</v>
      </c>
      <c r="O378" s="203">
        <f t="shared" si="141"/>
        <v>100000</v>
      </c>
      <c r="P378" s="203">
        <f t="shared" si="142"/>
        <v>100000</v>
      </c>
      <c r="Q378" s="214">
        <v>45659</v>
      </c>
      <c r="R378" s="215"/>
      <c r="S378" s="218">
        <v>45628</v>
      </c>
      <c r="T378" s="205"/>
      <c r="U378" s="205"/>
      <c r="V378" s="216" t="s">
        <v>1131</v>
      </c>
      <c r="W378" s="212"/>
      <c r="X378" s="10">
        <v>7</v>
      </c>
      <c r="Y378" s="10">
        <v>7</v>
      </c>
      <c r="Z378" s="213">
        <f t="shared" si="143"/>
        <v>100000</v>
      </c>
      <c r="AA378" s="62"/>
      <c r="AB378" s="62"/>
      <c r="AC378" s="62"/>
      <c r="AD378" s="62"/>
      <c r="AE378" s="62"/>
      <c r="AF378" s="63"/>
      <c r="AG378" s="64"/>
      <c r="AH378" s="6">
        <v>1</v>
      </c>
      <c r="AI378">
        <f t="shared" si="144"/>
        <v>25</v>
      </c>
      <c r="AJ378">
        <f t="shared" si="145"/>
        <v>25</v>
      </c>
      <c r="AK378">
        <f t="shared" si="146"/>
        <v>0</v>
      </c>
      <c r="AL378">
        <f t="shared" si="147"/>
        <v>0</v>
      </c>
      <c r="AM378">
        <f t="shared" si="148"/>
        <v>0</v>
      </c>
      <c r="AN378">
        <f t="shared" si="149"/>
        <v>0</v>
      </c>
      <c r="AO378">
        <f t="shared" si="150"/>
        <v>0</v>
      </c>
      <c r="AP378">
        <f t="shared" si="151"/>
        <v>0</v>
      </c>
      <c r="AQ378">
        <f t="shared" si="152"/>
        <v>0</v>
      </c>
      <c r="AR378">
        <f t="shared" si="153"/>
        <v>0</v>
      </c>
      <c r="AS378">
        <f t="shared" si="154"/>
        <v>0</v>
      </c>
      <c r="AT378">
        <f t="shared" si="155"/>
        <v>0</v>
      </c>
      <c r="AU378">
        <f t="shared" si="156"/>
        <v>1</v>
      </c>
      <c r="AV378">
        <f t="shared" si="157"/>
        <v>1</v>
      </c>
      <c r="AW378">
        <f t="shared" si="158"/>
        <v>1</v>
      </c>
      <c r="AX378">
        <f t="shared" si="159"/>
        <v>1</v>
      </c>
      <c r="AY378">
        <f t="shared" si="160"/>
        <v>100000</v>
      </c>
      <c r="AZ378">
        <f t="shared" si="161"/>
        <v>100000</v>
      </c>
      <c r="BA378">
        <f t="shared" si="162"/>
        <v>0</v>
      </c>
      <c r="BB378">
        <f t="shared" si="163"/>
        <v>0</v>
      </c>
      <c r="BC378">
        <f t="shared" si="164"/>
        <v>0</v>
      </c>
      <c r="BD378">
        <f t="shared" si="165"/>
        <v>0</v>
      </c>
      <c r="BE378">
        <f t="shared" si="166"/>
        <v>0</v>
      </c>
      <c r="BF378">
        <f t="shared" si="167"/>
        <v>0</v>
      </c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1:256" s="201" customFormat="1" ht="14.25" x14ac:dyDescent="0.2">
      <c r="A379" s="10">
        <v>3376</v>
      </c>
      <c r="B379" s="11" t="s">
        <v>1009</v>
      </c>
      <c r="C379" s="105" t="s">
        <v>1010</v>
      </c>
      <c r="D379" s="11" t="s">
        <v>173</v>
      </c>
      <c r="E379" s="12">
        <v>20189</v>
      </c>
      <c r="F379" s="202">
        <v>7</v>
      </c>
      <c r="G379" s="11">
        <v>50000</v>
      </c>
      <c r="H379" s="116">
        <v>0</v>
      </c>
      <c r="I379" s="192"/>
      <c r="J379" s="204"/>
      <c r="K379" s="193"/>
      <c r="L379" s="193"/>
      <c r="M379" s="193"/>
      <c r="N379" s="203">
        <f t="shared" si="140"/>
        <v>50000</v>
      </c>
      <c r="O379" s="203">
        <f t="shared" si="141"/>
        <v>50000</v>
      </c>
      <c r="P379" s="203">
        <f t="shared" si="142"/>
        <v>50000</v>
      </c>
      <c r="Q379" s="214"/>
      <c r="R379" s="215"/>
      <c r="S379" s="218">
        <v>45645</v>
      </c>
      <c r="T379" s="205"/>
      <c r="U379" s="205"/>
      <c r="V379" s="216"/>
      <c r="W379" s="212"/>
      <c r="X379" s="10">
        <v>7</v>
      </c>
      <c r="Y379" s="10">
        <v>7</v>
      </c>
      <c r="Z379" s="213">
        <f t="shared" si="143"/>
        <v>50000</v>
      </c>
      <c r="AA379" s="62"/>
      <c r="AB379" s="62"/>
      <c r="AC379" s="62"/>
      <c r="AD379" s="62"/>
      <c r="AE379" s="62"/>
      <c r="AF379" s="63"/>
      <c r="AG379" s="64"/>
      <c r="AH379" s="6">
        <v>1</v>
      </c>
      <c r="AI379">
        <f t="shared" si="144"/>
        <v>25</v>
      </c>
      <c r="AJ379">
        <f t="shared" si="145"/>
        <v>25</v>
      </c>
      <c r="AK379">
        <f t="shared" si="146"/>
        <v>0</v>
      </c>
      <c r="AL379">
        <f t="shared" si="147"/>
        <v>0</v>
      </c>
      <c r="AM379">
        <f t="shared" si="148"/>
        <v>0</v>
      </c>
      <c r="AN379">
        <f t="shared" si="149"/>
        <v>0</v>
      </c>
      <c r="AO379">
        <f t="shared" si="150"/>
        <v>0</v>
      </c>
      <c r="AP379">
        <f t="shared" si="151"/>
        <v>0</v>
      </c>
      <c r="AQ379">
        <f t="shared" si="152"/>
        <v>0</v>
      </c>
      <c r="AR379">
        <f t="shared" si="153"/>
        <v>0</v>
      </c>
      <c r="AS379">
        <f t="shared" si="154"/>
        <v>0</v>
      </c>
      <c r="AT379">
        <f t="shared" si="155"/>
        <v>0</v>
      </c>
      <c r="AU379">
        <f t="shared" si="156"/>
        <v>1</v>
      </c>
      <c r="AV379">
        <f t="shared" si="157"/>
        <v>1</v>
      </c>
      <c r="AW379">
        <f t="shared" si="158"/>
        <v>1</v>
      </c>
      <c r="AX379">
        <f t="shared" si="159"/>
        <v>1</v>
      </c>
      <c r="AY379">
        <f t="shared" si="160"/>
        <v>50000</v>
      </c>
      <c r="AZ379">
        <f t="shared" si="161"/>
        <v>50000</v>
      </c>
      <c r="BA379">
        <f t="shared" si="162"/>
        <v>0</v>
      </c>
      <c r="BB379">
        <f t="shared" si="163"/>
        <v>0</v>
      </c>
      <c r="BC379">
        <f t="shared" si="164"/>
        <v>0</v>
      </c>
      <c r="BD379">
        <f t="shared" si="165"/>
        <v>0</v>
      </c>
      <c r="BE379">
        <f t="shared" si="166"/>
        <v>0</v>
      </c>
      <c r="BF379">
        <f t="shared" si="167"/>
        <v>0</v>
      </c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1:256" s="201" customFormat="1" ht="14.25" x14ac:dyDescent="0.2">
      <c r="A380" s="10">
        <v>3377</v>
      </c>
      <c r="B380" s="11" t="s">
        <v>822</v>
      </c>
      <c r="C380" s="105" t="s">
        <v>823</v>
      </c>
      <c r="D380" s="11" t="s">
        <v>173</v>
      </c>
      <c r="E380" s="12">
        <v>20181</v>
      </c>
      <c r="F380" s="202">
        <v>7</v>
      </c>
      <c r="G380" s="11">
        <v>30000</v>
      </c>
      <c r="H380" s="116">
        <v>0</v>
      </c>
      <c r="I380" s="192"/>
      <c r="J380" s="204"/>
      <c r="K380" s="193"/>
      <c r="L380" s="193"/>
      <c r="M380" s="193"/>
      <c r="N380" s="203">
        <f t="shared" si="140"/>
        <v>30000</v>
      </c>
      <c r="O380" s="203">
        <f t="shared" si="141"/>
        <v>30000</v>
      </c>
      <c r="P380" s="203">
        <f t="shared" si="142"/>
        <v>30000</v>
      </c>
      <c r="Q380" s="214">
        <v>45665</v>
      </c>
      <c r="R380" s="215"/>
      <c r="S380" s="218">
        <v>45628</v>
      </c>
      <c r="T380" s="205"/>
      <c r="U380" s="205"/>
      <c r="V380" s="216" t="s">
        <v>1142</v>
      </c>
      <c r="W380" s="212"/>
      <c r="X380" s="10">
        <v>7</v>
      </c>
      <c r="Y380" s="10">
        <v>7</v>
      </c>
      <c r="Z380" s="213">
        <f t="shared" si="143"/>
        <v>30000</v>
      </c>
      <c r="AA380" s="62"/>
      <c r="AB380" s="62"/>
      <c r="AC380" s="62"/>
      <c r="AD380" s="62"/>
      <c r="AE380" s="62"/>
      <c r="AF380" s="63"/>
      <c r="AG380" s="64"/>
      <c r="AH380" s="6">
        <v>1</v>
      </c>
      <c r="AI380">
        <f t="shared" si="144"/>
        <v>25</v>
      </c>
      <c r="AJ380">
        <f t="shared" si="145"/>
        <v>25</v>
      </c>
      <c r="AK380">
        <f t="shared" si="146"/>
        <v>0</v>
      </c>
      <c r="AL380">
        <f t="shared" si="147"/>
        <v>0</v>
      </c>
      <c r="AM380">
        <f t="shared" si="148"/>
        <v>0</v>
      </c>
      <c r="AN380">
        <f t="shared" si="149"/>
        <v>0</v>
      </c>
      <c r="AO380">
        <f t="shared" si="150"/>
        <v>0</v>
      </c>
      <c r="AP380">
        <f t="shared" si="151"/>
        <v>0</v>
      </c>
      <c r="AQ380">
        <f t="shared" si="152"/>
        <v>0</v>
      </c>
      <c r="AR380">
        <f t="shared" si="153"/>
        <v>0</v>
      </c>
      <c r="AS380">
        <f t="shared" si="154"/>
        <v>0</v>
      </c>
      <c r="AT380">
        <f t="shared" si="155"/>
        <v>0</v>
      </c>
      <c r="AU380">
        <f t="shared" si="156"/>
        <v>1</v>
      </c>
      <c r="AV380">
        <f t="shared" si="157"/>
        <v>1</v>
      </c>
      <c r="AW380">
        <f t="shared" si="158"/>
        <v>1</v>
      </c>
      <c r="AX380">
        <f t="shared" si="159"/>
        <v>1</v>
      </c>
      <c r="AY380">
        <f t="shared" si="160"/>
        <v>30000</v>
      </c>
      <c r="AZ380">
        <f t="shared" si="161"/>
        <v>30000</v>
      </c>
      <c r="BA380">
        <f t="shared" si="162"/>
        <v>0</v>
      </c>
      <c r="BB380">
        <f t="shared" si="163"/>
        <v>0</v>
      </c>
      <c r="BC380">
        <f t="shared" si="164"/>
        <v>0</v>
      </c>
      <c r="BD380">
        <f t="shared" si="165"/>
        <v>0</v>
      </c>
      <c r="BE380">
        <f t="shared" si="166"/>
        <v>0</v>
      </c>
      <c r="BF380">
        <f t="shared" si="167"/>
        <v>0</v>
      </c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1:256" s="201" customFormat="1" ht="14.25" x14ac:dyDescent="0.2">
      <c r="A381" s="10">
        <v>3378</v>
      </c>
      <c r="B381" s="11" t="s">
        <v>1011</v>
      </c>
      <c r="C381" s="105" t="s">
        <v>1012</v>
      </c>
      <c r="D381" s="11" t="s">
        <v>173</v>
      </c>
      <c r="E381" s="12">
        <v>20192</v>
      </c>
      <c r="F381" s="202">
        <v>7</v>
      </c>
      <c r="G381" s="11">
        <v>150000</v>
      </c>
      <c r="H381" s="116">
        <v>0</v>
      </c>
      <c r="I381" s="192"/>
      <c r="J381" s="204"/>
      <c r="K381" s="193"/>
      <c r="L381" s="193"/>
      <c r="M381" s="193"/>
      <c r="N381" s="203">
        <f t="shared" si="140"/>
        <v>150000</v>
      </c>
      <c r="O381" s="203">
        <f t="shared" si="141"/>
        <v>150000</v>
      </c>
      <c r="P381" s="203">
        <f t="shared" si="142"/>
        <v>150000</v>
      </c>
      <c r="Q381" s="214">
        <v>45659</v>
      </c>
      <c r="R381" s="215"/>
      <c r="S381" s="218">
        <v>45628</v>
      </c>
      <c r="T381" s="205"/>
      <c r="U381" s="205"/>
      <c r="V381" s="216" t="s">
        <v>1131</v>
      </c>
      <c r="W381" s="212"/>
      <c r="X381" s="10">
        <v>7</v>
      </c>
      <c r="Y381" s="10">
        <v>7</v>
      </c>
      <c r="Z381" s="213">
        <f t="shared" si="143"/>
        <v>150000</v>
      </c>
      <c r="AA381" s="62"/>
      <c r="AB381" s="62"/>
      <c r="AC381" s="62"/>
      <c r="AD381" s="62"/>
      <c r="AE381" s="62"/>
      <c r="AF381" s="63"/>
      <c r="AG381" s="64"/>
      <c r="AH381" s="6">
        <v>1</v>
      </c>
      <c r="AI381">
        <f t="shared" si="144"/>
        <v>25</v>
      </c>
      <c r="AJ381">
        <f t="shared" si="145"/>
        <v>25</v>
      </c>
      <c r="AK381">
        <f t="shared" si="146"/>
        <v>0</v>
      </c>
      <c r="AL381">
        <f t="shared" si="147"/>
        <v>0</v>
      </c>
      <c r="AM381">
        <f t="shared" si="148"/>
        <v>0</v>
      </c>
      <c r="AN381">
        <f t="shared" si="149"/>
        <v>0</v>
      </c>
      <c r="AO381">
        <f t="shared" si="150"/>
        <v>0</v>
      </c>
      <c r="AP381">
        <f t="shared" si="151"/>
        <v>0</v>
      </c>
      <c r="AQ381">
        <f t="shared" si="152"/>
        <v>0</v>
      </c>
      <c r="AR381">
        <f t="shared" si="153"/>
        <v>0</v>
      </c>
      <c r="AS381">
        <f t="shared" si="154"/>
        <v>0</v>
      </c>
      <c r="AT381">
        <f t="shared" si="155"/>
        <v>0</v>
      </c>
      <c r="AU381">
        <f t="shared" si="156"/>
        <v>1</v>
      </c>
      <c r="AV381">
        <f t="shared" si="157"/>
        <v>1</v>
      </c>
      <c r="AW381">
        <f t="shared" si="158"/>
        <v>1</v>
      </c>
      <c r="AX381">
        <f t="shared" si="159"/>
        <v>1</v>
      </c>
      <c r="AY381">
        <f t="shared" si="160"/>
        <v>150000</v>
      </c>
      <c r="AZ381">
        <f t="shared" si="161"/>
        <v>150000</v>
      </c>
      <c r="BA381">
        <f t="shared" si="162"/>
        <v>0</v>
      </c>
      <c r="BB381">
        <f t="shared" si="163"/>
        <v>0</v>
      </c>
      <c r="BC381">
        <f t="shared" si="164"/>
        <v>0</v>
      </c>
      <c r="BD381">
        <f t="shared" si="165"/>
        <v>0</v>
      </c>
      <c r="BE381">
        <f t="shared" si="166"/>
        <v>0</v>
      </c>
      <c r="BF381">
        <f t="shared" si="167"/>
        <v>0</v>
      </c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1:256" s="201" customFormat="1" ht="14.25" x14ac:dyDescent="0.2">
      <c r="A382" s="10">
        <v>3379</v>
      </c>
      <c r="B382" s="11" t="s">
        <v>1013</v>
      </c>
      <c r="C382" s="105" t="s">
        <v>1014</v>
      </c>
      <c r="D382" s="11" t="s">
        <v>420</v>
      </c>
      <c r="E382" s="12">
        <v>20199</v>
      </c>
      <c r="F382" s="202">
        <v>7</v>
      </c>
      <c r="G382" s="11">
        <v>30000</v>
      </c>
      <c r="H382" s="116">
        <v>0</v>
      </c>
      <c r="I382" s="192"/>
      <c r="J382" s="204"/>
      <c r="K382" s="193"/>
      <c r="L382" s="193"/>
      <c r="M382" s="193"/>
      <c r="N382" s="203">
        <f t="shared" si="140"/>
        <v>30000</v>
      </c>
      <c r="O382" s="203">
        <f t="shared" si="141"/>
        <v>30000</v>
      </c>
      <c r="P382" s="203">
        <f t="shared" si="142"/>
        <v>30000</v>
      </c>
      <c r="Q382" s="214"/>
      <c r="R382" s="215"/>
      <c r="S382" s="218">
        <v>45638</v>
      </c>
      <c r="T382" s="205"/>
      <c r="U382" s="205"/>
      <c r="V382" s="216"/>
      <c r="W382" s="212"/>
      <c r="X382" s="10">
        <v>7</v>
      </c>
      <c r="Y382" s="10">
        <v>7</v>
      </c>
      <c r="Z382" s="213">
        <f t="shared" si="143"/>
        <v>30000</v>
      </c>
      <c r="AA382" s="62"/>
      <c r="AB382" s="62"/>
      <c r="AC382" s="62"/>
      <c r="AD382" s="62"/>
      <c r="AE382" s="62"/>
      <c r="AF382" s="63"/>
      <c r="AG382" s="64"/>
      <c r="AH382" s="6">
        <v>1</v>
      </c>
      <c r="AI382">
        <f t="shared" si="144"/>
        <v>25</v>
      </c>
      <c r="AJ382">
        <f t="shared" si="145"/>
        <v>25</v>
      </c>
      <c r="AK382">
        <f t="shared" si="146"/>
        <v>0</v>
      </c>
      <c r="AL382">
        <f t="shared" si="147"/>
        <v>0</v>
      </c>
      <c r="AM382">
        <f t="shared" si="148"/>
        <v>0</v>
      </c>
      <c r="AN382">
        <f t="shared" si="149"/>
        <v>0</v>
      </c>
      <c r="AO382">
        <f t="shared" si="150"/>
        <v>0</v>
      </c>
      <c r="AP382">
        <f t="shared" si="151"/>
        <v>0</v>
      </c>
      <c r="AQ382">
        <f t="shared" si="152"/>
        <v>0</v>
      </c>
      <c r="AR382">
        <f t="shared" si="153"/>
        <v>0</v>
      </c>
      <c r="AS382">
        <f t="shared" si="154"/>
        <v>0</v>
      </c>
      <c r="AT382">
        <f t="shared" si="155"/>
        <v>0</v>
      </c>
      <c r="AU382">
        <f t="shared" si="156"/>
        <v>1</v>
      </c>
      <c r="AV382">
        <f t="shared" si="157"/>
        <v>1</v>
      </c>
      <c r="AW382">
        <f t="shared" si="158"/>
        <v>1</v>
      </c>
      <c r="AX382">
        <f t="shared" si="159"/>
        <v>1</v>
      </c>
      <c r="AY382">
        <f t="shared" si="160"/>
        <v>30000</v>
      </c>
      <c r="AZ382">
        <f t="shared" si="161"/>
        <v>30000</v>
      </c>
      <c r="BA382">
        <f t="shared" si="162"/>
        <v>0</v>
      </c>
      <c r="BB382">
        <f t="shared" si="163"/>
        <v>0</v>
      </c>
      <c r="BC382">
        <f t="shared" si="164"/>
        <v>0</v>
      </c>
      <c r="BD382">
        <f t="shared" si="165"/>
        <v>0</v>
      </c>
      <c r="BE382">
        <f t="shared" si="166"/>
        <v>0</v>
      </c>
      <c r="BF382">
        <f t="shared" si="167"/>
        <v>0</v>
      </c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1:256" s="201" customFormat="1" ht="14.25" x14ac:dyDescent="0.2">
      <c r="A383" s="10">
        <v>3380</v>
      </c>
      <c r="B383" s="11" t="s">
        <v>1015</v>
      </c>
      <c r="C383" s="105" t="s">
        <v>1016</v>
      </c>
      <c r="D383" s="11" t="s">
        <v>157</v>
      </c>
      <c r="E383" s="12">
        <v>20198</v>
      </c>
      <c r="F383" s="202">
        <v>7</v>
      </c>
      <c r="G383" s="11">
        <v>50000</v>
      </c>
      <c r="H383" s="116">
        <v>0</v>
      </c>
      <c r="I383" s="192"/>
      <c r="J383" s="204"/>
      <c r="K383" s="193"/>
      <c r="L383" s="193"/>
      <c r="M383" s="193"/>
      <c r="N383" s="203">
        <f t="shared" si="140"/>
        <v>50000</v>
      </c>
      <c r="O383" s="203">
        <f t="shared" si="141"/>
        <v>50000</v>
      </c>
      <c r="P383" s="203">
        <f t="shared" si="142"/>
        <v>50000</v>
      </c>
      <c r="Q383" s="214">
        <v>45665</v>
      </c>
      <c r="R383" s="215"/>
      <c r="S383" s="218">
        <v>45635</v>
      </c>
      <c r="T383" s="205"/>
      <c r="U383" s="205"/>
      <c r="V383" s="216" t="s">
        <v>1131</v>
      </c>
      <c r="W383" s="212"/>
      <c r="X383" s="10">
        <v>7</v>
      </c>
      <c r="Y383" s="10">
        <v>7</v>
      </c>
      <c r="Z383" s="213">
        <f t="shared" si="143"/>
        <v>50000</v>
      </c>
      <c r="AA383" s="62"/>
      <c r="AB383" s="62"/>
      <c r="AC383" s="62"/>
      <c r="AD383" s="62"/>
      <c r="AE383" s="62"/>
      <c r="AF383" s="63"/>
      <c r="AG383" s="64"/>
      <c r="AH383" s="6">
        <v>1</v>
      </c>
      <c r="AI383">
        <f t="shared" si="144"/>
        <v>25</v>
      </c>
      <c r="AJ383">
        <f t="shared" si="145"/>
        <v>25</v>
      </c>
      <c r="AK383">
        <f t="shared" si="146"/>
        <v>0</v>
      </c>
      <c r="AL383">
        <f t="shared" si="147"/>
        <v>0</v>
      </c>
      <c r="AM383">
        <f t="shared" si="148"/>
        <v>0</v>
      </c>
      <c r="AN383">
        <f t="shared" si="149"/>
        <v>0</v>
      </c>
      <c r="AO383">
        <f t="shared" si="150"/>
        <v>0</v>
      </c>
      <c r="AP383">
        <f t="shared" si="151"/>
        <v>0</v>
      </c>
      <c r="AQ383">
        <f t="shared" si="152"/>
        <v>0</v>
      </c>
      <c r="AR383">
        <f t="shared" si="153"/>
        <v>0</v>
      </c>
      <c r="AS383">
        <f t="shared" si="154"/>
        <v>0</v>
      </c>
      <c r="AT383">
        <f t="shared" si="155"/>
        <v>0</v>
      </c>
      <c r="AU383">
        <f t="shared" si="156"/>
        <v>1</v>
      </c>
      <c r="AV383">
        <f t="shared" si="157"/>
        <v>1</v>
      </c>
      <c r="AW383">
        <f t="shared" si="158"/>
        <v>1</v>
      </c>
      <c r="AX383">
        <f t="shared" si="159"/>
        <v>1</v>
      </c>
      <c r="AY383">
        <f t="shared" si="160"/>
        <v>50000</v>
      </c>
      <c r="AZ383">
        <f t="shared" si="161"/>
        <v>50000</v>
      </c>
      <c r="BA383">
        <f t="shared" si="162"/>
        <v>0</v>
      </c>
      <c r="BB383">
        <f t="shared" si="163"/>
        <v>0</v>
      </c>
      <c r="BC383">
        <f t="shared" si="164"/>
        <v>0</v>
      </c>
      <c r="BD383">
        <f t="shared" si="165"/>
        <v>0</v>
      </c>
      <c r="BE383">
        <f t="shared" si="166"/>
        <v>0</v>
      </c>
      <c r="BF383">
        <f t="shared" si="167"/>
        <v>0</v>
      </c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1:256" s="201" customFormat="1" ht="14.25" x14ac:dyDescent="0.2">
      <c r="A384" s="10">
        <v>3381</v>
      </c>
      <c r="B384" s="11" t="s">
        <v>1017</v>
      </c>
      <c r="C384" s="105" t="s">
        <v>1018</v>
      </c>
      <c r="D384" s="11" t="s">
        <v>157</v>
      </c>
      <c r="E384" s="12">
        <v>20200</v>
      </c>
      <c r="F384" s="202">
        <v>7</v>
      </c>
      <c r="G384" s="11">
        <v>40000</v>
      </c>
      <c r="H384" s="116">
        <v>0</v>
      </c>
      <c r="I384" s="192"/>
      <c r="J384" s="204"/>
      <c r="K384" s="193"/>
      <c r="L384" s="193"/>
      <c r="M384" s="193"/>
      <c r="N384" s="203">
        <f t="shared" si="140"/>
        <v>40000</v>
      </c>
      <c r="O384" s="203">
        <f t="shared" si="141"/>
        <v>40000</v>
      </c>
      <c r="P384" s="203">
        <f t="shared" si="142"/>
        <v>40000</v>
      </c>
      <c r="Q384" s="214">
        <v>45663</v>
      </c>
      <c r="R384" s="215"/>
      <c r="S384" s="218">
        <v>45631</v>
      </c>
      <c r="T384" s="205"/>
      <c r="U384" s="205"/>
      <c r="V384" s="216" t="s">
        <v>1131</v>
      </c>
      <c r="W384" s="212"/>
      <c r="X384" s="10">
        <v>7</v>
      </c>
      <c r="Y384" s="10">
        <v>7</v>
      </c>
      <c r="Z384" s="213">
        <f t="shared" si="143"/>
        <v>40000</v>
      </c>
      <c r="AA384" s="62"/>
      <c r="AB384" s="62"/>
      <c r="AC384" s="62"/>
      <c r="AD384" s="62"/>
      <c r="AE384" s="62"/>
      <c r="AF384" s="63"/>
      <c r="AG384" s="64"/>
      <c r="AH384" s="6">
        <v>1</v>
      </c>
      <c r="AI384">
        <f t="shared" si="144"/>
        <v>25</v>
      </c>
      <c r="AJ384">
        <f t="shared" si="145"/>
        <v>25</v>
      </c>
      <c r="AK384">
        <f t="shared" si="146"/>
        <v>0</v>
      </c>
      <c r="AL384">
        <f t="shared" si="147"/>
        <v>0</v>
      </c>
      <c r="AM384">
        <f t="shared" si="148"/>
        <v>0</v>
      </c>
      <c r="AN384">
        <f t="shared" si="149"/>
        <v>0</v>
      </c>
      <c r="AO384">
        <f t="shared" si="150"/>
        <v>0</v>
      </c>
      <c r="AP384">
        <f t="shared" si="151"/>
        <v>0</v>
      </c>
      <c r="AQ384">
        <f t="shared" si="152"/>
        <v>0</v>
      </c>
      <c r="AR384">
        <f t="shared" si="153"/>
        <v>0</v>
      </c>
      <c r="AS384">
        <f t="shared" si="154"/>
        <v>0</v>
      </c>
      <c r="AT384">
        <f t="shared" si="155"/>
        <v>0</v>
      </c>
      <c r="AU384">
        <f t="shared" si="156"/>
        <v>1</v>
      </c>
      <c r="AV384">
        <f t="shared" si="157"/>
        <v>1</v>
      </c>
      <c r="AW384">
        <f t="shared" si="158"/>
        <v>1</v>
      </c>
      <c r="AX384">
        <f t="shared" si="159"/>
        <v>1</v>
      </c>
      <c r="AY384">
        <f t="shared" si="160"/>
        <v>40000</v>
      </c>
      <c r="AZ384">
        <f t="shared" si="161"/>
        <v>40000</v>
      </c>
      <c r="BA384">
        <f t="shared" si="162"/>
        <v>0</v>
      </c>
      <c r="BB384">
        <f t="shared" si="163"/>
        <v>0</v>
      </c>
      <c r="BC384">
        <f t="shared" si="164"/>
        <v>0</v>
      </c>
      <c r="BD384">
        <f t="shared" si="165"/>
        <v>0</v>
      </c>
      <c r="BE384">
        <f t="shared" si="166"/>
        <v>0</v>
      </c>
      <c r="BF384">
        <f t="shared" si="167"/>
        <v>0</v>
      </c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1:256" s="201" customFormat="1" ht="14.25" x14ac:dyDescent="0.2">
      <c r="A385" s="10">
        <v>3382</v>
      </c>
      <c r="B385" s="11" t="s">
        <v>1019</v>
      </c>
      <c r="C385" s="105" t="s">
        <v>1020</v>
      </c>
      <c r="D385" s="11" t="s">
        <v>147</v>
      </c>
      <c r="E385" s="12">
        <v>20190</v>
      </c>
      <c r="F385" s="202">
        <v>7</v>
      </c>
      <c r="G385" s="11">
        <v>80000</v>
      </c>
      <c r="H385" s="116">
        <v>0</v>
      </c>
      <c r="I385" s="192"/>
      <c r="J385" s="204"/>
      <c r="K385" s="193"/>
      <c r="L385" s="193"/>
      <c r="M385" s="193"/>
      <c r="N385" s="203">
        <f t="shared" si="140"/>
        <v>80000</v>
      </c>
      <c r="O385" s="203">
        <f t="shared" si="141"/>
        <v>80000</v>
      </c>
      <c r="P385" s="203">
        <f t="shared" si="142"/>
        <v>80000</v>
      </c>
      <c r="Q385" s="214">
        <v>45659</v>
      </c>
      <c r="R385" s="215"/>
      <c r="S385" s="218">
        <v>45628</v>
      </c>
      <c r="T385" s="205"/>
      <c r="U385" s="205"/>
      <c r="V385" s="216" t="s">
        <v>1131</v>
      </c>
      <c r="W385" s="212"/>
      <c r="X385" s="10">
        <v>7</v>
      </c>
      <c r="Y385" s="10">
        <v>7</v>
      </c>
      <c r="Z385" s="213">
        <f t="shared" si="143"/>
        <v>80000</v>
      </c>
      <c r="AA385" s="62"/>
      <c r="AB385" s="62"/>
      <c r="AC385" s="62"/>
      <c r="AD385" s="62"/>
      <c r="AE385" s="62"/>
      <c r="AF385" s="63"/>
      <c r="AG385" s="64"/>
      <c r="AH385" s="6">
        <v>1</v>
      </c>
      <c r="AI385">
        <f t="shared" si="144"/>
        <v>25</v>
      </c>
      <c r="AJ385">
        <f t="shared" si="145"/>
        <v>25</v>
      </c>
      <c r="AK385">
        <f t="shared" si="146"/>
        <v>0</v>
      </c>
      <c r="AL385">
        <f t="shared" si="147"/>
        <v>0</v>
      </c>
      <c r="AM385">
        <f t="shared" si="148"/>
        <v>0</v>
      </c>
      <c r="AN385">
        <f t="shared" si="149"/>
        <v>0</v>
      </c>
      <c r="AO385">
        <f t="shared" si="150"/>
        <v>0</v>
      </c>
      <c r="AP385">
        <f t="shared" si="151"/>
        <v>0</v>
      </c>
      <c r="AQ385">
        <f t="shared" si="152"/>
        <v>0</v>
      </c>
      <c r="AR385">
        <f t="shared" si="153"/>
        <v>0</v>
      </c>
      <c r="AS385">
        <f t="shared" si="154"/>
        <v>0</v>
      </c>
      <c r="AT385">
        <f t="shared" si="155"/>
        <v>0</v>
      </c>
      <c r="AU385">
        <f t="shared" si="156"/>
        <v>1</v>
      </c>
      <c r="AV385">
        <f t="shared" si="157"/>
        <v>1</v>
      </c>
      <c r="AW385">
        <f t="shared" si="158"/>
        <v>1</v>
      </c>
      <c r="AX385">
        <f t="shared" si="159"/>
        <v>1</v>
      </c>
      <c r="AY385">
        <f t="shared" si="160"/>
        <v>80000</v>
      </c>
      <c r="AZ385">
        <f t="shared" si="161"/>
        <v>80000</v>
      </c>
      <c r="BA385">
        <f t="shared" si="162"/>
        <v>0</v>
      </c>
      <c r="BB385">
        <f t="shared" si="163"/>
        <v>0</v>
      </c>
      <c r="BC385">
        <f t="shared" si="164"/>
        <v>0</v>
      </c>
      <c r="BD385">
        <f t="shared" si="165"/>
        <v>0</v>
      </c>
      <c r="BE385">
        <f t="shared" si="166"/>
        <v>0</v>
      </c>
      <c r="BF385">
        <f t="shared" si="167"/>
        <v>0</v>
      </c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1:256" s="201" customFormat="1" ht="14.25" x14ac:dyDescent="0.2">
      <c r="A386" s="10">
        <v>3384</v>
      </c>
      <c r="B386" s="11" t="s">
        <v>324</v>
      </c>
      <c r="C386" s="105" t="s">
        <v>325</v>
      </c>
      <c r="D386" s="11" t="s">
        <v>105</v>
      </c>
      <c r="E386" s="12">
        <v>20194</v>
      </c>
      <c r="F386" s="202">
        <v>7</v>
      </c>
      <c r="G386" s="11">
        <v>48000</v>
      </c>
      <c r="H386" s="116">
        <v>0</v>
      </c>
      <c r="I386" s="192"/>
      <c r="J386" s="204"/>
      <c r="K386" s="193"/>
      <c r="L386" s="193"/>
      <c r="M386" s="193"/>
      <c r="N386" s="203">
        <f t="shared" si="140"/>
        <v>48000</v>
      </c>
      <c r="O386" s="203">
        <f t="shared" si="141"/>
        <v>48000</v>
      </c>
      <c r="P386" s="203">
        <f t="shared" si="142"/>
        <v>48000</v>
      </c>
      <c r="Q386" s="214">
        <v>45659</v>
      </c>
      <c r="R386" s="215"/>
      <c r="S386" s="218">
        <v>45628</v>
      </c>
      <c r="T386" s="205"/>
      <c r="U386" s="205"/>
      <c r="V386" s="216" t="s">
        <v>1131</v>
      </c>
      <c r="W386" s="212"/>
      <c r="X386" s="10">
        <v>7</v>
      </c>
      <c r="Y386" s="10">
        <v>7</v>
      </c>
      <c r="Z386" s="213">
        <f t="shared" si="143"/>
        <v>48000</v>
      </c>
      <c r="AA386" s="62"/>
      <c r="AB386" s="62"/>
      <c r="AC386" s="62"/>
      <c r="AD386" s="62"/>
      <c r="AE386" s="62"/>
      <c r="AF386" s="63"/>
      <c r="AG386" s="64"/>
      <c r="AH386" s="6">
        <v>1</v>
      </c>
      <c r="AI386">
        <f t="shared" si="144"/>
        <v>25</v>
      </c>
      <c r="AJ386">
        <f t="shared" si="145"/>
        <v>25</v>
      </c>
      <c r="AK386">
        <f t="shared" si="146"/>
        <v>0</v>
      </c>
      <c r="AL386">
        <f t="shared" si="147"/>
        <v>0</v>
      </c>
      <c r="AM386">
        <f t="shared" si="148"/>
        <v>0</v>
      </c>
      <c r="AN386">
        <f t="shared" si="149"/>
        <v>0</v>
      </c>
      <c r="AO386">
        <f t="shared" si="150"/>
        <v>0</v>
      </c>
      <c r="AP386">
        <f t="shared" si="151"/>
        <v>0</v>
      </c>
      <c r="AQ386">
        <f t="shared" si="152"/>
        <v>0</v>
      </c>
      <c r="AR386">
        <f t="shared" si="153"/>
        <v>0</v>
      </c>
      <c r="AS386">
        <f t="shared" si="154"/>
        <v>0</v>
      </c>
      <c r="AT386">
        <f t="shared" si="155"/>
        <v>0</v>
      </c>
      <c r="AU386">
        <f t="shared" si="156"/>
        <v>1</v>
      </c>
      <c r="AV386">
        <f t="shared" si="157"/>
        <v>1</v>
      </c>
      <c r="AW386">
        <f t="shared" si="158"/>
        <v>1</v>
      </c>
      <c r="AX386">
        <f t="shared" si="159"/>
        <v>1</v>
      </c>
      <c r="AY386">
        <f t="shared" si="160"/>
        <v>48000</v>
      </c>
      <c r="AZ386">
        <f t="shared" si="161"/>
        <v>48000</v>
      </c>
      <c r="BA386">
        <f t="shared" si="162"/>
        <v>0</v>
      </c>
      <c r="BB386">
        <f t="shared" si="163"/>
        <v>0</v>
      </c>
      <c r="BC386">
        <f t="shared" si="164"/>
        <v>0</v>
      </c>
      <c r="BD386">
        <f t="shared" si="165"/>
        <v>0</v>
      </c>
      <c r="BE386">
        <f t="shared" si="166"/>
        <v>0</v>
      </c>
      <c r="BF386">
        <f t="shared" si="167"/>
        <v>0</v>
      </c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1:256" s="201" customFormat="1" ht="14.25" x14ac:dyDescent="0.2">
      <c r="A387" s="10">
        <v>3387</v>
      </c>
      <c r="B387" s="11" t="s">
        <v>1021</v>
      </c>
      <c r="C387" s="105" t="s">
        <v>1022</v>
      </c>
      <c r="D387" s="11" t="s">
        <v>105</v>
      </c>
      <c r="E387" s="12">
        <v>20205</v>
      </c>
      <c r="F387" s="202">
        <v>7</v>
      </c>
      <c r="G387" s="11">
        <v>30000</v>
      </c>
      <c r="H387" s="116">
        <v>0</v>
      </c>
      <c r="I387" s="192"/>
      <c r="J387" s="204"/>
      <c r="K387" s="193"/>
      <c r="L387" s="193"/>
      <c r="M387" s="193"/>
      <c r="N387" s="203">
        <f t="shared" si="140"/>
        <v>30000</v>
      </c>
      <c r="O387" s="203">
        <f t="shared" si="141"/>
        <v>30000</v>
      </c>
      <c r="P387" s="203">
        <f t="shared" si="142"/>
        <v>30000</v>
      </c>
      <c r="Q387" s="214"/>
      <c r="R387" s="215"/>
      <c r="S387" s="218">
        <v>45649</v>
      </c>
      <c r="T387" s="205"/>
      <c r="U387" s="205"/>
      <c r="V387" s="216"/>
      <c r="W387" s="212"/>
      <c r="X387" s="10">
        <v>7</v>
      </c>
      <c r="Y387" s="10">
        <v>7</v>
      </c>
      <c r="Z387" s="213">
        <f t="shared" si="143"/>
        <v>30000</v>
      </c>
      <c r="AA387" s="62"/>
      <c r="AB387" s="62"/>
      <c r="AC387" s="62"/>
      <c r="AD387" s="62"/>
      <c r="AE387" s="62"/>
      <c r="AF387" s="63"/>
      <c r="AG387" s="64"/>
      <c r="AH387" s="6">
        <v>1</v>
      </c>
      <c r="AI387">
        <f t="shared" si="144"/>
        <v>25</v>
      </c>
      <c r="AJ387">
        <f t="shared" si="145"/>
        <v>25</v>
      </c>
      <c r="AK387">
        <f t="shared" si="146"/>
        <v>0</v>
      </c>
      <c r="AL387">
        <f t="shared" si="147"/>
        <v>0</v>
      </c>
      <c r="AM387">
        <f t="shared" si="148"/>
        <v>0</v>
      </c>
      <c r="AN387">
        <f t="shared" si="149"/>
        <v>0</v>
      </c>
      <c r="AO387">
        <f t="shared" si="150"/>
        <v>0</v>
      </c>
      <c r="AP387">
        <f t="shared" si="151"/>
        <v>0</v>
      </c>
      <c r="AQ387">
        <f t="shared" si="152"/>
        <v>0</v>
      </c>
      <c r="AR387">
        <f t="shared" si="153"/>
        <v>0</v>
      </c>
      <c r="AS387">
        <f t="shared" si="154"/>
        <v>0</v>
      </c>
      <c r="AT387">
        <f t="shared" si="155"/>
        <v>0</v>
      </c>
      <c r="AU387">
        <f t="shared" si="156"/>
        <v>1</v>
      </c>
      <c r="AV387">
        <f t="shared" si="157"/>
        <v>1</v>
      </c>
      <c r="AW387">
        <f t="shared" si="158"/>
        <v>1</v>
      </c>
      <c r="AX387">
        <f t="shared" si="159"/>
        <v>1</v>
      </c>
      <c r="AY387">
        <f t="shared" si="160"/>
        <v>30000</v>
      </c>
      <c r="AZ387">
        <f t="shared" si="161"/>
        <v>30000</v>
      </c>
      <c r="BA387">
        <f t="shared" si="162"/>
        <v>0</v>
      </c>
      <c r="BB387">
        <f t="shared" si="163"/>
        <v>0</v>
      </c>
      <c r="BC387">
        <f t="shared" si="164"/>
        <v>0</v>
      </c>
      <c r="BD387">
        <f t="shared" si="165"/>
        <v>0</v>
      </c>
      <c r="BE387">
        <f t="shared" si="166"/>
        <v>0</v>
      </c>
      <c r="BF387">
        <f t="shared" si="167"/>
        <v>0</v>
      </c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1:256" s="201" customFormat="1" ht="14.25" x14ac:dyDescent="0.2">
      <c r="A388" s="10">
        <v>3388</v>
      </c>
      <c r="B388" s="11" t="s">
        <v>1023</v>
      </c>
      <c r="C388" s="105" t="s">
        <v>1024</v>
      </c>
      <c r="D388" s="11" t="s">
        <v>106</v>
      </c>
      <c r="E388" s="12">
        <v>20211</v>
      </c>
      <c r="F388" s="202">
        <v>7</v>
      </c>
      <c r="G388" s="11">
        <v>80000</v>
      </c>
      <c r="H388" s="116">
        <v>0</v>
      </c>
      <c r="I388" s="192"/>
      <c r="J388" s="204"/>
      <c r="K388" s="193"/>
      <c r="L388" s="193"/>
      <c r="M388" s="193"/>
      <c r="N388" s="203">
        <f t="shared" ref="N388:N446" si="168">IF(H388&gt;0,G388+H388-I388-J388-K388-L388-M388,G388-I388-J388-K388-L388-M388)</f>
        <v>80000</v>
      </c>
      <c r="O388" s="203">
        <f t="shared" ref="O388:O446" si="169">G388+H388-J388-I388-K388-L388-M388</f>
        <v>80000</v>
      </c>
      <c r="P388" s="203">
        <f t="shared" ref="P388:P446" si="170">IF(G388+H388&lt;0,0,G388+H388)</f>
        <v>80000</v>
      </c>
      <c r="Q388" s="214"/>
      <c r="R388" s="215"/>
      <c r="S388" s="218">
        <v>45646</v>
      </c>
      <c r="T388" s="205"/>
      <c r="U388" s="205"/>
      <c r="V388" s="216"/>
      <c r="W388" s="212"/>
      <c r="X388" s="10">
        <v>7</v>
      </c>
      <c r="Y388" s="10">
        <v>7</v>
      </c>
      <c r="Z388" s="213">
        <f t="shared" ref="Z388:Z446" si="171">IF(N388&lt;0,0,N388)</f>
        <v>80000</v>
      </c>
      <c r="AA388" s="62"/>
      <c r="AB388" s="62"/>
      <c r="AC388" s="62"/>
      <c r="AD388" s="62"/>
      <c r="AE388" s="62"/>
      <c r="AF388" s="63"/>
      <c r="AG388" s="64"/>
      <c r="AH388" s="6">
        <v>1</v>
      </c>
      <c r="AI388">
        <f t="shared" ref="AI388:AI446" si="172">IF(F388&lt;=6,15,25)</f>
        <v>25</v>
      </c>
      <c r="AJ388">
        <f t="shared" ref="AJ388:AJ446" si="173">IF(O388&lt;&gt;0,25,15)</f>
        <v>25</v>
      </c>
      <c r="AK388">
        <f t="shared" ref="AK388:AK446" si="174">IF(AI388-T388=24,1,0)</f>
        <v>0</v>
      </c>
      <c r="AL388">
        <f t="shared" ref="AL388:AL446" si="175">IF(AH388-AK388=AH388,0,AH388)</f>
        <v>0</v>
      </c>
      <c r="AM388">
        <f t="shared" ref="AM388:AM446" si="176">IF(AK388&lt;&gt;0,U388,0)</f>
        <v>0</v>
      </c>
      <c r="AN388">
        <f t="shared" ref="AN388:AN446" si="177">IF(AK388=1,O388,0)</f>
        <v>0</v>
      </c>
      <c r="AO388">
        <f t="shared" ref="AO388:AO446" si="178">IF(AI388-T388=14,1,0)</f>
        <v>0</v>
      </c>
      <c r="AP388">
        <f t="shared" ref="AP388:AP446" si="179">IF(AH388-AO388=AH388,0,AH388)</f>
        <v>0</v>
      </c>
      <c r="AQ388">
        <f t="shared" ref="AQ388:AQ446" si="180">IF(AO388&lt;&gt;0,U388,0)</f>
        <v>0</v>
      </c>
      <c r="AR388">
        <f t="shared" ref="AR388:AR446" si="181">IF(AO388=1,O388,0)</f>
        <v>0</v>
      </c>
      <c r="AS388">
        <f t="shared" ref="AS388:AS446" si="182">IF(SUM(I388:M388)&lt;&gt;0,1,0)</f>
        <v>0</v>
      </c>
      <c r="AT388">
        <f t="shared" ref="AT388:AT446" si="183">AS388</f>
        <v>0</v>
      </c>
      <c r="AU388">
        <f t="shared" ref="AU388:AU446" si="184">IF(O388&gt;0,1,0)</f>
        <v>1</v>
      </c>
      <c r="AV388">
        <f t="shared" ref="AV388:AV446" si="185">IF(AK388+AO388+AU388=1,AU388,0)</f>
        <v>1</v>
      </c>
      <c r="AW388">
        <f t="shared" ref="AW388:AW446" si="186">IF(AI388-AV388=24,1,0)</f>
        <v>1</v>
      </c>
      <c r="AX388">
        <f t="shared" ref="AX388:AX446" si="187">IF(AH388-AW388=AH388,0,AH388)</f>
        <v>1</v>
      </c>
      <c r="AY388">
        <f t="shared" ref="AY388:AY446" si="188">IF(AW388=1,O388,0)</f>
        <v>80000</v>
      </c>
      <c r="AZ388">
        <f t="shared" ref="AZ388:AZ446" si="189">IF(AY388-BA388&lt;&gt;0,AY388,0)</f>
        <v>80000</v>
      </c>
      <c r="BA388">
        <f t="shared" ref="BA388:BA446" si="190">IF(AY388&lt;0,AY388,0)</f>
        <v>0</v>
      </c>
      <c r="BB388">
        <f t="shared" ref="BB388:BB446" si="191">IF(AI388-AV388=14,1,0)</f>
        <v>0</v>
      </c>
      <c r="BC388">
        <f t="shared" ref="BC388:BC446" si="192">IF(AH388-BB388=AH388,0,AH388)</f>
        <v>0</v>
      </c>
      <c r="BD388">
        <f t="shared" ref="BD388:BD446" si="193">IF(BB388=1,O388,0)</f>
        <v>0</v>
      </c>
      <c r="BE388">
        <f t="shared" ref="BE388:BE446" si="194">IF(BD388&lt;0,BD388,0)</f>
        <v>0</v>
      </c>
      <c r="BF388">
        <f t="shared" ref="BF388:BF446" si="195">IF(BD388-BE388&lt;&gt;0,BD388,0)</f>
        <v>0</v>
      </c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1:256" s="201" customFormat="1" ht="14.25" x14ac:dyDescent="0.2">
      <c r="A389" s="10">
        <v>3389</v>
      </c>
      <c r="B389" s="11" t="s">
        <v>1023</v>
      </c>
      <c r="C389" s="105" t="s">
        <v>1024</v>
      </c>
      <c r="D389" s="11" t="s">
        <v>106</v>
      </c>
      <c r="E389" s="12">
        <v>20212</v>
      </c>
      <c r="F389" s="202">
        <v>7</v>
      </c>
      <c r="G389" s="11">
        <v>80000</v>
      </c>
      <c r="H389" s="116">
        <v>0</v>
      </c>
      <c r="I389" s="192"/>
      <c r="J389" s="204"/>
      <c r="K389" s="193"/>
      <c r="L389" s="193"/>
      <c r="M389" s="193"/>
      <c r="N389" s="203">
        <f t="shared" si="168"/>
        <v>80000</v>
      </c>
      <c r="O389" s="203">
        <f t="shared" si="169"/>
        <v>80000</v>
      </c>
      <c r="P389" s="203">
        <f t="shared" si="170"/>
        <v>80000</v>
      </c>
      <c r="Q389" s="214"/>
      <c r="R389" s="215"/>
      <c r="S389" s="218">
        <v>45646</v>
      </c>
      <c r="T389" s="205"/>
      <c r="U389" s="205"/>
      <c r="V389" s="216"/>
      <c r="W389" s="212"/>
      <c r="X389" s="10">
        <v>7</v>
      </c>
      <c r="Y389" s="10">
        <v>7</v>
      </c>
      <c r="Z389" s="213">
        <f t="shared" si="171"/>
        <v>80000</v>
      </c>
      <c r="AA389" s="62"/>
      <c r="AB389" s="62"/>
      <c r="AC389" s="62"/>
      <c r="AD389" s="62"/>
      <c r="AE389" s="62"/>
      <c r="AF389" s="63"/>
      <c r="AG389" s="64"/>
      <c r="AH389" s="6">
        <v>1</v>
      </c>
      <c r="AI389">
        <f t="shared" si="172"/>
        <v>25</v>
      </c>
      <c r="AJ389">
        <f t="shared" si="173"/>
        <v>25</v>
      </c>
      <c r="AK389">
        <f t="shared" si="174"/>
        <v>0</v>
      </c>
      <c r="AL389">
        <f t="shared" si="175"/>
        <v>0</v>
      </c>
      <c r="AM389">
        <f t="shared" si="176"/>
        <v>0</v>
      </c>
      <c r="AN389">
        <f t="shared" si="177"/>
        <v>0</v>
      </c>
      <c r="AO389">
        <f t="shared" si="178"/>
        <v>0</v>
      </c>
      <c r="AP389">
        <f t="shared" si="179"/>
        <v>0</v>
      </c>
      <c r="AQ389">
        <f t="shared" si="180"/>
        <v>0</v>
      </c>
      <c r="AR389">
        <f t="shared" si="181"/>
        <v>0</v>
      </c>
      <c r="AS389">
        <f t="shared" si="182"/>
        <v>0</v>
      </c>
      <c r="AT389">
        <f t="shared" si="183"/>
        <v>0</v>
      </c>
      <c r="AU389">
        <f t="shared" si="184"/>
        <v>1</v>
      </c>
      <c r="AV389">
        <f t="shared" si="185"/>
        <v>1</v>
      </c>
      <c r="AW389">
        <f t="shared" si="186"/>
        <v>1</v>
      </c>
      <c r="AX389">
        <f t="shared" si="187"/>
        <v>1</v>
      </c>
      <c r="AY389">
        <f t="shared" si="188"/>
        <v>80000</v>
      </c>
      <c r="AZ389">
        <f t="shared" si="189"/>
        <v>80000</v>
      </c>
      <c r="BA389">
        <f t="shared" si="190"/>
        <v>0</v>
      </c>
      <c r="BB389">
        <f t="shared" si="191"/>
        <v>0</v>
      </c>
      <c r="BC389">
        <f t="shared" si="192"/>
        <v>0</v>
      </c>
      <c r="BD389">
        <f t="shared" si="193"/>
        <v>0</v>
      </c>
      <c r="BE389">
        <f t="shared" si="194"/>
        <v>0</v>
      </c>
      <c r="BF389">
        <f t="shared" si="195"/>
        <v>0</v>
      </c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1:256" s="201" customFormat="1" ht="14.25" x14ac:dyDescent="0.2">
      <c r="A390" s="10">
        <v>3390</v>
      </c>
      <c r="B390" s="11" t="s">
        <v>1025</v>
      </c>
      <c r="C390" s="105" t="s">
        <v>1026</v>
      </c>
      <c r="D390" s="11" t="s">
        <v>105</v>
      </c>
      <c r="E390" s="12">
        <v>20204</v>
      </c>
      <c r="F390" s="202">
        <v>7</v>
      </c>
      <c r="G390" s="11">
        <v>100000</v>
      </c>
      <c r="H390" s="116">
        <v>0</v>
      </c>
      <c r="I390" s="192"/>
      <c r="J390" s="204"/>
      <c r="K390" s="193"/>
      <c r="L390" s="193"/>
      <c r="M390" s="193"/>
      <c r="N390" s="203">
        <f t="shared" si="168"/>
        <v>100000</v>
      </c>
      <c r="O390" s="203">
        <f t="shared" si="169"/>
        <v>100000</v>
      </c>
      <c r="P390" s="203">
        <f t="shared" si="170"/>
        <v>100000</v>
      </c>
      <c r="Q390" s="214"/>
      <c r="R390" s="215"/>
      <c r="S390" s="218">
        <v>45636</v>
      </c>
      <c r="T390" s="205"/>
      <c r="U390" s="205"/>
      <c r="V390" s="216"/>
      <c r="W390" s="212"/>
      <c r="X390" s="10">
        <v>7</v>
      </c>
      <c r="Y390" s="10">
        <v>7</v>
      </c>
      <c r="Z390" s="213">
        <f t="shared" si="171"/>
        <v>100000</v>
      </c>
      <c r="AA390" s="62"/>
      <c r="AB390" s="62"/>
      <c r="AC390" s="62"/>
      <c r="AD390" s="62"/>
      <c r="AE390" s="62"/>
      <c r="AF390" s="63"/>
      <c r="AG390" s="64"/>
      <c r="AH390" s="6">
        <v>1</v>
      </c>
      <c r="AI390">
        <f t="shared" si="172"/>
        <v>25</v>
      </c>
      <c r="AJ390">
        <f t="shared" si="173"/>
        <v>25</v>
      </c>
      <c r="AK390">
        <f t="shared" si="174"/>
        <v>0</v>
      </c>
      <c r="AL390">
        <f t="shared" si="175"/>
        <v>0</v>
      </c>
      <c r="AM390">
        <f t="shared" si="176"/>
        <v>0</v>
      </c>
      <c r="AN390">
        <f t="shared" si="177"/>
        <v>0</v>
      </c>
      <c r="AO390">
        <f t="shared" si="178"/>
        <v>0</v>
      </c>
      <c r="AP390">
        <f t="shared" si="179"/>
        <v>0</v>
      </c>
      <c r="AQ390">
        <f t="shared" si="180"/>
        <v>0</v>
      </c>
      <c r="AR390">
        <f t="shared" si="181"/>
        <v>0</v>
      </c>
      <c r="AS390">
        <f t="shared" si="182"/>
        <v>0</v>
      </c>
      <c r="AT390">
        <f t="shared" si="183"/>
        <v>0</v>
      </c>
      <c r="AU390">
        <f t="shared" si="184"/>
        <v>1</v>
      </c>
      <c r="AV390">
        <f t="shared" si="185"/>
        <v>1</v>
      </c>
      <c r="AW390">
        <f t="shared" si="186"/>
        <v>1</v>
      </c>
      <c r="AX390">
        <f t="shared" si="187"/>
        <v>1</v>
      </c>
      <c r="AY390">
        <f t="shared" si="188"/>
        <v>100000</v>
      </c>
      <c r="AZ390">
        <f t="shared" si="189"/>
        <v>100000</v>
      </c>
      <c r="BA390">
        <f t="shared" si="190"/>
        <v>0</v>
      </c>
      <c r="BB390">
        <f t="shared" si="191"/>
        <v>0</v>
      </c>
      <c r="BC390">
        <f t="shared" si="192"/>
        <v>0</v>
      </c>
      <c r="BD390">
        <f t="shared" si="193"/>
        <v>0</v>
      </c>
      <c r="BE390">
        <f t="shared" si="194"/>
        <v>0</v>
      </c>
      <c r="BF390">
        <f t="shared" si="195"/>
        <v>0</v>
      </c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1:256" s="201" customFormat="1" ht="14.25" x14ac:dyDescent="0.2">
      <c r="A391" s="10">
        <v>3391</v>
      </c>
      <c r="B391" s="11" t="s">
        <v>1027</v>
      </c>
      <c r="C391" s="105" t="s">
        <v>1028</v>
      </c>
      <c r="D391" s="11" t="s">
        <v>106</v>
      </c>
      <c r="E391" s="12">
        <v>20197</v>
      </c>
      <c r="F391" s="202">
        <v>7</v>
      </c>
      <c r="G391" s="11">
        <v>280000</v>
      </c>
      <c r="H391" s="116">
        <v>-840000</v>
      </c>
      <c r="I391" s="192"/>
      <c r="J391" s="204"/>
      <c r="K391" s="193"/>
      <c r="L391" s="193"/>
      <c r="M391" s="193"/>
      <c r="N391" s="203">
        <f t="shared" si="168"/>
        <v>280000</v>
      </c>
      <c r="O391" s="203">
        <f t="shared" si="169"/>
        <v>-560000</v>
      </c>
      <c r="P391" s="203">
        <f t="shared" si="170"/>
        <v>0</v>
      </c>
      <c r="Q391" s="214">
        <v>45659</v>
      </c>
      <c r="R391" s="215"/>
      <c r="S391" s="218">
        <v>45631</v>
      </c>
      <c r="T391" s="205"/>
      <c r="U391" s="205"/>
      <c r="V391" s="216" t="s">
        <v>1132</v>
      </c>
      <c r="W391" s="212"/>
      <c r="X391" s="10">
        <v>7</v>
      </c>
      <c r="Y391" s="10">
        <v>7</v>
      </c>
      <c r="Z391" s="213">
        <f t="shared" si="171"/>
        <v>280000</v>
      </c>
      <c r="AA391" s="62"/>
      <c r="AB391" s="62"/>
      <c r="AC391" s="62"/>
      <c r="AD391" s="62"/>
      <c r="AE391" s="62"/>
      <c r="AF391" s="63"/>
      <c r="AG391" s="64"/>
      <c r="AH391" s="6">
        <v>1</v>
      </c>
      <c r="AI391">
        <f t="shared" si="172"/>
        <v>25</v>
      </c>
      <c r="AJ391">
        <f t="shared" si="173"/>
        <v>25</v>
      </c>
      <c r="AK391">
        <f t="shared" si="174"/>
        <v>0</v>
      </c>
      <c r="AL391">
        <f t="shared" si="175"/>
        <v>0</v>
      </c>
      <c r="AM391">
        <f t="shared" si="176"/>
        <v>0</v>
      </c>
      <c r="AN391">
        <f t="shared" si="177"/>
        <v>0</v>
      </c>
      <c r="AO391">
        <f t="shared" si="178"/>
        <v>0</v>
      </c>
      <c r="AP391">
        <f t="shared" si="179"/>
        <v>0</v>
      </c>
      <c r="AQ391">
        <f t="shared" si="180"/>
        <v>0</v>
      </c>
      <c r="AR391">
        <f t="shared" si="181"/>
        <v>0</v>
      </c>
      <c r="AS391">
        <f t="shared" si="182"/>
        <v>0</v>
      </c>
      <c r="AT391">
        <f t="shared" si="183"/>
        <v>0</v>
      </c>
      <c r="AU391">
        <f t="shared" si="184"/>
        <v>0</v>
      </c>
      <c r="AV391">
        <f t="shared" si="185"/>
        <v>0</v>
      </c>
      <c r="AW391">
        <f t="shared" si="186"/>
        <v>0</v>
      </c>
      <c r="AX391">
        <f t="shared" si="187"/>
        <v>0</v>
      </c>
      <c r="AY391">
        <f t="shared" si="188"/>
        <v>0</v>
      </c>
      <c r="AZ391">
        <f t="shared" si="189"/>
        <v>0</v>
      </c>
      <c r="BA391">
        <f t="shared" si="190"/>
        <v>0</v>
      </c>
      <c r="BB391">
        <f t="shared" si="191"/>
        <v>0</v>
      </c>
      <c r="BC391">
        <f t="shared" si="192"/>
        <v>0</v>
      </c>
      <c r="BD391">
        <f t="shared" si="193"/>
        <v>0</v>
      </c>
      <c r="BE391">
        <f t="shared" si="194"/>
        <v>0</v>
      </c>
      <c r="BF391">
        <f t="shared" si="195"/>
        <v>0</v>
      </c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1:256" s="201" customFormat="1" ht="14.25" x14ac:dyDescent="0.2">
      <c r="A392" s="10">
        <v>3392</v>
      </c>
      <c r="B392" s="11" t="s">
        <v>1029</v>
      </c>
      <c r="C392" s="105" t="s">
        <v>1030</v>
      </c>
      <c r="D392" s="11" t="s">
        <v>105</v>
      </c>
      <c r="E392" s="12">
        <v>20208</v>
      </c>
      <c r="F392" s="202">
        <v>7</v>
      </c>
      <c r="G392" s="11">
        <v>120000</v>
      </c>
      <c r="H392" s="116">
        <v>0</v>
      </c>
      <c r="I392" s="192"/>
      <c r="J392" s="204"/>
      <c r="K392" s="193"/>
      <c r="L392" s="193"/>
      <c r="M392" s="193"/>
      <c r="N392" s="203">
        <f t="shared" si="168"/>
        <v>120000</v>
      </c>
      <c r="O392" s="203">
        <f t="shared" si="169"/>
        <v>120000</v>
      </c>
      <c r="P392" s="203">
        <f t="shared" si="170"/>
        <v>120000</v>
      </c>
      <c r="Q392" s="214">
        <v>45659</v>
      </c>
      <c r="R392" s="215"/>
      <c r="S392" s="218">
        <v>45629</v>
      </c>
      <c r="T392" s="205"/>
      <c r="U392" s="205"/>
      <c r="V392" s="216" t="s">
        <v>1131</v>
      </c>
      <c r="W392" s="212"/>
      <c r="X392" s="10">
        <v>7</v>
      </c>
      <c r="Y392" s="10">
        <v>7</v>
      </c>
      <c r="Z392" s="213">
        <f t="shared" si="171"/>
        <v>120000</v>
      </c>
      <c r="AA392" s="62"/>
      <c r="AB392" s="62"/>
      <c r="AC392" s="62"/>
      <c r="AD392" s="62"/>
      <c r="AE392" s="62"/>
      <c r="AF392" s="63"/>
      <c r="AG392" s="64"/>
      <c r="AH392" s="6">
        <v>1</v>
      </c>
      <c r="AI392">
        <f t="shared" si="172"/>
        <v>25</v>
      </c>
      <c r="AJ392">
        <f t="shared" si="173"/>
        <v>25</v>
      </c>
      <c r="AK392">
        <f t="shared" si="174"/>
        <v>0</v>
      </c>
      <c r="AL392">
        <f t="shared" si="175"/>
        <v>0</v>
      </c>
      <c r="AM392">
        <f t="shared" si="176"/>
        <v>0</v>
      </c>
      <c r="AN392">
        <f t="shared" si="177"/>
        <v>0</v>
      </c>
      <c r="AO392">
        <f t="shared" si="178"/>
        <v>0</v>
      </c>
      <c r="AP392">
        <f t="shared" si="179"/>
        <v>0</v>
      </c>
      <c r="AQ392">
        <f t="shared" si="180"/>
        <v>0</v>
      </c>
      <c r="AR392">
        <f t="shared" si="181"/>
        <v>0</v>
      </c>
      <c r="AS392">
        <f t="shared" si="182"/>
        <v>0</v>
      </c>
      <c r="AT392">
        <f t="shared" si="183"/>
        <v>0</v>
      </c>
      <c r="AU392">
        <f t="shared" si="184"/>
        <v>1</v>
      </c>
      <c r="AV392">
        <f t="shared" si="185"/>
        <v>1</v>
      </c>
      <c r="AW392">
        <f t="shared" si="186"/>
        <v>1</v>
      </c>
      <c r="AX392">
        <f t="shared" si="187"/>
        <v>1</v>
      </c>
      <c r="AY392">
        <f t="shared" si="188"/>
        <v>120000</v>
      </c>
      <c r="AZ392">
        <f t="shared" si="189"/>
        <v>120000</v>
      </c>
      <c r="BA392">
        <f t="shared" si="190"/>
        <v>0</v>
      </c>
      <c r="BB392">
        <f t="shared" si="191"/>
        <v>0</v>
      </c>
      <c r="BC392">
        <f t="shared" si="192"/>
        <v>0</v>
      </c>
      <c r="BD392">
        <f t="shared" si="193"/>
        <v>0</v>
      </c>
      <c r="BE392">
        <f t="shared" si="194"/>
        <v>0</v>
      </c>
      <c r="BF392">
        <f t="shared" si="195"/>
        <v>0</v>
      </c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1:256" s="201" customFormat="1" ht="14.25" x14ac:dyDescent="0.2">
      <c r="A393" s="10">
        <v>3395</v>
      </c>
      <c r="B393" s="11" t="s">
        <v>1031</v>
      </c>
      <c r="C393" s="105" t="s">
        <v>1032</v>
      </c>
      <c r="D393" s="11" t="s">
        <v>105</v>
      </c>
      <c r="E393" s="12">
        <v>20213</v>
      </c>
      <c r="F393" s="202">
        <v>6</v>
      </c>
      <c r="G393" s="11">
        <v>80000</v>
      </c>
      <c r="H393" s="116">
        <v>-80000</v>
      </c>
      <c r="I393" s="192"/>
      <c r="J393" s="204"/>
      <c r="K393" s="193"/>
      <c r="L393" s="193"/>
      <c r="M393" s="193"/>
      <c r="N393" s="203">
        <f t="shared" si="168"/>
        <v>80000</v>
      </c>
      <c r="O393" s="203">
        <f t="shared" si="169"/>
        <v>0</v>
      </c>
      <c r="P393" s="203">
        <f t="shared" si="170"/>
        <v>0</v>
      </c>
      <c r="Q393" s="214"/>
      <c r="R393" s="215"/>
      <c r="S393" s="218">
        <v>45656</v>
      </c>
      <c r="T393" s="205"/>
      <c r="U393" s="205"/>
      <c r="V393" s="216"/>
      <c r="W393" s="212"/>
      <c r="X393" s="10">
        <v>7</v>
      </c>
      <c r="Y393" s="10">
        <v>7</v>
      </c>
      <c r="Z393" s="213">
        <f t="shared" si="171"/>
        <v>80000</v>
      </c>
      <c r="AA393" s="62"/>
      <c r="AB393" s="62"/>
      <c r="AC393" s="62"/>
      <c r="AD393" s="62"/>
      <c r="AE393" s="62"/>
      <c r="AF393" s="63"/>
      <c r="AG393" s="64"/>
      <c r="AH393" s="6">
        <v>1</v>
      </c>
      <c r="AI393">
        <f t="shared" si="172"/>
        <v>15</v>
      </c>
      <c r="AJ393">
        <f t="shared" si="173"/>
        <v>15</v>
      </c>
      <c r="AK393">
        <f t="shared" si="174"/>
        <v>0</v>
      </c>
      <c r="AL393">
        <f t="shared" si="175"/>
        <v>0</v>
      </c>
      <c r="AM393">
        <f t="shared" si="176"/>
        <v>0</v>
      </c>
      <c r="AN393">
        <f t="shared" si="177"/>
        <v>0</v>
      </c>
      <c r="AO393">
        <f t="shared" si="178"/>
        <v>0</v>
      </c>
      <c r="AP393">
        <f t="shared" si="179"/>
        <v>0</v>
      </c>
      <c r="AQ393">
        <f t="shared" si="180"/>
        <v>0</v>
      </c>
      <c r="AR393">
        <f t="shared" si="181"/>
        <v>0</v>
      </c>
      <c r="AS393">
        <f t="shared" si="182"/>
        <v>0</v>
      </c>
      <c r="AT393">
        <f t="shared" si="183"/>
        <v>0</v>
      </c>
      <c r="AU393">
        <f t="shared" si="184"/>
        <v>0</v>
      </c>
      <c r="AV393">
        <f t="shared" si="185"/>
        <v>0</v>
      </c>
      <c r="AW393">
        <f t="shared" si="186"/>
        <v>0</v>
      </c>
      <c r="AX393">
        <f t="shared" si="187"/>
        <v>0</v>
      </c>
      <c r="AY393">
        <f t="shared" si="188"/>
        <v>0</v>
      </c>
      <c r="AZ393">
        <f t="shared" si="189"/>
        <v>0</v>
      </c>
      <c r="BA393">
        <f t="shared" si="190"/>
        <v>0</v>
      </c>
      <c r="BB393">
        <f t="shared" si="191"/>
        <v>0</v>
      </c>
      <c r="BC393">
        <f t="shared" si="192"/>
        <v>0</v>
      </c>
      <c r="BD393">
        <f t="shared" si="193"/>
        <v>0</v>
      </c>
      <c r="BE393">
        <f t="shared" si="194"/>
        <v>0</v>
      </c>
      <c r="BF393">
        <f t="shared" si="195"/>
        <v>0</v>
      </c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1:256" s="201" customFormat="1" ht="14.25" x14ac:dyDescent="0.2">
      <c r="A394" s="10">
        <v>3399</v>
      </c>
      <c r="B394" s="11" t="s">
        <v>1033</v>
      </c>
      <c r="C394" s="105" t="s">
        <v>1034</v>
      </c>
      <c r="D394" s="11" t="s">
        <v>105</v>
      </c>
      <c r="E394" s="12">
        <v>20196</v>
      </c>
      <c r="F394" s="202">
        <v>6</v>
      </c>
      <c r="G394" s="11">
        <v>40000</v>
      </c>
      <c r="H394" s="116">
        <v>0</v>
      </c>
      <c r="I394" s="192"/>
      <c r="J394" s="204"/>
      <c r="K394" s="193"/>
      <c r="L394" s="193"/>
      <c r="M394" s="193"/>
      <c r="N394" s="203">
        <f t="shared" si="168"/>
        <v>40000</v>
      </c>
      <c r="O394" s="203">
        <f t="shared" si="169"/>
        <v>40000</v>
      </c>
      <c r="P394" s="203">
        <f t="shared" si="170"/>
        <v>40000</v>
      </c>
      <c r="Q394" s="214"/>
      <c r="R394" s="215"/>
      <c r="S394" s="218">
        <v>45636</v>
      </c>
      <c r="T394" s="205"/>
      <c r="U394" s="205"/>
      <c r="V394" s="216"/>
      <c r="W394" s="212"/>
      <c r="X394" s="10">
        <v>7</v>
      </c>
      <c r="Y394" s="10">
        <v>7</v>
      </c>
      <c r="Z394" s="213">
        <f t="shared" si="171"/>
        <v>40000</v>
      </c>
      <c r="AA394" s="62"/>
      <c r="AB394" s="62"/>
      <c r="AC394" s="62"/>
      <c r="AD394" s="62"/>
      <c r="AE394" s="62"/>
      <c r="AF394" s="63"/>
      <c r="AG394" s="64"/>
      <c r="AH394" s="6">
        <v>1</v>
      </c>
      <c r="AI394">
        <f t="shared" si="172"/>
        <v>15</v>
      </c>
      <c r="AJ394">
        <f t="shared" si="173"/>
        <v>25</v>
      </c>
      <c r="AK394">
        <f t="shared" si="174"/>
        <v>0</v>
      </c>
      <c r="AL394">
        <f t="shared" si="175"/>
        <v>0</v>
      </c>
      <c r="AM394">
        <f t="shared" si="176"/>
        <v>0</v>
      </c>
      <c r="AN394">
        <f t="shared" si="177"/>
        <v>0</v>
      </c>
      <c r="AO394">
        <f t="shared" si="178"/>
        <v>0</v>
      </c>
      <c r="AP394">
        <f t="shared" si="179"/>
        <v>0</v>
      </c>
      <c r="AQ394">
        <f t="shared" si="180"/>
        <v>0</v>
      </c>
      <c r="AR394">
        <f t="shared" si="181"/>
        <v>0</v>
      </c>
      <c r="AS394">
        <f t="shared" si="182"/>
        <v>0</v>
      </c>
      <c r="AT394">
        <f t="shared" si="183"/>
        <v>0</v>
      </c>
      <c r="AU394">
        <f t="shared" si="184"/>
        <v>1</v>
      </c>
      <c r="AV394">
        <f t="shared" si="185"/>
        <v>1</v>
      </c>
      <c r="AW394">
        <f t="shared" si="186"/>
        <v>0</v>
      </c>
      <c r="AX394">
        <f t="shared" si="187"/>
        <v>0</v>
      </c>
      <c r="AY394">
        <f t="shared" si="188"/>
        <v>0</v>
      </c>
      <c r="AZ394">
        <f t="shared" si="189"/>
        <v>0</v>
      </c>
      <c r="BA394">
        <f t="shared" si="190"/>
        <v>0</v>
      </c>
      <c r="BB394">
        <f t="shared" si="191"/>
        <v>1</v>
      </c>
      <c r="BC394">
        <f t="shared" si="192"/>
        <v>1</v>
      </c>
      <c r="BD394">
        <f t="shared" si="193"/>
        <v>40000</v>
      </c>
      <c r="BE394">
        <f t="shared" si="194"/>
        <v>0</v>
      </c>
      <c r="BF394">
        <f t="shared" si="195"/>
        <v>40000</v>
      </c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1:256" s="201" customFormat="1" ht="14.25" x14ac:dyDescent="0.2">
      <c r="A395" s="10">
        <v>3400</v>
      </c>
      <c r="B395" s="11" t="s">
        <v>1035</v>
      </c>
      <c r="C395" s="105" t="s">
        <v>1036</v>
      </c>
      <c r="D395" s="11" t="s">
        <v>147</v>
      </c>
      <c r="E395" s="12">
        <v>20201</v>
      </c>
      <c r="F395" s="202">
        <v>6</v>
      </c>
      <c r="G395" s="11">
        <v>60000</v>
      </c>
      <c r="H395" s="116">
        <v>0</v>
      </c>
      <c r="I395" s="192"/>
      <c r="J395" s="204"/>
      <c r="K395" s="193"/>
      <c r="L395" s="193"/>
      <c r="M395" s="193"/>
      <c r="N395" s="203">
        <f t="shared" si="168"/>
        <v>60000</v>
      </c>
      <c r="O395" s="203">
        <f t="shared" si="169"/>
        <v>60000</v>
      </c>
      <c r="P395" s="203">
        <f t="shared" si="170"/>
        <v>60000</v>
      </c>
      <c r="Q395" s="214">
        <v>45660</v>
      </c>
      <c r="R395" s="215"/>
      <c r="S395" s="218">
        <v>45631</v>
      </c>
      <c r="T395" s="205"/>
      <c r="U395" s="205"/>
      <c r="V395" s="216" t="s">
        <v>1131</v>
      </c>
      <c r="W395" s="212"/>
      <c r="X395" s="10">
        <v>7</v>
      </c>
      <c r="Y395" s="10">
        <v>7</v>
      </c>
      <c r="Z395" s="213">
        <f t="shared" si="171"/>
        <v>60000</v>
      </c>
      <c r="AA395" s="62"/>
      <c r="AB395" s="62"/>
      <c r="AC395" s="62"/>
      <c r="AD395" s="62"/>
      <c r="AE395" s="62"/>
      <c r="AF395" s="63"/>
      <c r="AG395" s="64"/>
      <c r="AH395" s="6">
        <v>1</v>
      </c>
      <c r="AI395">
        <f t="shared" si="172"/>
        <v>15</v>
      </c>
      <c r="AJ395">
        <f t="shared" si="173"/>
        <v>25</v>
      </c>
      <c r="AK395">
        <f t="shared" si="174"/>
        <v>0</v>
      </c>
      <c r="AL395">
        <f t="shared" si="175"/>
        <v>0</v>
      </c>
      <c r="AM395">
        <f t="shared" si="176"/>
        <v>0</v>
      </c>
      <c r="AN395">
        <f t="shared" si="177"/>
        <v>0</v>
      </c>
      <c r="AO395">
        <f t="shared" si="178"/>
        <v>0</v>
      </c>
      <c r="AP395">
        <f t="shared" si="179"/>
        <v>0</v>
      </c>
      <c r="AQ395">
        <f t="shared" si="180"/>
        <v>0</v>
      </c>
      <c r="AR395">
        <f t="shared" si="181"/>
        <v>0</v>
      </c>
      <c r="AS395">
        <f t="shared" si="182"/>
        <v>0</v>
      </c>
      <c r="AT395">
        <f t="shared" si="183"/>
        <v>0</v>
      </c>
      <c r="AU395">
        <f t="shared" si="184"/>
        <v>1</v>
      </c>
      <c r="AV395">
        <f t="shared" si="185"/>
        <v>1</v>
      </c>
      <c r="AW395">
        <f t="shared" si="186"/>
        <v>0</v>
      </c>
      <c r="AX395">
        <f t="shared" si="187"/>
        <v>0</v>
      </c>
      <c r="AY395">
        <f t="shared" si="188"/>
        <v>0</v>
      </c>
      <c r="AZ395">
        <f t="shared" si="189"/>
        <v>0</v>
      </c>
      <c r="BA395">
        <f t="shared" si="190"/>
        <v>0</v>
      </c>
      <c r="BB395">
        <f t="shared" si="191"/>
        <v>1</v>
      </c>
      <c r="BC395">
        <f t="shared" si="192"/>
        <v>1</v>
      </c>
      <c r="BD395">
        <f t="shared" si="193"/>
        <v>60000</v>
      </c>
      <c r="BE395">
        <f t="shared" si="194"/>
        <v>0</v>
      </c>
      <c r="BF395">
        <f t="shared" si="195"/>
        <v>60000</v>
      </c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1:256" s="201" customFormat="1" ht="14.25" x14ac:dyDescent="0.2">
      <c r="A396" s="10">
        <v>3401</v>
      </c>
      <c r="B396" s="11" t="s">
        <v>1037</v>
      </c>
      <c r="C396" s="105" t="s">
        <v>1038</v>
      </c>
      <c r="D396" s="11" t="s">
        <v>105</v>
      </c>
      <c r="E396" s="12">
        <v>20219</v>
      </c>
      <c r="F396" s="202">
        <v>6</v>
      </c>
      <c r="G396" s="11">
        <v>60000</v>
      </c>
      <c r="H396" s="116">
        <v>0</v>
      </c>
      <c r="I396" s="192"/>
      <c r="J396" s="204"/>
      <c r="K396" s="193"/>
      <c r="L396" s="193"/>
      <c r="M396" s="193"/>
      <c r="N396" s="203">
        <f t="shared" si="168"/>
        <v>60000</v>
      </c>
      <c r="O396" s="203">
        <f t="shared" si="169"/>
        <v>60000</v>
      </c>
      <c r="P396" s="203">
        <f t="shared" si="170"/>
        <v>60000</v>
      </c>
      <c r="Q396" s="214">
        <v>45659</v>
      </c>
      <c r="R396" s="215"/>
      <c r="S396" s="218">
        <v>45631</v>
      </c>
      <c r="T396" s="205"/>
      <c r="U396" s="205"/>
      <c r="V396" s="216" t="s">
        <v>1131</v>
      </c>
      <c r="W396" s="212"/>
      <c r="X396" s="10">
        <v>7</v>
      </c>
      <c r="Y396" s="10">
        <v>7</v>
      </c>
      <c r="Z396" s="213">
        <f t="shared" si="171"/>
        <v>60000</v>
      </c>
      <c r="AA396" s="62"/>
      <c r="AB396" s="62"/>
      <c r="AC396" s="62"/>
      <c r="AD396" s="62"/>
      <c r="AE396" s="62"/>
      <c r="AF396" s="63"/>
      <c r="AG396" s="64"/>
      <c r="AH396" s="6">
        <v>1</v>
      </c>
      <c r="AI396">
        <f t="shared" si="172"/>
        <v>15</v>
      </c>
      <c r="AJ396">
        <f t="shared" si="173"/>
        <v>25</v>
      </c>
      <c r="AK396">
        <f t="shared" si="174"/>
        <v>0</v>
      </c>
      <c r="AL396">
        <f t="shared" si="175"/>
        <v>0</v>
      </c>
      <c r="AM396">
        <f t="shared" si="176"/>
        <v>0</v>
      </c>
      <c r="AN396">
        <f t="shared" si="177"/>
        <v>0</v>
      </c>
      <c r="AO396">
        <f t="shared" si="178"/>
        <v>0</v>
      </c>
      <c r="AP396">
        <f t="shared" si="179"/>
        <v>0</v>
      </c>
      <c r="AQ396">
        <f t="shared" si="180"/>
        <v>0</v>
      </c>
      <c r="AR396">
        <f t="shared" si="181"/>
        <v>0</v>
      </c>
      <c r="AS396">
        <f t="shared" si="182"/>
        <v>0</v>
      </c>
      <c r="AT396">
        <f t="shared" si="183"/>
        <v>0</v>
      </c>
      <c r="AU396">
        <f t="shared" si="184"/>
        <v>1</v>
      </c>
      <c r="AV396">
        <f t="shared" si="185"/>
        <v>1</v>
      </c>
      <c r="AW396">
        <f t="shared" si="186"/>
        <v>0</v>
      </c>
      <c r="AX396">
        <f t="shared" si="187"/>
        <v>0</v>
      </c>
      <c r="AY396">
        <f t="shared" si="188"/>
        <v>0</v>
      </c>
      <c r="AZ396">
        <f t="shared" si="189"/>
        <v>0</v>
      </c>
      <c r="BA396">
        <f t="shared" si="190"/>
        <v>0</v>
      </c>
      <c r="BB396">
        <f t="shared" si="191"/>
        <v>1</v>
      </c>
      <c r="BC396">
        <f t="shared" si="192"/>
        <v>1</v>
      </c>
      <c r="BD396">
        <f t="shared" si="193"/>
        <v>60000</v>
      </c>
      <c r="BE396">
        <f t="shared" si="194"/>
        <v>0</v>
      </c>
      <c r="BF396">
        <f t="shared" si="195"/>
        <v>60000</v>
      </c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1:256" s="201" customFormat="1" ht="14.25" x14ac:dyDescent="0.2">
      <c r="A397" s="10">
        <v>3402</v>
      </c>
      <c r="B397" s="11" t="s">
        <v>1039</v>
      </c>
      <c r="C397" s="105" t="s">
        <v>1040</v>
      </c>
      <c r="D397" s="11" t="s">
        <v>105</v>
      </c>
      <c r="E397" s="12">
        <v>20215</v>
      </c>
      <c r="F397" s="202">
        <v>6</v>
      </c>
      <c r="G397" s="11">
        <v>60000</v>
      </c>
      <c r="H397" s="116">
        <v>0</v>
      </c>
      <c r="I397" s="192"/>
      <c r="J397" s="204"/>
      <c r="K397" s="193"/>
      <c r="L397" s="193"/>
      <c r="M397" s="193"/>
      <c r="N397" s="203">
        <f t="shared" si="168"/>
        <v>60000</v>
      </c>
      <c r="O397" s="203">
        <f t="shared" si="169"/>
        <v>60000</v>
      </c>
      <c r="P397" s="203">
        <f t="shared" si="170"/>
        <v>60000</v>
      </c>
      <c r="Q397" s="214"/>
      <c r="R397" s="215"/>
      <c r="S397" s="218">
        <v>45648</v>
      </c>
      <c r="T397" s="205"/>
      <c r="U397" s="205"/>
      <c r="V397" s="216"/>
      <c r="W397" s="212"/>
      <c r="X397" s="10">
        <v>7</v>
      </c>
      <c r="Y397" s="10">
        <v>7</v>
      </c>
      <c r="Z397" s="213">
        <f t="shared" si="171"/>
        <v>60000</v>
      </c>
      <c r="AA397" s="62"/>
      <c r="AB397" s="62"/>
      <c r="AC397" s="62"/>
      <c r="AD397" s="62"/>
      <c r="AE397" s="62"/>
      <c r="AF397" s="63"/>
      <c r="AG397" s="64"/>
      <c r="AH397" s="6">
        <v>1</v>
      </c>
      <c r="AI397">
        <f t="shared" si="172"/>
        <v>15</v>
      </c>
      <c r="AJ397">
        <f t="shared" si="173"/>
        <v>25</v>
      </c>
      <c r="AK397">
        <f t="shared" si="174"/>
        <v>0</v>
      </c>
      <c r="AL397">
        <f t="shared" si="175"/>
        <v>0</v>
      </c>
      <c r="AM397">
        <f t="shared" si="176"/>
        <v>0</v>
      </c>
      <c r="AN397">
        <f t="shared" si="177"/>
        <v>0</v>
      </c>
      <c r="AO397">
        <f t="shared" si="178"/>
        <v>0</v>
      </c>
      <c r="AP397">
        <f t="shared" si="179"/>
        <v>0</v>
      </c>
      <c r="AQ397">
        <f t="shared" si="180"/>
        <v>0</v>
      </c>
      <c r="AR397">
        <f t="shared" si="181"/>
        <v>0</v>
      </c>
      <c r="AS397">
        <f t="shared" si="182"/>
        <v>0</v>
      </c>
      <c r="AT397">
        <f t="shared" si="183"/>
        <v>0</v>
      </c>
      <c r="AU397">
        <f t="shared" si="184"/>
        <v>1</v>
      </c>
      <c r="AV397">
        <f t="shared" si="185"/>
        <v>1</v>
      </c>
      <c r="AW397">
        <f t="shared" si="186"/>
        <v>0</v>
      </c>
      <c r="AX397">
        <f t="shared" si="187"/>
        <v>0</v>
      </c>
      <c r="AY397">
        <f t="shared" si="188"/>
        <v>0</v>
      </c>
      <c r="AZ397">
        <f t="shared" si="189"/>
        <v>0</v>
      </c>
      <c r="BA397">
        <f t="shared" si="190"/>
        <v>0</v>
      </c>
      <c r="BB397">
        <f t="shared" si="191"/>
        <v>1</v>
      </c>
      <c r="BC397">
        <f t="shared" si="192"/>
        <v>1</v>
      </c>
      <c r="BD397">
        <f t="shared" si="193"/>
        <v>60000</v>
      </c>
      <c r="BE397">
        <f t="shared" si="194"/>
        <v>0</v>
      </c>
      <c r="BF397">
        <f t="shared" si="195"/>
        <v>60000</v>
      </c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1:256" s="201" customFormat="1" ht="14.25" x14ac:dyDescent="0.2">
      <c r="A398" s="10">
        <v>3404</v>
      </c>
      <c r="B398" s="11" t="s">
        <v>1041</v>
      </c>
      <c r="C398" s="105" t="s">
        <v>1042</v>
      </c>
      <c r="D398" s="11" t="s">
        <v>173</v>
      </c>
      <c r="E398" s="12">
        <v>20270</v>
      </c>
      <c r="F398" s="202">
        <v>6</v>
      </c>
      <c r="G398" s="11">
        <v>60000</v>
      </c>
      <c r="H398" s="116">
        <v>0</v>
      </c>
      <c r="I398" s="192"/>
      <c r="J398" s="204"/>
      <c r="K398" s="193"/>
      <c r="L398" s="193"/>
      <c r="M398" s="193"/>
      <c r="N398" s="203">
        <f t="shared" si="168"/>
        <v>60000</v>
      </c>
      <c r="O398" s="203">
        <f t="shared" si="169"/>
        <v>60000</v>
      </c>
      <c r="P398" s="203">
        <f t="shared" si="170"/>
        <v>60000</v>
      </c>
      <c r="Q398" s="214">
        <v>45664</v>
      </c>
      <c r="R398" s="215"/>
      <c r="S398" s="218">
        <v>45631</v>
      </c>
      <c r="T398" s="205"/>
      <c r="U398" s="205"/>
      <c r="V398" s="216" t="s">
        <v>1131</v>
      </c>
      <c r="W398" s="212"/>
      <c r="X398" s="10">
        <v>7</v>
      </c>
      <c r="Y398" s="10">
        <v>7</v>
      </c>
      <c r="Z398" s="213">
        <f t="shared" si="171"/>
        <v>60000</v>
      </c>
      <c r="AA398" s="62"/>
      <c r="AB398" s="62"/>
      <c r="AC398" s="62"/>
      <c r="AD398" s="62"/>
      <c r="AE398" s="62"/>
      <c r="AF398" s="63"/>
      <c r="AG398" s="64"/>
      <c r="AH398" s="6">
        <v>1</v>
      </c>
      <c r="AI398">
        <f t="shared" si="172"/>
        <v>15</v>
      </c>
      <c r="AJ398">
        <f t="shared" si="173"/>
        <v>25</v>
      </c>
      <c r="AK398">
        <f t="shared" si="174"/>
        <v>0</v>
      </c>
      <c r="AL398">
        <f t="shared" si="175"/>
        <v>0</v>
      </c>
      <c r="AM398">
        <f t="shared" si="176"/>
        <v>0</v>
      </c>
      <c r="AN398">
        <f t="shared" si="177"/>
        <v>0</v>
      </c>
      <c r="AO398">
        <f t="shared" si="178"/>
        <v>0</v>
      </c>
      <c r="AP398">
        <f t="shared" si="179"/>
        <v>0</v>
      </c>
      <c r="AQ398">
        <f t="shared" si="180"/>
        <v>0</v>
      </c>
      <c r="AR398">
        <f t="shared" si="181"/>
        <v>0</v>
      </c>
      <c r="AS398">
        <f t="shared" si="182"/>
        <v>0</v>
      </c>
      <c r="AT398">
        <f t="shared" si="183"/>
        <v>0</v>
      </c>
      <c r="AU398">
        <f t="shared" si="184"/>
        <v>1</v>
      </c>
      <c r="AV398">
        <f t="shared" si="185"/>
        <v>1</v>
      </c>
      <c r="AW398">
        <f t="shared" si="186"/>
        <v>0</v>
      </c>
      <c r="AX398">
        <f t="shared" si="187"/>
        <v>0</v>
      </c>
      <c r="AY398">
        <f t="shared" si="188"/>
        <v>0</v>
      </c>
      <c r="AZ398">
        <f t="shared" si="189"/>
        <v>0</v>
      </c>
      <c r="BA398">
        <f t="shared" si="190"/>
        <v>0</v>
      </c>
      <c r="BB398">
        <f t="shared" si="191"/>
        <v>1</v>
      </c>
      <c r="BC398">
        <f t="shared" si="192"/>
        <v>1</v>
      </c>
      <c r="BD398">
        <f t="shared" si="193"/>
        <v>60000</v>
      </c>
      <c r="BE398">
        <f t="shared" si="194"/>
        <v>0</v>
      </c>
      <c r="BF398">
        <f t="shared" si="195"/>
        <v>60000</v>
      </c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1:256" s="201" customFormat="1" ht="14.25" x14ac:dyDescent="0.2">
      <c r="A399" s="10">
        <v>3407</v>
      </c>
      <c r="B399" s="11" t="s">
        <v>1043</v>
      </c>
      <c r="C399" s="105" t="s">
        <v>1044</v>
      </c>
      <c r="D399" s="11" t="s">
        <v>173</v>
      </c>
      <c r="E399" s="12">
        <v>20224</v>
      </c>
      <c r="F399" s="202">
        <v>6</v>
      </c>
      <c r="G399" s="11">
        <v>80000</v>
      </c>
      <c r="H399" s="116">
        <v>0</v>
      </c>
      <c r="I399" s="192"/>
      <c r="J399" s="204"/>
      <c r="K399" s="193"/>
      <c r="L399" s="193"/>
      <c r="M399" s="193"/>
      <c r="N399" s="203">
        <f t="shared" si="168"/>
        <v>80000</v>
      </c>
      <c r="O399" s="203">
        <f t="shared" si="169"/>
        <v>80000</v>
      </c>
      <c r="P399" s="203">
        <f t="shared" si="170"/>
        <v>80000</v>
      </c>
      <c r="Q399" s="214"/>
      <c r="R399" s="215"/>
      <c r="S399" s="218">
        <v>45643</v>
      </c>
      <c r="T399" s="205"/>
      <c r="U399" s="205"/>
      <c r="V399" s="216"/>
      <c r="W399" s="212"/>
      <c r="X399" s="10">
        <v>7</v>
      </c>
      <c r="Y399" s="10">
        <v>7</v>
      </c>
      <c r="Z399" s="213">
        <f t="shared" si="171"/>
        <v>80000</v>
      </c>
      <c r="AA399" s="62"/>
      <c r="AB399" s="62"/>
      <c r="AC399" s="62"/>
      <c r="AD399" s="62"/>
      <c r="AE399" s="62"/>
      <c r="AF399" s="63"/>
      <c r="AG399" s="64"/>
      <c r="AH399" s="6">
        <v>1</v>
      </c>
      <c r="AI399">
        <f t="shared" si="172"/>
        <v>15</v>
      </c>
      <c r="AJ399">
        <f t="shared" si="173"/>
        <v>25</v>
      </c>
      <c r="AK399">
        <f t="shared" si="174"/>
        <v>0</v>
      </c>
      <c r="AL399">
        <f t="shared" si="175"/>
        <v>0</v>
      </c>
      <c r="AM399">
        <f t="shared" si="176"/>
        <v>0</v>
      </c>
      <c r="AN399">
        <f t="shared" si="177"/>
        <v>0</v>
      </c>
      <c r="AO399">
        <f t="shared" si="178"/>
        <v>0</v>
      </c>
      <c r="AP399">
        <f t="shared" si="179"/>
        <v>0</v>
      </c>
      <c r="AQ399">
        <f t="shared" si="180"/>
        <v>0</v>
      </c>
      <c r="AR399">
        <f t="shared" si="181"/>
        <v>0</v>
      </c>
      <c r="AS399">
        <f t="shared" si="182"/>
        <v>0</v>
      </c>
      <c r="AT399">
        <f t="shared" si="183"/>
        <v>0</v>
      </c>
      <c r="AU399">
        <f t="shared" si="184"/>
        <v>1</v>
      </c>
      <c r="AV399">
        <f t="shared" si="185"/>
        <v>1</v>
      </c>
      <c r="AW399">
        <f t="shared" si="186"/>
        <v>0</v>
      </c>
      <c r="AX399">
        <f t="shared" si="187"/>
        <v>0</v>
      </c>
      <c r="AY399">
        <f t="shared" si="188"/>
        <v>0</v>
      </c>
      <c r="AZ399">
        <f t="shared" si="189"/>
        <v>0</v>
      </c>
      <c r="BA399">
        <f t="shared" si="190"/>
        <v>0</v>
      </c>
      <c r="BB399">
        <f t="shared" si="191"/>
        <v>1</v>
      </c>
      <c r="BC399">
        <f t="shared" si="192"/>
        <v>1</v>
      </c>
      <c r="BD399">
        <f t="shared" si="193"/>
        <v>80000</v>
      </c>
      <c r="BE399">
        <f t="shared" si="194"/>
        <v>0</v>
      </c>
      <c r="BF399">
        <f t="shared" si="195"/>
        <v>80000</v>
      </c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1:256" s="201" customFormat="1" ht="14.25" x14ac:dyDescent="0.2">
      <c r="A400" s="10">
        <v>3408</v>
      </c>
      <c r="B400" s="11" t="s">
        <v>1045</v>
      </c>
      <c r="C400" s="105" t="s">
        <v>1046</v>
      </c>
      <c r="D400" s="11" t="s">
        <v>105</v>
      </c>
      <c r="E400" s="12">
        <v>20230</v>
      </c>
      <c r="F400" s="202">
        <v>6</v>
      </c>
      <c r="G400" s="11">
        <v>60000</v>
      </c>
      <c r="H400" s="116">
        <v>0</v>
      </c>
      <c r="I400" s="192"/>
      <c r="J400" s="204"/>
      <c r="K400" s="193"/>
      <c r="L400" s="193"/>
      <c r="M400" s="193"/>
      <c r="N400" s="203">
        <f t="shared" si="168"/>
        <v>60000</v>
      </c>
      <c r="O400" s="203">
        <f t="shared" si="169"/>
        <v>60000</v>
      </c>
      <c r="P400" s="203">
        <f t="shared" si="170"/>
        <v>60000</v>
      </c>
      <c r="Q400" s="214"/>
      <c r="R400" s="215"/>
      <c r="S400" s="218">
        <v>45646</v>
      </c>
      <c r="T400" s="205"/>
      <c r="U400" s="205"/>
      <c r="V400" s="216"/>
      <c r="W400" s="212"/>
      <c r="X400" s="10">
        <v>7</v>
      </c>
      <c r="Y400" s="10">
        <v>7</v>
      </c>
      <c r="Z400" s="213">
        <f t="shared" si="171"/>
        <v>60000</v>
      </c>
      <c r="AA400" s="62"/>
      <c r="AB400" s="62"/>
      <c r="AC400" s="62"/>
      <c r="AD400" s="62"/>
      <c r="AE400" s="62"/>
      <c r="AF400" s="63"/>
      <c r="AG400" s="64"/>
      <c r="AH400" s="6">
        <v>1</v>
      </c>
      <c r="AI400">
        <f t="shared" si="172"/>
        <v>15</v>
      </c>
      <c r="AJ400">
        <f t="shared" si="173"/>
        <v>25</v>
      </c>
      <c r="AK400">
        <f t="shared" si="174"/>
        <v>0</v>
      </c>
      <c r="AL400">
        <f t="shared" si="175"/>
        <v>0</v>
      </c>
      <c r="AM400">
        <f t="shared" si="176"/>
        <v>0</v>
      </c>
      <c r="AN400">
        <f t="shared" si="177"/>
        <v>0</v>
      </c>
      <c r="AO400">
        <f t="shared" si="178"/>
        <v>0</v>
      </c>
      <c r="AP400">
        <f t="shared" si="179"/>
        <v>0</v>
      </c>
      <c r="AQ400">
        <f t="shared" si="180"/>
        <v>0</v>
      </c>
      <c r="AR400">
        <f t="shared" si="181"/>
        <v>0</v>
      </c>
      <c r="AS400">
        <f t="shared" si="182"/>
        <v>0</v>
      </c>
      <c r="AT400">
        <f t="shared" si="183"/>
        <v>0</v>
      </c>
      <c r="AU400">
        <f t="shared" si="184"/>
        <v>1</v>
      </c>
      <c r="AV400">
        <f t="shared" si="185"/>
        <v>1</v>
      </c>
      <c r="AW400">
        <f t="shared" si="186"/>
        <v>0</v>
      </c>
      <c r="AX400">
        <f t="shared" si="187"/>
        <v>0</v>
      </c>
      <c r="AY400">
        <f t="shared" si="188"/>
        <v>0</v>
      </c>
      <c r="AZ400">
        <f t="shared" si="189"/>
        <v>0</v>
      </c>
      <c r="BA400">
        <f t="shared" si="190"/>
        <v>0</v>
      </c>
      <c r="BB400">
        <f t="shared" si="191"/>
        <v>1</v>
      </c>
      <c r="BC400">
        <f t="shared" si="192"/>
        <v>1</v>
      </c>
      <c r="BD400">
        <f t="shared" si="193"/>
        <v>60000</v>
      </c>
      <c r="BE400">
        <f t="shared" si="194"/>
        <v>0</v>
      </c>
      <c r="BF400">
        <f t="shared" si="195"/>
        <v>60000</v>
      </c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 spans="1:256" s="201" customFormat="1" ht="14.25" x14ac:dyDescent="0.2">
      <c r="A401" s="10">
        <v>3409</v>
      </c>
      <c r="B401" s="11" t="s">
        <v>1047</v>
      </c>
      <c r="C401" s="105" t="s">
        <v>1048</v>
      </c>
      <c r="D401" s="11" t="s">
        <v>259</v>
      </c>
      <c r="E401" s="12">
        <v>20227</v>
      </c>
      <c r="F401" s="202">
        <v>6</v>
      </c>
      <c r="G401" s="11">
        <v>120000</v>
      </c>
      <c r="H401" s="116">
        <v>-120000</v>
      </c>
      <c r="I401" s="192"/>
      <c r="J401" s="204"/>
      <c r="K401" s="193"/>
      <c r="L401" s="193"/>
      <c r="M401" s="193"/>
      <c r="N401" s="203">
        <f t="shared" si="168"/>
        <v>120000</v>
      </c>
      <c r="O401" s="203">
        <f t="shared" si="169"/>
        <v>0</v>
      </c>
      <c r="P401" s="203">
        <f t="shared" si="170"/>
        <v>0</v>
      </c>
      <c r="Q401" s="214"/>
      <c r="R401" s="215"/>
      <c r="S401" s="218">
        <v>45638</v>
      </c>
      <c r="T401" s="205"/>
      <c r="U401" s="205"/>
      <c r="V401" s="216"/>
      <c r="W401" s="212"/>
      <c r="X401" s="10">
        <v>7</v>
      </c>
      <c r="Y401" s="10">
        <v>7</v>
      </c>
      <c r="Z401" s="213">
        <f t="shared" si="171"/>
        <v>120000</v>
      </c>
      <c r="AA401" s="62"/>
      <c r="AB401" s="62"/>
      <c r="AC401" s="62"/>
      <c r="AD401" s="62"/>
      <c r="AE401" s="62"/>
      <c r="AF401" s="63"/>
      <c r="AG401" s="64"/>
      <c r="AH401" s="6">
        <v>1</v>
      </c>
      <c r="AI401">
        <f t="shared" si="172"/>
        <v>15</v>
      </c>
      <c r="AJ401">
        <f t="shared" si="173"/>
        <v>15</v>
      </c>
      <c r="AK401">
        <f t="shared" si="174"/>
        <v>0</v>
      </c>
      <c r="AL401">
        <f t="shared" si="175"/>
        <v>0</v>
      </c>
      <c r="AM401">
        <f t="shared" si="176"/>
        <v>0</v>
      </c>
      <c r="AN401">
        <f t="shared" si="177"/>
        <v>0</v>
      </c>
      <c r="AO401">
        <f t="shared" si="178"/>
        <v>0</v>
      </c>
      <c r="AP401">
        <f t="shared" si="179"/>
        <v>0</v>
      </c>
      <c r="AQ401">
        <f t="shared" si="180"/>
        <v>0</v>
      </c>
      <c r="AR401">
        <f t="shared" si="181"/>
        <v>0</v>
      </c>
      <c r="AS401">
        <f t="shared" si="182"/>
        <v>0</v>
      </c>
      <c r="AT401">
        <f t="shared" si="183"/>
        <v>0</v>
      </c>
      <c r="AU401">
        <f t="shared" si="184"/>
        <v>0</v>
      </c>
      <c r="AV401">
        <f t="shared" si="185"/>
        <v>0</v>
      </c>
      <c r="AW401">
        <f t="shared" si="186"/>
        <v>0</v>
      </c>
      <c r="AX401">
        <f t="shared" si="187"/>
        <v>0</v>
      </c>
      <c r="AY401">
        <f t="shared" si="188"/>
        <v>0</v>
      </c>
      <c r="AZ401">
        <f t="shared" si="189"/>
        <v>0</v>
      </c>
      <c r="BA401">
        <f t="shared" si="190"/>
        <v>0</v>
      </c>
      <c r="BB401">
        <f t="shared" si="191"/>
        <v>0</v>
      </c>
      <c r="BC401">
        <f t="shared" si="192"/>
        <v>0</v>
      </c>
      <c r="BD401">
        <f t="shared" si="193"/>
        <v>0</v>
      </c>
      <c r="BE401">
        <f t="shared" si="194"/>
        <v>0</v>
      </c>
      <c r="BF401">
        <f t="shared" si="195"/>
        <v>0</v>
      </c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</row>
    <row r="402" spans="1:256" s="201" customFormat="1" ht="14.25" x14ac:dyDescent="0.2">
      <c r="A402" s="10">
        <v>3410</v>
      </c>
      <c r="B402" s="11" t="s">
        <v>1049</v>
      </c>
      <c r="C402" s="105" t="s">
        <v>1050</v>
      </c>
      <c r="D402" s="11" t="s">
        <v>105</v>
      </c>
      <c r="E402" s="12">
        <v>20231</v>
      </c>
      <c r="F402" s="202">
        <v>6</v>
      </c>
      <c r="G402" s="11">
        <v>60000</v>
      </c>
      <c r="H402" s="116">
        <v>0</v>
      </c>
      <c r="I402" s="192"/>
      <c r="J402" s="204"/>
      <c r="K402" s="193"/>
      <c r="L402" s="193"/>
      <c r="M402" s="193"/>
      <c r="N402" s="203">
        <f t="shared" si="168"/>
        <v>60000</v>
      </c>
      <c r="O402" s="203">
        <f t="shared" si="169"/>
        <v>60000</v>
      </c>
      <c r="P402" s="203">
        <f t="shared" si="170"/>
        <v>60000</v>
      </c>
      <c r="Q402" s="214"/>
      <c r="R402" s="215"/>
      <c r="S402" s="218">
        <v>45645</v>
      </c>
      <c r="T402" s="205"/>
      <c r="U402" s="205"/>
      <c r="V402" s="216"/>
      <c r="W402" s="212"/>
      <c r="X402" s="10">
        <v>7</v>
      </c>
      <c r="Y402" s="10">
        <v>7</v>
      </c>
      <c r="Z402" s="213">
        <f t="shared" si="171"/>
        <v>60000</v>
      </c>
      <c r="AA402" s="62"/>
      <c r="AB402" s="62"/>
      <c r="AC402" s="62"/>
      <c r="AD402" s="62"/>
      <c r="AE402" s="62"/>
      <c r="AF402" s="63"/>
      <c r="AG402" s="64"/>
      <c r="AH402" s="6">
        <v>1</v>
      </c>
      <c r="AI402">
        <f t="shared" si="172"/>
        <v>15</v>
      </c>
      <c r="AJ402">
        <f t="shared" si="173"/>
        <v>25</v>
      </c>
      <c r="AK402">
        <f t="shared" si="174"/>
        <v>0</v>
      </c>
      <c r="AL402">
        <f t="shared" si="175"/>
        <v>0</v>
      </c>
      <c r="AM402">
        <f t="shared" si="176"/>
        <v>0</v>
      </c>
      <c r="AN402">
        <f t="shared" si="177"/>
        <v>0</v>
      </c>
      <c r="AO402">
        <f t="shared" si="178"/>
        <v>0</v>
      </c>
      <c r="AP402">
        <f t="shared" si="179"/>
        <v>0</v>
      </c>
      <c r="AQ402">
        <f t="shared" si="180"/>
        <v>0</v>
      </c>
      <c r="AR402">
        <f t="shared" si="181"/>
        <v>0</v>
      </c>
      <c r="AS402">
        <f t="shared" si="182"/>
        <v>0</v>
      </c>
      <c r="AT402">
        <f t="shared" si="183"/>
        <v>0</v>
      </c>
      <c r="AU402">
        <f t="shared" si="184"/>
        <v>1</v>
      </c>
      <c r="AV402">
        <f t="shared" si="185"/>
        <v>1</v>
      </c>
      <c r="AW402">
        <f t="shared" si="186"/>
        <v>0</v>
      </c>
      <c r="AX402">
        <f t="shared" si="187"/>
        <v>0</v>
      </c>
      <c r="AY402">
        <f t="shared" si="188"/>
        <v>0</v>
      </c>
      <c r="AZ402">
        <f t="shared" si="189"/>
        <v>0</v>
      </c>
      <c r="BA402">
        <f t="shared" si="190"/>
        <v>0</v>
      </c>
      <c r="BB402">
        <f t="shared" si="191"/>
        <v>1</v>
      </c>
      <c r="BC402">
        <f t="shared" si="192"/>
        <v>1</v>
      </c>
      <c r="BD402">
        <f t="shared" si="193"/>
        <v>60000</v>
      </c>
      <c r="BE402">
        <f t="shared" si="194"/>
        <v>0</v>
      </c>
      <c r="BF402">
        <f t="shared" si="195"/>
        <v>60000</v>
      </c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</row>
    <row r="403" spans="1:256" s="201" customFormat="1" ht="14.25" x14ac:dyDescent="0.2">
      <c r="A403" s="10">
        <v>3412</v>
      </c>
      <c r="B403" s="11" t="s">
        <v>1051</v>
      </c>
      <c r="C403" s="105" t="s">
        <v>1052</v>
      </c>
      <c r="D403" s="11" t="s">
        <v>106</v>
      </c>
      <c r="E403" s="12">
        <v>20229</v>
      </c>
      <c r="F403" s="202">
        <v>6</v>
      </c>
      <c r="G403" s="11">
        <v>150000</v>
      </c>
      <c r="H403" s="116">
        <v>0</v>
      </c>
      <c r="I403" s="192"/>
      <c r="J403" s="204"/>
      <c r="K403" s="193"/>
      <c r="L403" s="193"/>
      <c r="M403" s="193"/>
      <c r="N403" s="203">
        <f t="shared" si="168"/>
        <v>150000</v>
      </c>
      <c r="O403" s="203">
        <f t="shared" si="169"/>
        <v>150000</v>
      </c>
      <c r="P403" s="203">
        <f t="shared" si="170"/>
        <v>150000</v>
      </c>
      <c r="Q403" s="214"/>
      <c r="R403" s="215"/>
      <c r="S403" s="218">
        <v>45633</v>
      </c>
      <c r="T403" s="205"/>
      <c r="U403" s="205"/>
      <c r="V403" s="216"/>
      <c r="W403" s="212"/>
      <c r="X403" s="10">
        <v>7</v>
      </c>
      <c r="Y403" s="10">
        <v>7</v>
      </c>
      <c r="Z403" s="213">
        <f t="shared" si="171"/>
        <v>150000</v>
      </c>
      <c r="AA403" s="62"/>
      <c r="AB403" s="62"/>
      <c r="AC403" s="62"/>
      <c r="AD403" s="62"/>
      <c r="AE403" s="62"/>
      <c r="AF403" s="63"/>
      <c r="AG403" s="64"/>
      <c r="AH403" s="6">
        <v>1</v>
      </c>
      <c r="AI403">
        <f t="shared" si="172"/>
        <v>15</v>
      </c>
      <c r="AJ403">
        <f t="shared" si="173"/>
        <v>25</v>
      </c>
      <c r="AK403">
        <f t="shared" si="174"/>
        <v>0</v>
      </c>
      <c r="AL403">
        <f t="shared" si="175"/>
        <v>0</v>
      </c>
      <c r="AM403">
        <f t="shared" si="176"/>
        <v>0</v>
      </c>
      <c r="AN403">
        <f t="shared" si="177"/>
        <v>0</v>
      </c>
      <c r="AO403">
        <f t="shared" si="178"/>
        <v>0</v>
      </c>
      <c r="AP403">
        <f t="shared" si="179"/>
        <v>0</v>
      </c>
      <c r="AQ403">
        <f t="shared" si="180"/>
        <v>0</v>
      </c>
      <c r="AR403">
        <f t="shared" si="181"/>
        <v>0</v>
      </c>
      <c r="AS403">
        <f t="shared" si="182"/>
        <v>0</v>
      </c>
      <c r="AT403">
        <f t="shared" si="183"/>
        <v>0</v>
      </c>
      <c r="AU403">
        <f t="shared" si="184"/>
        <v>1</v>
      </c>
      <c r="AV403">
        <f t="shared" si="185"/>
        <v>1</v>
      </c>
      <c r="AW403">
        <f t="shared" si="186"/>
        <v>0</v>
      </c>
      <c r="AX403">
        <f t="shared" si="187"/>
        <v>0</v>
      </c>
      <c r="AY403">
        <f t="shared" si="188"/>
        <v>0</v>
      </c>
      <c r="AZ403">
        <f t="shared" si="189"/>
        <v>0</v>
      </c>
      <c r="BA403">
        <f t="shared" si="190"/>
        <v>0</v>
      </c>
      <c r="BB403">
        <f t="shared" si="191"/>
        <v>1</v>
      </c>
      <c r="BC403">
        <f t="shared" si="192"/>
        <v>1</v>
      </c>
      <c r="BD403">
        <f t="shared" si="193"/>
        <v>150000</v>
      </c>
      <c r="BE403">
        <f t="shared" si="194"/>
        <v>0</v>
      </c>
      <c r="BF403">
        <f t="shared" si="195"/>
        <v>150000</v>
      </c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</row>
    <row r="404" spans="1:256" s="201" customFormat="1" ht="14.25" x14ac:dyDescent="0.2">
      <c r="A404" s="10">
        <v>3413</v>
      </c>
      <c r="B404" s="11" t="s">
        <v>1053</v>
      </c>
      <c r="C404" s="105" t="s">
        <v>1054</v>
      </c>
      <c r="D404" s="11" t="s">
        <v>105</v>
      </c>
      <c r="E404" s="12">
        <v>20237</v>
      </c>
      <c r="F404" s="202">
        <v>6</v>
      </c>
      <c r="G404" s="11">
        <v>160000</v>
      </c>
      <c r="H404" s="116">
        <v>0</v>
      </c>
      <c r="I404" s="192"/>
      <c r="J404" s="204"/>
      <c r="K404" s="193"/>
      <c r="L404" s="193"/>
      <c r="M404" s="193"/>
      <c r="N404" s="203">
        <f t="shared" si="168"/>
        <v>160000</v>
      </c>
      <c r="O404" s="203">
        <f t="shared" si="169"/>
        <v>160000</v>
      </c>
      <c r="P404" s="203">
        <f t="shared" si="170"/>
        <v>160000</v>
      </c>
      <c r="Q404" s="214"/>
      <c r="R404" s="215"/>
      <c r="S404" s="218">
        <v>45646</v>
      </c>
      <c r="T404" s="205"/>
      <c r="U404" s="205"/>
      <c r="V404" s="216"/>
      <c r="W404" s="212"/>
      <c r="X404" s="10">
        <v>7</v>
      </c>
      <c r="Y404" s="10">
        <v>7</v>
      </c>
      <c r="Z404" s="213">
        <f t="shared" si="171"/>
        <v>160000</v>
      </c>
      <c r="AA404" s="62"/>
      <c r="AB404" s="62"/>
      <c r="AC404" s="62"/>
      <c r="AD404" s="62"/>
      <c r="AE404" s="62"/>
      <c r="AF404" s="63"/>
      <c r="AG404" s="64"/>
      <c r="AH404" s="6">
        <v>1</v>
      </c>
      <c r="AI404">
        <f t="shared" si="172"/>
        <v>15</v>
      </c>
      <c r="AJ404">
        <f t="shared" si="173"/>
        <v>25</v>
      </c>
      <c r="AK404">
        <f t="shared" si="174"/>
        <v>0</v>
      </c>
      <c r="AL404">
        <f t="shared" si="175"/>
        <v>0</v>
      </c>
      <c r="AM404">
        <f t="shared" si="176"/>
        <v>0</v>
      </c>
      <c r="AN404">
        <f t="shared" si="177"/>
        <v>0</v>
      </c>
      <c r="AO404">
        <f t="shared" si="178"/>
        <v>0</v>
      </c>
      <c r="AP404">
        <f t="shared" si="179"/>
        <v>0</v>
      </c>
      <c r="AQ404">
        <f t="shared" si="180"/>
        <v>0</v>
      </c>
      <c r="AR404">
        <f t="shared" si="181"/>
        <v>0</v>
      </c>
      <c r="AS404">
        <f t="shared" si="182"/>
        <v>0</v>
      </c>
      <c r="AT404">
        <f t="shared" si="183"/>
        <v>0</v>
      </c>
      <c r="AU404">
        <f t="shared" si="184"/>
        <v>1</v>
      </c>
      <c r="AV404">
        <f t="shared" si="185"/>
        <v>1</v>
      </c>
      <c r="AW404">
        <f t="shared" si="186"/>
        <v>0</v>
      </c>
      <c r="AX404">
        <f t="shared" si="187"/>
        <v>0</v>
      </c>
      <c r="AY404">
        <f t="shared" si="188"/>
        <v>0</v>
      </c>
      <c r="AZ404">
        <f t="shared" si="189"/>
        <v>0</v>
      </c>
      <c r="BA404">
        <f t="shared" si="190"/>
        <v>0</v>
      </c>
      <c r="BB404">
        <f t="shared" si="191"/>
        <v>1</v>
      </c>
      <c r="BC404">
        <f t="shared" si="192"/>
        <v>1</v>
      </c>
      <c r="BD404">
        <f t="shared" si="193"/>
        <v>160000</v>
      </c>
      <c r="BE404">
        <f t="shared" si="194"/>
        <v>0</v>
      </c>
      <c r="BF404">
        <f t="shared" si="195"/>
        <v>160000</v>
      </c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</row>
    <row r="405" spans="1:256" s="201" customFormat="1" ht="14.25" x14ac:dyDescent="0.2">
      <c r="A405" s="10">
        <v>3414</v>
      </c>
      <c r="B405" s="11" t="s">
        <v>1055</v>
      </c>
      <c r="C405" s="105" t="s">
        <v>1056</v>
      </c>
      <c r="D405" s="11" t="s">
        <v>106</v>
      </c>
      <c r="E405" s="12">
        <v>20238</v>
      </c>
      <c r="F405" s="202">
        <v>6</v>
      </c>
      <c r="G405" s="11">
        <v>150000</v>
      </c>
      <c r="H405" s="116">
        <v>0</v>
      </c>
      <c r="I405" s="192"/>
      <c r="J405" s="204"/>
      <c r="K405" s="193"/>
      <c r="L405" s="193"/>
      <c r="M405" s="193"/>
      <c r="N405" s="203">
        <f t="shared" si="168"/>
        <v>150000</v>
      </c>
      <c r="O405" s="203">
        <f t="shared" si="169"/>
        <v>150000</v>
      </c>
      <c r="P405" s="203">
        <f t="shared" si="170"/>
        <v>150000</v>
      </c>
      <c r="Q405" s="214">
        <v>45664</v>
      </c>
      <c r="R405" s="215"/>
      <c r="S405" s="218">
        <v>45630</v>
      </c>
      <c r="T405" s="205"/>
      <c r="U405" s="205"/>
      <c r="V405" s="216" t="s">
        <v>1131</v>
      </c>
      <c r="W405" s="212"/>
      <c r="X405" s="10">
        <v>7</v>
      </c>
      <c r="Y405" s="10">
        <v>7</v>
      </c>
      <c r="Z405" s="213">
        <f t="shared" si="171"/>
        <v>150000</v>
      </c>
      <c r="AA405" s="62"/>
      <c r="AB405" s="62"/>
      <c r="AC405" s="62"/>
      <c r="AD405" s="62"/>
      <c r="AE405" s="62"/>
      <c r="AF405" s="63"/>
      <c r="AG405" s="64"/>
      <c r="AH405" s="6">
        <v>1</v>
      </c>
      <c r="AI405">
        <f t="shared" si="172"/>
        <v>15</v>
      </c>
      <c r="AJ405">
        <f t="shared" si="173"/>
        <v>25</v>
      </c>
      <c r="AK405">
        <f t="shared" si="174"/>
        <v>0</v>
      </c>
      <c r="AL405">
        <f t="shared" si="175"/>
        <v>0</v>
      </c>
      <c r="AM405">
        <f t="shared" si="176"/>
        <v>0</v>
      </c>
      <c r="AN405">
        <f t="shared" si="177"/>
        <v>0</v>
      </c>
      <c r="AO405">
        <f t="shared" si="178"/>
        <v>0</v>
      </c>
      <c r="AP405">
        <f t="shared" si="179"/>
        <v>0</v>
      </c>
      <c r="AQ405">
        <f t="shared" si="180"/>
        <v>0</v>
      </c>
      <c r="AR405">
        <f t="shared" si="181"/>
        <v>0</v>
      </c>
      <c r="AS405">
        <f t="shared" si="182"/>
        <v>0</v>
      </c>
      <c r="AT405">
        <f t="shared" si="183"/>
        <v>0</v>
      </c>
      <c r="AU405">
        <f t="shared" si="184"/>
        <v>1</v>
      </c>
      <c r="AV405">
        <f t="shared" si="185"/>
        <v>1</v>
      </c>
      <c r="AW405">
        <f t="shared" si="186"/>
        <v>0</v>
      </c>
      <c r="AX405">
        <f t="shared" si="187"/>
        <v>0</v>
      </c>
      <c r="AY405">
        <f t="shared" si="188"/>
        <v>0</v>
      </c>
      <c r="AZ405">
        <f t="shared" si="189"/>
        <v>0</v>
      </c>
      <c r="BA405">
        <f t="shared" si="190"/>
        <v>0</v>
      </c>
      <c r="BB405">
        <f t="shared" si="191"/>
        <v>1</v>
      </c>
      <c r="BC405">
        <f t="shared" si="192"/>
        <v>1</v>
      </c>
      <c r="BD405">
        <f t="shared" si="193"/>
        <v>150000</v>
      </c>
      <c r="BE405">
        <f t="shared" si="194"/>
        <v>0</v>
      </c>
      <c r="BF405">
        <f t="shared" si="195"/>
        <v>150000</v>
      </c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</row>
    <row r="406" spans="1:256" s="201" customFormat="1" ht="14.25" x14ac:dyDescent="0.2">
      <c r="A406" s="10">
        <v>3415</v>
      </c>
      <c r="B406" s="11" t="s">
        <v>1057</v>
      </c>
      <c r="C406" s="105" t="s">
        <v>1058</v>
      </c>
      <c r="D406" s="11" t="s">
        <v>105</v>
      </c>
      <c r="E406" s="12">
        <v>20226</v>
      </c>
      <c r="F406" s="202">
        <v>6</v>
      </c>
      <c r="G406" s="11">
        <v>50000</v>
      </c>
      <c r="H406" s="116">
        <v>50000</v>
      </c>
      <c r="I406" s="192"/>
      <c r="J406" s="204"/>
      <c r="K406" s="193"/>
      <c r="L406" s="193"/>
      <c r="M406" s="193"/>
      <c r="N406" s="203">
        <f t="shared" si="168"/>
        <v>100000</v>
      </c>
      <c r="O406" s="203">
        <f t="shared" si="169"/>
        <v>100000</v>
      </c>
      <c r="P406" s="203">
        <f t="shared" si="170"/>
        <v>100000</v>
      </c>
      <c r="Q406" s="214"/>
      <c r="R406" s="215"/>
      <c r="S406" s="218">
        <v>45646</v>
      </c>
      <c r="T406" s="205"/>
      <c r="U406" s="205"/>
      <c r="V406" s="216"/>
      <c r="W406" s="212" t="s">
        <v>1140</v>
      </c>
      <c r="X406" s="10">
        <v>7</v>
      </c>
      <c r="Y406" s="10">
        <v>7</v>
      </c>
      <c r="Z406" s="213">
        <f t="shared" si="171"/>
        <v>100000</v>
      </c>
      <c r="AA406" s="62"/>
      <c r="AB406" s="62"/>
      <c r="AC406" s="62"/>
      <c r="AD406" s="62"/>
      <c r="AE406" s="62"/>
      <c r="AF406" s="63"/>
      <c r="AG406" s="64"/>
      <c r="AH406" s="6">
        <v>1</v>
      </c>
      <c r="AI406">
        <f t="shared" si="172"/>
        <v>15</v>
      </c>
      <c r="AJ406">
        <f t="shared" si="173"/>
        <v>25</v>
      </c>
      <c r="AK406">
        <f t="shared" si="174"/>
        <v>0</v>
      </c>
      <c r="AL406">
        <f t="shared" si="175"/>
        <v>0</v>
      </c>
      <c r="AM406">
        <f t="shared" si="176"/>
        <v>0</v>
      </c>
      <c r="AN406">
        <f t="shared" si="177"/>
        <v>0</v>
      </c>
      <c r="AO406">
        <f t="shared" si="178"/>
        <v>0</v>
      </c>
      <c r="AP406">
        <f t="shared" si="179"/>
        <v>0</v>
      </c>
      <c r="AQ406">
        <f t="shared" si="180"/>
        <v>0</v>
      </c>
      <c r="AR406">
        <f t="shared" si="181"/>
        <v>0</v>
      </c>
      <c r="AS406">
        <f t="shared" si="182"/>
        <v>0</v>
      </c>
      <c r="AT406">
        <f t="shared" si="183"/>
        <v>0</v>
      </c>
      <c r="AU406">
        <f t="shared" si="184"/>
        <v>1</v>
      </c>
      <c r="AV406">
        <f t="shared" si="185"/>
        <v>1</v>
      </c>
      <c r="AW406">
        <f t="shared" si="186"/>
        <v>0</v>
      </c>
      <c r="AX406">
        <f t="shared" si="187"/>
        <v>0</v>
      </c>
      <c r="AY406">
        <f t="shared" si="188"/>
        <v>0</v>
      </c>
      <c r="AZ406">
        <f t="shared" si="189"/>
        <v>0</v>
      </c>
      <c r="BA406">
        <f t="shared" si="190"/>
        <v>0</v>
      </c>
      <c r="BB406">
        <f t="shared" si="191"/>
        <v>1</v>
      </c>
      <c r="BC406">
        <f t="shared" si="192"/>
        <v>1</v>
      </c>
      <c r="BD406">
        <f t="shared" si="193"/>
        <v>100000</v>
      </c>
      <c r="BE406">
        <f t="shared" si="194"/>
        <v>0</v>
      </c>
      <c r="BF406">
        <f t="shared" si="195"/>
        <v>100000</v>
      </c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</row>
    <row r="407" spans="1:256" s="201" customFormat="1" ht="14.25" x14ac:dyDescent="0.2">
      <c r="A407" s="10">
        <v>3416</v>
      </c>
      <c r="B407" s="11" t="s">
        <v>1059</v>
      </c>
      <c r="C407" s="105" t="s">
        <v>1060</v>
      </c>
      <c r="D407" s="11" t="s">
        <v>106</v>
      </c>
      <c r="E407" s="12">
        <v>20235</v>
      </c>
      <c r="F407" s="202">
        <v>6</v>
      </c>
      <c r="G407" s="11">
        <v>40000</v>
      </c>
      <c r="H407" s="116">
        <v>-40000</v>
      </c>
      <c r="I407" s="192"/>
      <c r="J407" s="204"/>
      <c r="K407" s="193"/>
      <c r="L407" s="193"/>
      <c r="M407" s="193"/>
      <c r="N407" s="203">
        <f t="shared" si="168"/>
        <v>40000</v>
      </c>
      <c r="O407" s="203">
        <f t="shared" si="169"/>
        <v>0</v>
      </c>
      <c r="P407" s="203">
        <f t="shared" si="170"/>
        <v>0</v>
      </c>
      <c r="Q407" s="214"/>
      <c r="R407" s="215"/>
      <c r="S407" s="218">
        <v>45635</v>
      </c>
      <c r="T407" s="205"/>
      <c r="U407" s="205"/>
      <c r="V407" s="216"/>
      <c r="W407" s="212"/>
      <c r="X407" s="10">
        <v>7</v>
      </c>
      <c r="Y407" s="10">
        <v>7</v>
      </c>
      <c r="Z407" s="213">
        <f t="shared" si="171"/>
        <v>40000</v>
      </c>
      <c r="AA407" s="62"/>
      <c r="AB407" s="62"/>
      <c r="AC407" s="62"/>
      <c r="AD407" s="62"/>
      <c r="AE407" s="62"/>
      <c r="AF407" s="63"/>
      <c r="AG407" s="64"/>
      <c r="AH407" s="6">
        <v>1</v>
      </c>
      <c r="AI407">
        <f t="shared" si="172"/>
        <v>15</v>
      </c>
      <c r="AJ407">
        <f t="shared" si="173"/>
        <v>15</v>
      </c>
      <c r="AK407">
        <f t="shared" si="174"/>
        <v>0</v>
      </c>
      <c r="AL407">
        <f t="shared" si="175"/>
        <v>0</v>
      </c>
      <c r="AM407">
        <f t="shared" si="176"/>
        <v>0</v>
      </c>
      <c r="AN407">
        <f t="shared" si="177"/>
        <v>0</v>
      </c>
      <c r="AO407">
        <f t="shared" si="178"/>
        <v>0</v>
      </c>
      <c r="AP407">
        <f t="shared" si="179"/>
        <v>0</v>
      </c>
      <c r="AQ407">
        <f t="shared" si="180"/>
        <v>0</v>
      </c>
      <c r="AR407">
        <f t="shared" si="181"/>
        <v>0</v>
      </c>
      <c r="AS407">
        <f t="shared" si="182"/>
        <v>0</v>
      </c>
      <c r="AT407">
        <f t="shared" si="183"/>
        <v>0</v>
      </c>
      <c r="AU407">
        <f t="shared" si="184"/>
        <v>0</v>
      </c>
      <c r="AV407">
        <f t="shared" si="185"/>
        <v>0</v>
      </c>
      <c r="AW407">
        <f t="shared" si="186"/>
        <v>0</v>
      </c>
      <c r="AX407">
        <f t="shared" si="187"/>
        <v>0</v>
      </c>
      <c r="AY407">
        <f t="shared" si="188"/>
        <v>0</v>
      </c>
      <c r="AZ407">
        <f t="shared" si="189"/>
        <v>0</v>
      </c>
      <c r="BA407">
        <f t="shared" si="190"/>
        <v>0</v>
      </c>
      <c r="BB407">
        <f t="shared" si="191"/>
        <v>0</v>
      </c>
      <c r="BC407">
        <f t="shared" si="192"/>
        <v>0</v>
      </c>
      <c r="BD407">
        <f t="shared" si="193"/>
        <v>0</v>
      </c>
      <c r="BE407">
        <f t="shared" si="194"/>
        <v>0</v>
      </c>
      <c r="BF407">
        <f t="shared" si="195"/>
        <v>0</v>
      </c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</row>
    <row r="408" spans="1:256" s="201" customFormat="1" ht="14.25" x14ac:dyDescent="0.2">
      <c r="A408" s="10">
        <v>3417</v>
      </c>
      <c r="B408" s="11" t="s">
        <v>1061</v>
      </c>
      <c r="C408" s="105" t="s">
        <v>1062</v>
      </c>
      <c r="D408" s="11" t="s">
        <v>106</v>
      </c>
      <c r="E408" s="12">
        <v>20239</v>
      </c>
      <c r="F408" s="202">
        <v>5</v>
      </c>
      <c r="G408" s="11">
        <v>200000</v>
      </c>
      <c r="H408" s="116">
        <v>0</v>
      </c>
      <c r="I408" s="192"/>
      <c r="J408" s="204"/>
      <c r="K408" s="193"/>
      <c r="L408" s="193"/>
      <c r="M408" s="193"/>
      <c r="N408" s="203">
        <f t="shared" si="168"/>
        <v>200000</v>
      </c>
      <c r="O408" s="203">
        <f t="shared" si="169"/>
        <v>200000</v>
      </c>
      <c r="P408" s="203">
        <f t="shared" si="170"/>
        <v>200000</v>
      </c>
      <c r="Q408" s="214"/>
      <c r="R408" s="215"/>
      <c r="S408" s="218">
        <v>45636</v>
      </c>
      <c r="T408" s="205"/>
      <c r="U408" s="205"/>
      <c r="V408" s="216"/>
      <c r="W408" s="212"/>
      <c r="X408" s="10">
        <v>7</v>
      </c>
      <c r="Y408" s="10">
        <v>7</v>
      </c>
      <c r="Z408" s="213">
        <f t="shared" si="171"/>
        <v>200000</v>
      </c>
      <c r="AA408" s="62"/>
      <c r="AB408" s="62"/>
      <c r="AC408" s="62"/>
      <c r="AD408" s="62"/>
      <c r="AE408" s="62"/>
      <c r="AF408" s="63"/>
      <c r="AG408" s="64"/>
      <c r="AH408" s="6">
        <v>1</v>
      </c>
      <c r="AI408">
        <f t="shared" si="172"/>
        <v>15</v>
      </c>
      <c r="AJ408">
        <f t="shared" si="173"/>
        <v>25</v>
      </c>
      <c r="AK408">
        <f t="shared" si="174"/>
        <v>0</v>
      </c>
      <c r="AL408">
        <f t="shared" si="175"/>
        <v>0</v>
      </c>
      <c r="AM408">
        <f t="shared" si="176"/>
        <v>0</v>
      </c>
      <c r="AN408">
        <f t="shared" si="177"/>
        <v>0</v>
      </c>
      <c r="AO408">
        <f t="shared" si="178"/>
        <v>0</v>
      </c>
      <c r="AP408">
        <f t="shared" si="179"/>
        <v>0</v>
      </c>
      <c r="AQ408">
        <f t="shared" si="180"/>
        <v>0</v>
      </c>
      <c r="AR408">
        <f t="shared" si="181"/>
        <v>0</v>
      </c>
      <c r="AS408">
        <f t="shared" si="182"/>
        <v>0</v>
      </c>
      <c r="AT408">
        <f t="shared" si="183"/>
        <v>0</v>
      </c>
      <c r="AU408">
        <f t="shared" si="184"/>
        <v>1</v>
      </c>
      <c r="AV408">
        <f t="shared" si="185"/>
        <v>1</v>
      </c>
      <c r="AW408">
        <f t="shared" si="186"/>
        <v>0</v>
      </c>
      <c r="AX408">
        <f t="shared" si="187"/>
        <v>0</v>
      </c>
      <c r="AY408">
        <f t="shared" si="188"/>
        <v>0</v>
      </c>
      <c r="AZ408">
        <f t="shared" si="189"/>
        <v>0</v>
      </c>
      <c r="BA408">
        <f t="shared" si="190"/>
        <v>0</v>
      </c>
      <c r="BB408">
        <f t="shared" si="191"/>
        <v>1</v>
      </c>
      <c r="BC408">
        <f t="shared" si="192"/>
        <v>1</v>
      </c>
      <c r="BD408">
        <f t="shared" si="193"/>
        <v>200000</v>
      </c>
      <c r="BE408">
        <f t="shared" si="194"/>
        <v>0</v>
      </c>
      <c r="BF408">
        <f t="shared" si="195"/>
        <v>200000</v>
      </c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</row>
    <row r="409" spans="1:256" s="201" customFormat="1" ht="14.25" x14ac:dyDescent="0.2">
      <c r="A409" s="10">
        <v>3418</v>
      </c>
      <c r="B409" s="11" t="s">
        <v>1063</v>
      </c>
      <c r="C409" s="105" t="s">
        <v>1064</v>
      </c>
      <c r="D409" s="11" t="s">
        <v>105</v>
      </c>
      <c r="E409" s="12">
        <v>20242</v>
      </c>
      <c r="F409" s="202">
        <v>5</v>
      </c>
      <c r="G409" s="11">
        <v>90000</v>
      </c>
      <c r="H409" s="116">
        <v>0</v>
      </c>
      <c r="I409" s="192"/>
      <c r="J409" s="204"/>
      <c r="K409" s="193"/>
      <c r="L409" s="193"/>
      <c r="M409" s="193"/>
      <c r="N409" s="203">
        <f t="shared" si="168"/>
        <v>90000</v>
      </c>
      <c r="O409" s="203">
        <f t="shared" si="169"/>
        <v>90000</v>
      </c>
      <c r="P409" s="203">
        <f t="shared" si="170"/>
        <v>90000</v>
      </c>
      <c r="Q409" s="214"/>
      <c r="R409" s="215"/>
      <c r="S409" s="218">
        <v>45631</v>
      </c>
      <c r="T409" s="205"/>
      <c r="U409" s="205"/>
      <c r="V409" s="216"/>
      <c r="W409" s="212" t="s">
        <v>1141</v>
      </c>
      <c r="X409" s="10">
        <v>7</v>
      </c>
      <c r="Y409" s="10">
        <v>7</v>
      </c>
      <c r="Z409" s="213">
        <f t="shared" si="171"/>
        <v>90000</v>
      </c>
      <c r="AA409" s="62"/>
      <c r="AB409" s="62"/>
      <c r="AC409" s="62"/>
      <c r="AD409" s="62"/>
      <c r="AE409" s="62"/>
      <c r="AF409" s="63"/>
      <c r="AG409" s="64"/>
      <c r="AH409" s="6">
        <v>1</v>
      </c>
      <c r="AI409">
        <f t="shared" si="172"/>
        <v>15</v>
      </c>
      <c r="AJ409">
        <f t="shared" si="173"/>
        <v>25</v>
      </c>
      <c r="AK409">
        <f t="shared" si="174"/>
        <v>0</v>
      </c>
      <c r="AL409">
        <f t="shared" si="175"/>
        <v>0</v>
      </c>
      <c r="AM409">
        <f t="shared" si="176"/>
        <v>0</v>
      </c>
      <c r="AN409">
        <f t="shared" si="177"/>
        <v>0</v>
      </c>
      <c r="AO409">
        <f t="shared" si="178"/>
        <v>0</v>
      </c>
      <c r="AP409">
        <f t="shared" si="179"/>
        <v>0</v>
      </c>
      <c r="AQ409">
        <f t="shared" si="180"/>
        <v>0</v>
      </c>
      <c r="AR409">
        <f t="shared" si="181"/>
        <v>0</v>
      </c>
      <c r="AS409">
        <f t="shared" si="182"/>
        <v>0</v>
      </c>
      <c r="AT409">
        <f t="shared" si="183"/>
        <v>0</v>
      </c>
      <c r="AU409">
        <f t="shared" si="184"/>
        <v>1</v>
      </c>
      <c r="AV409">
        <f t="shared" si="185"/>
        <v>1</v>
      </c>
      <c r="AW409">
        <f t="shared" si="186"/>
        <v>0</v>
      </c>
      <c r="AX409">
        <f t="shared" si="187"/>
        <v>0</v>
      </c>
      <c r="AY409">
        <f t="shared" si="188"/>
        <v>0</v>
      </c>
      <c r="AZ409">
        <f t="shared" si="189"/>
        <v>0</v>
      </c>
      <c r="BA409">
        <f t="shared" si="190"/>
        <v>0</v>
      </c>
      <c r="BB409">
        <f t="shared" si="191"/>
        <v>1</v>
      </c>
      <c r="BC409">
        <f t="shared" si="192"/>
        <v>1</v>
      </c>
      <c r="BD409">
        <f t="shared" si="193"/>
        <v>90000</v>
      </c>
      <c r="BE409">
        <f t="shared" si="194"/>
        <v>0</v>
      </c>
      <c r="BF409">
        <f t="shared" si="195"/>
        <v>90000</v>
      </c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</row>
    <row r="410" spans="1:256" s="201" customFormat="1" ht="14.25" x14ac:dyDescent="0.2">
      <c r="A410" s="10">
        <v>3420</v>
      </c>
      <c r="B410" s="11" t="s">
        <v>1065</v>
      </c>
      <c r="C410" s="105" t="s">
        <v>1066</v>
      </c>
      <c r="D410" s="11" t="s">
        <v>147</v>
      </c>
      <c r="E410" s="12">
        <v>20233</v>
      </c>
      <c r="F410" s="202">
        <v>5</v>
      </c>
      <c r="G410" s="11">
        <v>160000</v>
      </c>
      <c r="H410" s="116">
        <v>0</v>
      </c>
      <c r="I410" s="192"/>
      <c r="J410" s="204"/>
      <c r="K410" s="193"/>
      <c r="L410" s="193"/>
      <c r="M410" s="193"/>
      <c r="N410" s="203">
        <f t="shared" si="168"/>
        <v>160000</v>
      </c>
      <c r="O410" s="203">
        <f t="shared" si="169"/>
        <v>160000</v>
      </c>
      <c r="P410" s="203">
        <f t="shared" si="170"/>
        <v>160000</v>
      </c>
      <c r="Q410" s="214">
        <v>45663</v>
      </c>
      <c r="R410" s="215"/>
      <c r="S410" s="218">
        <v>45635</v>
      </c>
      <c r="T410" s="205"/>
      <c r="U410" s="205"/>
      <c r="V410" s="216" t="s">
        <v>1134</v>
      </c>
      <c r="W410" s="212"/>
      <c r="X410" s="10">
        <v>7</v>
      </c>
      <c r="Y410" s="10">
        <v>7</v>
      </c>
      <c r="Z410" s="213">
        <f t="shared" si="171"/>
        <v>160000</v>
      </c>
      <c r="AA410" s="62"/>
      <c r="AB410" s="62"/>
      <c r="AC410" s="62"/>
      <c r="AD410" s="62"/>
      <c r="AE410" s="62"/>
      <c r="AF410" s="63"/>
      <c r="AG410" s="64"/>
      <c r="AH410" s="6">
        <v>1</v>
      </c>
      <c r="AI410">
        <f t="shared" si="172"/>
        <v>15</v>
      </c>
      <c r="AJ410">
        <f t="shared" si="173"/>
        <v>25</v>
      </c>
      <c r="AK410">
        <f t="shared" si="174"/>
        <v>0</v>
      </c>
      <c r="AL410">
        <f t="shared" si="175"/>
        <v>0</v>
      </c>
      <c r="AM410">
        <f t="shared" si="176"/>
        <v>0</v>
      </c>
      <c r="AN410">
        <f t="shared" si="177"/>
        <v>0</v>
      </c>
      <c r="AO410">
        <f t="shared" si="178"/>
        <v>0</v>
      </c>
      <c r="AP410">
        <f t="shared" si="179"/>
        <v>0</v>
      </c>
      <c r="AQ410">
        <f t="shared" si="180"/>
        <v>0</v>
      </c>
      <c r="AR410">
        <f t="shared" si="181"/>
        <v>0</v>
      </c>
      <c r="AS410">
        <f t="shared" si="182"/>
        <v>0</v>
      </c>
      <c r="AT410">
        <f t="shared" si="183"/>
        <v>0</v>
      </c>
      <c r="AU410">
        <f t="shared" si="184"/>
        <v>1</v>
      </c>
      <c r="AV410">
        <f t="shared" si="185"/>
        <v>1</v>
      </c>
      <c r="AW410">
        <f t="shared" si="186"/>
        <v>0</v>
      </c>
      <c r="AX410">
        <f t="shared" si="187"/>
        <v>0</v>
      </c>
      <c r="AY410">
        <f t="shared" si="188"/>
        <v>0</v>
      </c>
      <c r="AZ410">
        <f t="shared" si="189"/>
        <v>0</v>
      </c>
      <c r="BA410">
        <f t="shared" si="190"/>
        <v>0</v>
      </c>
      <c r="BB410">
        <f t="shared" si="191"/>
        <v>1</v>
      </c>
      <c r="BC410">
        <f t="shared" si="192"/>
        <v>1</v>
      </c>
      <c r="BD410">
        <f t="shared" si="193"/>
        <v>160000</v>
      </c>
      <c r="BE410">
        <f t="shared" si="194"/>
        <v>0</v>
      </c>
      <c r="BF410">
        <f t="shared" si="195"/>
        <v>160000</v>
      </c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</row>
    <row r="411" spans="1:256" s="201" customFormat="1" ht="14.25" x14ac:dyDescent="0.2">
      <c r="A411" s="10">
        <v>3421</v>
      </c>
      <c r="B411" s="11" t="s">
        <v>1065</v>
      </c>
      <c r="C411" s="105" t="s">
        <v>1066</v>
      </c>
      <c r="D411" s="11" t="s">
        <v>147</v>
      </c>
      <c r="E411" s="12">
        <v>20234</v>
      </c>
      <c r="F411" s="202">
        <v>5</v>
      </c>
      <c r="G411" s="11">
        <v>160000</v>
      </c>
      <c r="H411" s="116">
        <v>0</v>
      </c>
      <c r="I411" s="192"/>
      <c r="J411" s="204"/>
      <c r="K411" s="193"/>
      <c r="L411" s="193"/>
      <c r="M411" s="193"/>
      <c r="N411" s="203">
        <f t="shared" si="168"/>
        <v>160000</v>
      </c>
      <c r="O411" s="203">
        <f t="shared" si="169"/>
        <v>160000</v>
      </c>
      <c r="P411" s="203">
        <f t="shared" si="170"/>
        <v>160000</v>
      </c>
      <c r="Q411" s="214">
        <v>45663</v>
      </c>
      <c r="R411" s="215"/>
      <c r="S411" s="218">
        <v>45635</v>
      </c>
      <c r="T411" s="205"/>
      <c r="U411" s="205"/>
      <c r="V411" s="216" t="s">
        <v>1134</v>
      </c>
      <c r="W411" s="212"/>
      <c r="X411" s="10">
        <v>7</v>
      </c>
      <c r="Y411" s="10">
        <v>7</v>
      </c>
      <c r="Z411" s="213">
        <f t="shared" si="171"/>
        <v>160000</v>
      </c>
      <c r="AA411" s="62"/>
      <c r="AB411" s="62"/>
      <c r="AC411" s="62"/>
      <c r="AD411" s="62"/>
      <c r="AE411" s="62"/>
      <c r="AF411" s="63"/>
      <c r="AG411" s="64"/>
      <c r="AH411" s="6">
        <v>1</v>
      </c>
      <c r="AI411">
        <f t="shared" si="172"/>
        <v>15</v>
      </c>
      <c r="AJ411">
        <f t="shared" si="173"/>
        <v>25</v>
      </c>
      <c r="AK411">
        <f t="shared" si="174"/>
        <v>0</v>
      </c>
      <c r="AL411">
        <f t="shared" si="175"/>
        <v>0</v>
      </c>
      <c r="AM411">
        <f t="shared" si="176"/>
        <v>0</v>
      </c>
      <c r="AN411">
        <f t="shared" si="177"/>
        <v>0</v>
      </c>
      <c r="AO411">
        <f t="shared" si="178"/>
        <v>0</v>
      </c>
      <c r="AP411">
        <f t="shared" si="179"/>
        <v>0</v>
      </c>
      <c r="AQ411">
        <f t="shared" si="180"/>
        <v>0</v>
      </c>
      <c r="AR411">
        <f t="shared" si="181"/>
        <v>0</v>
      </c>
      <c r="AS411">
        <f t="shared" si="182"/>
        <v>0</v>
      </c>
      <c r="AT411">
        <f t="shared" si="183"/>
        <v>0</v>
      </c>
      <c r="AU411">
        <f t="shared" si="184"/>
        <v>1</v>
      </c>
      <c r="AV411">
        <f t="shared" si="185"/>
        <v>1</v>
      </c>
      <c r="AW411">
        <f t="shared" si="186"/>
        <v>0</v>
      </c>
      <c r="AX411">
        <f t="shared" si="187"/>
        <v>0</v>
      </c>
      <c r="AY411">
        <f t="shared" si="188"/>
        <v>0</v>
      </c>
      <c r="AZ411">
        <f t="shared" si="189"/>
        <v>0</v>
      </c>
      <c r="BA411">
        <f t="shared" si="190"/>
        <v>0</v>
      </c>
      <c r="BB411">
        <f t="shared" si="191"/>
        <v>1</v>
      </c>
      <c r="BC411">
        <f t="shared" si="192"/>
        <v>1</v>
      </c>
      <c r="BD411">
        <f t="shared" si="193"/>
        <v>160000</v>
      </c>
      <c r="BE411">
        <f t="shared" si="194"/>
        <v>0</v>
      </c>
      <c r="BF411">
        <f t="shared" si="195"/>
        <v>160000</v>
      </c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</row>
    <row r="412" spans="1:256" s="201" customFormat="1" ht="14.25" x14ac:dyDescent="0.2">
      <c r="A412" s="10">
        <v>3422</v>
      </c>
      <c r="B412" s="11" t="s">
        <v>1065</v>
      </c>
      <c r="C412" s="105" t="s">
        <v>1066</v>
      </c>
      <c r="D412" s="11" t="s">
        <v>147</v>
      </c>
      <c r="E412" s="12">
        <v>20218</v>
      </c>
      <c r="F412" s="202">
        <v>5</v>
      </c>
      <c r="G412" s="11">
        <v>160000</v>
      </c>
      <c r="H412" s="116">
        <v>0</v>
      </c>
      <c r="I412" s="192"/>
      <c r="J412" s="204"/>
      <c r="K412" s="193"/>
      <c r="L412" s="193"/>
      <c r="M412" s="193"/>
      <c r="N412" s="203">
        <f t="shared" si="168"/>
        <v>160000</v>
      </c>
      <c r="O412" s="203">
        <f t="shared" si="169"/>
        <v>160000</v>
      </c>
      <c r="P412" s="203">
        <f t="shared" si="170"/>
        <v>160000</v>
      </c>
      <c r="Q412" s="214">
        <v>45663</v>
      </c>
      <c r="R412" s="215"/>
      <c r="S412" s="218">
        <v>45635</v>
      </c>
      <c r="T412" s="205"/>
      <c r="U412" s="205"/>
      <c r="V412" s="216" t="s">
        <v>1134</v>
      </c>
      <c r="W412" s="212"/>
      <c r="X412" s="10">
        <v>7</v>
      </c>
      <c r="Y412" s="10">
        <v>7</v>
      </c>
      <c r="Z412" s="213">
        <f t="shared" si="171"/>
        <v>160000</v>
      </c>
      <c r="AA412" s="62"/>
      <c r="AB412" s="62"/>
      <c r="AC412" s="62"/>
      <c r="AD412" s="62"/>
      <c r="AE412" s="62"/>
      <c r="AF412" s="63"/>
      <c r="AG412" s="64"/>
      <c r="AH412" s="6">
        <v>1</v>
      </c>
      <c r="AI412">
        <f t="shared" si="172"/>
        <v>15</v>
      </c>
      <c r="AJ412">
        <f t="shared" si="173"/>
        <v>25</v>
      </c>
      <c r="AK412">
        <f t="shared" si="174"/>
        <v>0</v>
      </c>
      <c r="AL412">
        <f t="shared" si="175"/>
        <v>0</v>
      </c>
      <c r="AM412">
        <f t="shared" si="176"/>
        <v>0</v>
      </c>
      <c r="AN412">
        <f t="shared" si="177"/>
        <v>0</v>
      </c>
      <c r="AO412">
        <f t="shared" si="178"/>
        <v>0</v>
      </c>
      <c r="AP412">
        <f t="shared" si="179"/>
        <v>0</v>
      </c>
      <c r="AQ412">
        <f t="shared" si="180"/>
        <v>0</v>
      </c>
      <c r="AR412">
        <f t="shared" si="181"/>
        <v>0</v>
      </c>
      <c r="AS412">
        <f t="shared" si="182"/>
        <v>0</v>
      </c>
      <c r="AT412">
        <f t="shared" si="183"/>
        <v>0</v>
      </c>
      <c r="AU412">
        <f t="shared" si="184"/>
        <v>1</v>
      </c>
      <c r="AV412">
        <f t="shared" si="185"/>
        <v>1</v>
      </c>
      <c r="AW412">
        <f t="shared" si="186"/>
        <v>0</v>
      </c>
      <c r="AX412">
        <f t="shared" si="187"/>
        <v>0</v>
      </c>
      <c r="AY412">
        <f t="shared" si="188"/>
        <v>0</v>
      </c>
      <c r="AZ412">
        <f t="shared" si="189"/>
        <v>0</v>
      </c>
      <c r="BA412">
        <f t="shared" si="190"/>
        <v>0</v>
      </c>
      <c r="BB412">
        <f t="shared" si="191"/>
        <v>1</v>
      </c>
      <c r="BC412">
        <f t="shared" si="192"/>
        <v>1</v>
      </c>
      <c r="BD412">
        <f t="shared" si="193"/>
        <v>160000</v>
      </c>
      <c r="BE412">
        <f t="shared" si="194"/>
        <v>0</v>
      </c>
      <c r="BF412">
        <f t="shared" si="195"/>
        <v>160000</v>
      </c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</row>
    <row r="413" spans="1:256" s="201" customFormat="1" ht="14.25" x14ac:dyDescent="0.2">
      <c r="A413" s="10">
        <v>3423</v>
      </c>
      <c r="B413" s="11" t="s">
        <v>1067</v>
      </c>
      <c r="C413" s="105" t="s">
        <v>1068</v>
      </c>
      <c r="D413" s="11" t="s">
        <v>106</v>
      </c>
      <c r="E413" s="12">
        <v>20243</v>
      </c>
      <c r="F413" s="202">
        <v>5</v>
      </c>
      <c r="G413" s="11">
        <v>300000</v>
      </c>
      <c r="H413" s="116">
        <v>0</v>
      </c>
      <c r="I413" s="192"/>
      <c r="J413" s="204"/>
      <c r="K413" s="193"/>
      <c r="L413" s="193"/>
      <c r="M413" s="193"/>
      <c r="N413" s="203">
        <f t="shared" si="168"/>
        <v>300000</v>
      </c>
      <c r="O413" s="203">
        <f t="shared" si="169"/>
        <v>300000</v>
      </c>
      <c r="P413" s="203">
        <f t="shared" si="170"/>
        <v>300000</v>
      </c>
      <c r="Q413" s="214"/>
      <c r="R413" s="215"/>
      <c r="S413" s="218">
        <v>45636</v>
      </c>
      <c r="T413" s="205"/>
      <c r="U413" s="205"/>
      <c r="V413" s="216"/>
      <c r="W413" s="212"/>
      <c r="X413" s="10">
        <v>7</v>
      </c>
      <c r="Y413" s="10">
        <v>7</v>
      </c>
      <c r="Z413" s="213">
        <f t="shared" si="171"/>
        <v>300000</v>
      </c>
      <c r="AA413" s="62"/>
      <c r="AB413" s="62"/>
      <c r="AC413" s="62"/>
      <c r="AD413" s="62"/>
      <c r="AE413" s="62"/>
      <c r="AF413" s="63"/>
      <c r="AG413" s="64"/>
      <c r="AH413" s="6">
        <v>1</v>
      </c>
      <c r="AI413">
        <f t="shared" si="172"/>
        <v>15</v>
      </c>
      <c r="AJ413">
        <f t="shared" si="173"/>
        <v>25</v>
      </c>
      <c r="AK413">
        <f t="shared" si="174"/>
        <v>0</v>
      </c>
      <c r="AL413">
        <f t="shared" si="175"/>
        <v>0</v>
      </c>
      <c r="AM413">
        <f t="shared" si="176"/>
        <v>0</v>
      </c>
      <c r="AN413">
        <f t="shared" si="177"/>
        <v>0</v>
      </c>
      <c r="AO413">
        <f t="shared" si="178"/>
        <v>0</v>
      </c>
      <c r="AP413">
        <f t="shared" si="179"/>
        <v>0</v>
      </c>
      <c r="AQ413">
        <f t="shared" si="180"/>
        <v>0</v>
      </c>
      <c r="AR413">
        <f t="shared" si="181"/>
        <v>0</v>
      </c>
      <c r="AS413">
        <f t="shared" si="182"/>
        <v>0</v>
      </c>
      <c r="AT413">
        <f t="shared" si="183"/>
        <v>0</v>
      </c>
      <c r="AU413">
        <f t="shared" si="184"/>
        <v>1</v>
      </c>
      <c r="AV413">
        <f t="shared" si="185"/>
        <v>1</v>
      </c>
      <c r="AW413">
        <f t="shared" si="186"/>
        <v>0</v>
      </c>
      <c r="AX413">
        <f t="shared" si="187"/>
        <v>0</v>
      </c>
      <c r="AY413">
        <f t="shared" si="188"/>
        <v>0</v>
      </c>
      <c r="AZ413">
        <f t="shared" si="189"/>
        <v>0</v>
      </c>
      <c r="BA413">
        <f t="shared" si="190"/>
        <v>0</v>
      </c>
      <c r="BB413">
        <f t="shared" si="191"/>
        <v>1</v>
      </c>
      <c r="BC413">
        <f t="shared" si="192"/>
        <v>1</v>
      </c>
      <c r="BD413">
        <f t="shared" si="193"/>
        <v>300000</v>
      </c>
      <c r="BE413">
        <f t="shared" si="194"/>
        <v>0</v>
      </c>
      <c r="BF413">
        <f t="shared" si="195"/>
        <v>300000</v>
      </c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</row>
    <row r="414" spans="1:256" s="201" customFormat="1" ht="14.25" x14ac:dyDescent="0.2">
      <c r="A414" s="10">
        <v>3424</v>
      </c>
      <c r="B414" s="11" t="s">
        <v>1069</v>
      </c>
      <c r="C414" s="105" t="s">
        <v>1070</v>
      </c>
      <c r="D414" s="11" t="s">
        <v>106</v>
      </c>
      <c r="E414" s="12">
        <v>20232</v>
      </c>
      <c r="F414" s="202">
        <v>5</v>
      </c>
      <c r="G414" s="11">
        <v>150000</v>
      </c>
      <c r="H414" s="116">
        <v>0</v>
      </c>
      <c r="I414" s="192"/>
      <c r="J414" s="204"/>
      <c r="K414" s="193"/>
      <c r="L414" s="193"/>
      <c r="M414" s="193"/>
      <c r="N414" s="203">
        <f t="shared" si="168"/>
        <v>150000</v>
      </c>
      <c r="O414" s="203">
        <f t="shared" si="169"/>
        <v>150000</v>
      </c>
      <c r="P414" s="203">
        <f t="shared" si="170"/>
        <v>150000</v>
      </c>
      <c r="Q414" s="214">
        <v>45659</v>
      </c>
      <c r="R414" s="215"/>
      <c r="S414" s="218">
        <v>45630</v>
      </c>
      <c r="T414" s="205"/>
      <c r="U414" s="205"/>
      <c r="V414" s="216" t="s">
        <v>1131</v>
      </c>
      <c r="W414" s="212"/>
      <c r="X414" s="10">
        <v>7</v>
      </c>
      <c r="Y414" s="10">
        <v>7</v>
      </c>
      <c r="Z414" s="213">
        <f t="shared" si="171"/>
        <v>150000</v>
      </c>
      <c r="AA414" s="62"/>
      <c r="AB414" s="62"/>
      <c r="AC414" s="62"/>
      <c r="AD414" s="62"/>
      <c r="AE414" s="62"/>
      <c r="AF414" s="63"/>
      <c r="AG414" s="64"/>
      <c r="AH414" s="6">
        <v>1</v>
      </c>
      <c r="AI414">
        <f t="shared" si="172"/>
        <v>15</v>
      </c>
      <c r="AJ414">
        <f t="shared" si="173"/>
        <v>25</v>
      </c>
      <c r="AK414">
        <f t="shared" si="174"/>
        <v>0</v>
      </c>
      <c r="AL414">
        <f t="shared" si="175"/>
        <v>0</v>
      </c>
      <c r="AM414">
        <f t="shared" si="176"/>
        <v>0</v>
      </c>
      <c r="AN414">
        <f t="shared" si="177"/>
        <v>0</v>
      </c>
      <c r="AO414">
        <f t="shared" si="178"/>
        <v>0</v>
      </c>
      <c r="AP414">
        <f t="shared" si="179"/>
        <v>0</v>
      </c>
      <c r="AQ414">
        <f t="shared" si="180"/>
        <v>0</v>
      </c>
      <c r="AR414">
        <f t="shared" si="181"/>
        <v>0</v>
      </c>
      <c r="AS414">
        <f t="shared" si="182"/>
        <v>0</v>
      </c>
      <c r="AT414">
        <f t="shared" si="183"/>
        <v>0</v>
      </c>
      <c r="AU414">
        <f t="shared" si="184"/>
        <v>1</v>
      </c>
      <c r="AV414">
        <f t="shared" si="185"/>
        <v>1</v>
      </c>
      <c r="AW414">
        <f t="shared" si="186"/>
        <v>0</v>
      </c>
      <c r="AX414">
        <f t="shared" si="187"/>
        <v>0</v>
      </c>
      <c r="AY414">
        <f t="shared" si="188"/>
        <v>0</v>
      </c>
      <c r="AZ414">
        <f t="shared" si="189"/>
        <v>0</v>
      </c>
      <c r="BA414">
        <f t="shared" si="190"/>
        <v>0</v>
      </c>
      <c r="BB414">
        <f t="shared" si="191"/>
        <v>1</v>
      </c>
      <c r="BC414">
        <f t="shared" si="192"/>
        <v>1</v>
      </c>
      <c r="BD414">
        <f t="shared" si="193"/>
        <v>150000</v>
      </c>
      <c r="BE414">
        <f t="shared" si="194"/>
        <v>0</v>
      </c>
      <c r="BF414">
        <f t="shared" si="195"/>
        <v>150000</v>
      </c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</row>
    <row r="415" spans="1:256" s="201" customFormat="1" ht="14.25" x14ac:dyDescent="0.2">
      <c r="A415" s="10">
        <v>3425</v>
      </c>
      <c r="B415" s="11" t="s">
        <v>1071</v>
      </c>
      <c r="C415" s="105" t="s">
        <v>1072</v>
      </c>
      <c r="D415" s="11" t="s">
        <v>411</v>
      </c>
      <c r="E415" s="12">
        <v>20241</v>
      </c>
      <c r="F415" s="202">
        <v>5</v>
      </c>
      <c r="G415" s="11">
        <v>50000</v>
      </c>
      <c r="H415" s="116">
        <v>0</v>
      </c>
      <c r="I415" s="192"/>
      <c r="J415" s="204"/>
      <c r="K415" s="193"/>
      <c r="L415" s="193"/>
      <c r="M415" s="193"/>
      <c r="N415" s="203">
        <f t="shared" si="168"/>
        <v>50000</v>
      </c>
      <c r="O415" s="203">
        <f t="shared" si="169"/>
        <v>50000</v>
      </c>
      <c r="P415" s="203">
        <f t="shared" si="170"/>
        <v>50000</v>
      </c>
      <c r="Q415" s="214"/>
      <c r="R415" s="215"/>
      <c r="S415" s="218">
        <v>45635</v>
      </c>
      <c r="T415" s="205"/>
      <c r="U415" s="205"/>
      <c r="V415" s="216"/>
      <c r="W415" s="212"/>
      <c r="X415" s="10">
        <v>7</v>
      </c>
      <c r="Y415" s="10">
        <v>7</v>
      </c>
      <c r="Z415" s="213">
        <f t="shared" si="171"/>
        <v>50000</v>
      </c>
      <c r="AA415" s="62"/>
      <c r="AB415" s="62"/>
      <c r="AC415" s="62"/>
      <c r="AD415" s="62"/>
      <c r="AE415" s="62"/>
      <c r="AF415" s="63"/>
      <c r="AG415" s="64"/>
      <c r="AH415" s="6">
        <v>1</v>
      </c>
      <c r="AI415">
        <f t="shared" si="172"/>
        <v>15</v>
      </c>
      <c r="AJ415">
        <f t="shared" si="173"/>
        <v>25</v>
      </c>
      <c r="AK415">
        <f t="shared" si="174"/>
        <v>0</v>
      </c>
      <c r="AL415">
        <f t="shared" si="175"/>
        <v>0</v>
      </c>
      <c r="AM415">
        <f t="shared" si="176"/>
        <v>0</v>
      </c>
      <c r="AN415">
        <f t="shared" si="177"/>
        <v>0</v>
      </c>
      <c r="AO415">
        <f t="shared" si="178"/>
        <v>0</v>
      </c>
      <c r="AP415">
        <f t="shared" si="179"/>
        <v>0</v>
      </c>
      <c r="AQ415">
        <f t="shared" si="180"/>
        <v>0</v>
      </c>
      <c r="AR415">
        <f t="shared" si="181"/>
        <v>0</v>
      </c>
      <c r="AS415">
        <f t="shared" si="182"/>
        <v>0</v>
      </c>
      <c r="AT415">
        <f t="shared" si="183"/>
        <v>0</v>
      </c>
      <c r="AU415">
        <f t="shared" si="184"/>
        <v>1</v>
      </c>
      <c r="AV415">
        <f t="shared" si="185"/>
        <v>1</v>
      </c>
      <c r="AW415">
        <f t="shared" si="186"/>
        <v>0</v>
      </c>
      <c r="AX415">
        <f t="shared" si="187"/>
        <v>0</v>
      </c>
      <c r="AY415">
        <f t="shared" si="188"/>
        <v>0</v>
      </c>
      <c r="AZ415">
        <f t="shared" si="189"/>
        <v>0</v>
      </c>
      <c r="BA415">
        <f t="shared" si="190"/>
        <v>0</v>
      </c>
      <c r="BB415">
        <f t="shared" si="191"/>
        <v>1</v>
      </c>
      <c r="BC415">
        <f t="shared" si="192"/>
        <v>1</v>
      </c>
      <c r="BD415">
        <f t="shared" si="193"/>
        <v>50000</v>
      </c>
      <c r="BE415">
        <f t="shared" si="194"/>
        <v>0</v>
      </c>
      <c r="BF415">
        <f t="shared" si="195"/>
        <v>50000</v>
      </c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</row>
    <row r="416" spans="1:256" s="201" customFormat="1" ht="14.25" x14ac:dyDescent="0.2">
      <c r="A416" s="10">
        <v>3426</v>
      </c>
      <c r="B416" s="11" t="s">
        <v>1073</v>
      </c>
      <c r="C416" s="105" t="s">
        <v>1074</v>
      </c>
      <c r="D416" s="11" t="s">
        <v>259</v>
      </c>
      <c r="E416" s="12">
        <v>20248</v>
      </c>
      <c r="F416" s="202">
        <v>5</v>
      </c>
      <c r="G416" s="11">
        <v>50000</v>
      </c>
      <c r="H416" s="116">
        <v>0</v>
      </c>
      <c r="I416" s="192"/>
      <c r="J416" s="204"/>
      <c r="K416" s="193"/>
      <c r="L416" s="193"/>
      <c r="M416" s="193"/>
      <c r="N416" s="203">
        <f t="shared" si="168"/>
        <v>50000</v>
      </c>
      <c r="O416" s="203">
        <f t="shared" si="169"/>
        <v>50000</v>
      </c>
      <c r="P416" s="203">
        <f t="shared" si="170"/>
        <v>50000</v>
      </c>
      <c r="Q416" s="214"/>
      <c r="R416" s="215"/>
      <c r="S416" s="218">
        <v>45635</v>
      </c>
      <c r="T416" s="205"/>
      <c r="U416" s="205"/>
      <c r="V416" s="216"/>
      <c r="W416" s="212"/>
      <c r="X416" s="10">
        <v>7</v>
      </c>
      <c r="Y416" s="10">
        <v>7</v>
      </c>
      <c r="Z416" s="213">
        <f t="shared" si="171"/>
        <v>50000</v>
      </c>
      <c r="AA416" s="62"/>
      <c r="AB416" s="62"/>
      <c r="AC416" s="62"/>
      <c r="AD416" s="62"/>
      <c r="AE416" s="62"/>
      <c r="AF416" s="63"/>
      <c r="AG416" s="64"/>
      <c r="AH416" s="6">
        <v>1</v>
      </c>
      <c r="AI416">
        <f t="shared" si="172"/>
        <v>15</v>
      </c>
      <c r="AJ416">
        <f t="shared" si="173"/>
        <v>25</v>
      </c>
      <c r="AK416">
        <f t="shared" si="174"/>
        <v>0</v>
      </c>
      <c r="AL416">
        <f t="shared" si="175"/>
        <v>0</v>
      </c>
      <c r="AM416">
        <f t="shared" si="176"/>
        <v>0</v>
      </c>
      <c r="AN416">
        <f t="shared" si="177"/>
        <v>0</v>
      </c>
      <c r="AO416">
        <f t="shared" si="178"/>
        <v>0</v>
      </c>
      <c r="AP416">
        <f t="shared" si="179"/>
        <v>0</v>
      </c>
      <c r="AQ416">
        <f t="shared" si="180"/>
        <v>0</v>
      </c>
      <c r="AR416">
        <f t="shared" si="181"/>
        <v>0</v>
      </c>
      <c r="AS416">
        <f t="shared" si="182"/>
        <v>0</v>
      </c>
      <c r="AT416">
        <f t="shared" si="183"/>
        <v>0</v>
      </c>
      <c r="AU416">
        <f t="shared" si="184"/>
        <v>1</v>
      </c>
      <c r="AV416">
        <f t="shared" si="185"/>
        <v>1</v>
      </c>
      <c r="AW416">
        <f t="shared" si="186"/>
        <v>0</v>
      </c>
      <c r="AX416">
        <f t="shared" si="187"/>
        <v>0</v>
      </c>
      <c r="AY416">
        <f t="shared" si="188"/>
        <v>0</v>
      </c>
      <c r="AZ416">
        <f t="shared" si="189"/>
        <v>0</v>
      </c>
      <c r="BA416">
        <f t="shared" si="190"/>
        <v>0</v>
      </c>
      <c r="BB416">
        <f t="shared" si="191"/>
        <v>1</v>
      </c>
      <c r="BC416">
        <f t="shared" si="192"/>
        <v>1</v>
      </c>
      <c r="BD416">
        <f t="shared" si="193"/>
        <v>50000</v>
      </c>
      <c r="BE416">
        <f t="shared" si="194"/>
        <v>0</v>
      </c>
      <c r="BF416">
        <f t="shared" si="195"/>
        <v>50000</v>
      </c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</row>
    <row r="417" spans="1:256" s="201" customFormat="1" ht="14.25" x14ac:dyDescent="0.2">
      <c r="A417" s="10">
        <v>3427</v>
      </c>
      <c r="B417" s="11" t="s">
        <v>1075</v>
      </c>
      <c r="C417" s="105" t="s">
        <v>1076</v>
      </c>
      <c r="D417" s="11" t="s">
        <v>105</v>
      </c>
      <c r="E417" s="12">
        <v>20244</v>
      </c>
      <c r="F417" s="202">
        <v>5</v>
      </c>
      <c r="G417" s="11">
        <v>60000</v>
      </c>
      <c r="H417" s="116">
        <v>0</v>
      </c>
      <c r="I417" s="192"/>
      <c r="J417" s="204"/>
      <c r="K417" s="193"/>
      <c r="L417" s="193"/>
      <c r="M417" s="193"/>
      <c r="N417" s="203">
        <f t="shared" si="168"/>
        <v>60000</v>
      </c>
      <c r="O417" s="203">
        <f t="shared" si="169"/>
        <v>60000</v>
      </c>
      <c r="P417" s="203">
        <f t="shared" si="170"/>
        <v>60000</v>
      </c>
      <c r="Q417" s="214"/>
      <c r="R417" s="215"/>
      <c r="S417" s="218">
        <v>45649</v>
      </c>
      <c r="T417" s="205"/>
      <c r="U417" s="205"/>
      <c r="V417" s="216"/>
      <c r="W417" s="212"/>
      <c r="X417" s="10">
        <v>7</v>
      </c>
      <c r="Y417" s="10">
        <v>7</v>
      </c>
      <c r="Z417" s="213">
        <f t="shared" si="171"/>
        <v>60000</v>
      </c>
      <c r="AA417" s="62"/>
      <c r="AB417" s="62"/>
      <c r="AC417" s="62"/>
      <c r="AD417" s="62"/>
      <c r="AE417" s="62"/>
      <c r="AF417" s="63"/>
      <c r="AG417" s="64"/>
      <c r="AH417" s="6">
        <v>1</v>
      </c>
      <c r="AI417">
        <f t="shared" si="172"/>
        <v>15</v>
      </c>
      <c r="AJ417">
        <f t="shared" si="173"/>
        <v>25</v>
      </c>
      <c r="AK417">
        <f t="shared" si="174"/>
        <v>0</v>
      </c>
      <c r="AL417">
        <f t="shared" si="175"/>
        <v>0</v>
      </c>
      <c r="AM417">
        <f t="shared" si="176"/>
        <v>0</v>
      </c>
      <c r="AN417">
        <f t="shared" si="177"/>
        <v>0</v>
      </c>
      <c r="AO417">
        <f t="shared" si="178"/>
        <v>0</v>
      </c>
      <c r="AP417">
        <f t="shared" si="179"/>
        <v>0</v>
      </c>
      <c r="AQ417">
        <f t="shared" si="180"/>
        <v>0</v>
      </c>
      <c r="AR417">
        <f t="shared" si="181"/>
        <v>0</v>
      </c>
      <c r="AS417">
        <f t="shared" si="182"/>
        <v>0</v>
      </c>
      <c r="AT417">
        <f t="shared" si="183"/>
        <v>0</v>
      </c>
      <c r="AU417">
        <f t="shared" si="184"/>
        <v>1</v>
      </c>
      <c r="AV417">
        <f t="shared" si="185"/>
        <v>1</v>
      </c>
      <c r="AW417">
        <f t="shared" si="186"/>
        <v>0</v>
      </c>
      <c r="AX417">
        <f t="shared" si="187"/>
        <v>0</v>
      </c>
      <c r="AY417">
        <f t="shared" si="188"/>
        <v>0</v>
      </c>
      <c r="AZ417">
        <f t="shared" si="189"/>
        <v>0</v>
      </c>
      <c r="BA417">
        <f t="shared" si="190"/>
        <v>0</v>
      </c>
      <c r="BB417">
        <f t="shared" si="191"/>
        <v>1</v>
      </c>
      <c r="BC417">
        <f t="shared" si="192"/>
        <v>1</v>
      </c>
      <c r="BD417">
        <f t="shared" si="193"/>
        <v>60000</v>
      </c>
      <c r="BE417">
        <f t="shared" si="194"/>
        <v>0</v>
      </c>
      <c r="BF417">
        <f t="shared" si="195"/>
        <v>60000</v>
      </c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</row>
    <row r="418" spans="1:256" s="201" customFormat="1" ht="14.25" x14ac:dyDescent="0.2">
      <c r="A418" s="10">
        <v>3428</v>
      </c>
      <c r="B418" s="11" t="s">
        <v>1077</v>
      </c>
      <c r="C418" s="105" t="s">
        <v>1078</v>
      </c>
      <c r="D418" s="11" t="s">
        <v>147</v>
      </c>
      <c r="E418" s="12">
        <v>20250</v>
      </c>
      <c r="F418" s="202">
        <v>5</v>
      </c>
      <c r="G418" s="11">
        <v>80000</v>
      </c>
      <c r="H418" s="116">
        <v>-80000</v>
      </c>
      <c r="I418" s="192"/>
      <c r="J418" s="204"/>
      <c r="K418" s="193"/>
      <c r="L418" s="193"/>
      <c r="M418" s="193"/>
      <c r="N418" s="203">
        <f t="shared" si="168"/>
        <v>80000</v>
      </c>
      <c r="O418" s="203">
        <f t="shared" si="169"/>
        <v>0</v>
      </c>
      <c r="P418" s="203">
        <f t="shared" si="170"/>
        <v>0</v>
      </c>
      <c r="Q418" s="214">
        <v>45660</v>
      </c>
      <c r="R418" s="215"/>
      <c r="S418" s="218">
        <v>45638</v>
      </c>
      <c r="T418" s="205"/>
      <c r="U418" s="205"/>
      <c r="V418" s="216" t="s">
        <v>1131</v>
      </c>
      <c r="W418" s="212"/>
      <c r="X418" s="10">
        <v>7</v>
      </c>
      <c r="Y418" s="10">
        <v>7</v>
      </c>
      <c r="Z418" s="213">
        <f t="shared" si="171"/>
        <v>80000</v>
      </c>
      <c r="AA418" s="62"/>
      <c r="AB418" s="62"/>
      <c r="AC418" s="62"/>
      <c r="AD418" s="62"/>
      <c r="AE418" s="62"/>
      <c r="AF418" s="63"/>
      <c r="AG418" s="64"/>
      <c r="AH418" s="6">
        <v>1</v>
      </c>
      <c r="AI418">
        <f t="shared" si="172"/>
        <v>15</v>
      </c>
      <c r="AJ418">
        <f t="shared" si="173"/>
        <v>15</v>
      </c>
      <c r="AK418">
        <f t="shared" si="174"/>
        <v>0</v>
      </c>
      <c r="AL418">
        <f t="shared" si="175"/>
        <v>0</v>
      </c>
      <c r="AM418">
        <f t="shared" si="176"/>
        <v>0</v>
      </c>
      <c r="AN418">
        <f t="shared" si="177"/>
        <v>0</v>
      </c>
      <c r="AO418">
        <f t="shared" si="178"/>
        <v>0</v>
      </c>
      <c r="AP418">
        <f t="shared" si="179"/>
        <v>0</v>
      </c>
      <c r="AQ418">
        <f t="shared" si="180"/>
        <v>0</v>
      </c>
      <c r="AR418">
        <f t="shared" si="181"/>
        <v>0</v>
      </c>
      <c r="AS418">
        <f t="shared" si="182"/>
        <v>0</v>
      </c>
      <c r="AT418">
        <f t="shared" si="183"/>
        <v>0</v>
      </c>
      <c r="AU418">
        <f t="shared" si="184"/>
        <v>0</v>
      </c>
      <c r="AV418">
        <f t="shared" si="185"/>
        <v>0</v>
      </c>
      <c r="AW418">
        <f t="shared" si="186"/>
        <v>0</v>
      </c>
      <c r="AX418">
        <f t="shared" si="187"/>
        <v>0</v>
      </c>
      <c r="AY418">
        <f t="shared" si="188"/>
        <v>0</v>
      </c>
      <c r="AZ418">
        <f t="shared" si="189"/>
        <v>0</v>
      </c>
      <c r="BA418">
        <f t="shared" si="190"/>
        <v>0</v>
      </c>
      <c r="BB418">
        <f t="shared" si="191"/>
        <v>0</v>
      </c>
      <c r="BC418">
        <f t="shared" si="192"/>
        <v>0</v>
      </c>
      <c r="BD418">
        <f t="shared" si="193"/>
        <v>0</v>
      </c>
      <c r="BE418">
        <f t="shared" si="194"/>
        <v>0</v>
      </c>
      <c r="BF418">
        <f t="shared" si="195"/>
        <v>0</v>
      </c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</row>
    <row r="419" spans="1:256" s="201" customFormat="1" ht="14.25" x14ac:dyDescent="0.2">
      <c r="A419" s="10">
        <v>3429</v>
      </c>
      <c r="B419" s="11" t="s">
        <v>1079</v>
      </c>
      <c r="C419" s="105" t="s">
        <v>1080</v>
      </c>
      <c r="D419" s="11" t="s">
        <v>160</v>
      </c>
      <c r="E419" s="12">
        <v>20210</v>
      </c>
      <c r="F419" s="202">
        <v>5</v>
      </c>
      <c r="G419" s="11">
        <v>50000</v>
      </c>
      <c r="H419" s="116">
        <v>50000</v>
      </c>
      <c r="I419" s="192"/>
      <c r="J419" s="204"/>
      <c r="K419" s="193"/>
      <c r="L419" s="193"/>
      <c r="M419" s="193"/>
      <c r="N419" s="203">
        <f t="shared" si="168"/>
        <v>100000</v>
      </c>
      <c r="O419" s="203">
        <f t="shared" si="169"/>
        <v>100000</v>
      </c>
      <c r="P419" s="203">
        <f t="shared" si="170"/>
        <v>100000</v>
      </c>
      <c r="Q419" s="214"/>
      <c r="R419" s="215"/>
      <c r="S419" s="218">
        <v>45623</v>
      </c>
      <c r="T419" s="205"/>
      <c r="U419" s="205"/>
      <c r="V419" s="216"/>
      <c r="W419" s="212"/>
      <c r="X419" s="10">
        <v>7</v>
      </c>
      <c r="Y419" s="10">
        <v>7</v>
      </c>
      <c r="Z419" s="213">
        <f t="shared" si="171"/>
        <v>100000</v>
      </c>
      <c r="AA419" s="62"/>
      <c r="AB419" s="62"/>
      <c r="AC419" s="62"/>
      <c r="AD419" s="62"/>
      <c r="AE419" s="62"/>
      <c r="AF419" s="63"/>
      <c r="AG419" s="64"/>
      <c r="AH419" s="6">
        <v>1</v>
      </c>
      <c r="AI419">
        <f t="shared" si="172"/>
        <v>15</v>
      </c>
      <c r="AJ419">
        <f t="shared" si="173"/>
        <v>25</v>
      </c>
      <c r="AK419">
        <f t="shared" si="174"/>
        <v>0</v>
      </c>
      <c r="AL419">
        <f t="shared" si="175"/>
        <v>0</v>
      </c>
      <c r="AM419">
        <f t="shared" si="176"/>
        <v>0</v>
      </c>
      <c r="AN419">
        <f t="shared" si="177"/>
        <v>0</v>
      </c>
      <c r="AO419">
        <f t="shared" si="178"/>
        <v>0</v>
      </c>
      <c r="AP419">
        <f t="shared" si="179"/>
        <v>0</v>
      </c>
      <c r="AQ419">
        <f t="shared" si="180"/>
        <v>0</v>
      </c>
      <c r="AR419">
        <f t="shared" si="181"/>
        <v>0</v>
      </c>
      <c r="AS419">
        <f t="shared" si="182"/>
        <v>0</v>
      </c>
      <c r="AT419">
        <f t="shared" si="183"/>
        <v>0</v>
      </c>
      <c r="AU419">
        <f t="shared" si="184"/>
        <v>1</v>
      </c>
      <c r="AV419">
        <f t="shared" si="185"/>
        <v>1</v>
      </c>
      <c r="AW419">
        <f t="shared" si="186"/>
        <v>0</v>
      </c>
      <c r="AX419">
        <f t="shared" si="187"/>
        <v>0</v>
      </c>
      <c r="AY419">
        <f t="shared" si="188"/>
        <v>0</v>
      </c>
      <c r="AZ419">
        <f t="shared" si="189"/>
        <v>0</v>
      </c>
      <c r="BA419">
        <f t="shared" si="190"/>
        <v>0</v>
      </c>
      <c r="BB419">
        <f t="shared" si="191"/>
        <v>1</v>
      </c>
      <c r="BC419">
        <f t="shared" si="192"/>
        <v>1</v>
      </c>
      <c r="BD419">
        <f t="shared" si="193"/>
        <v>100000</v>
      </c>
      <c r="BE419">
        <f t="shared" si="194"/>
        <v>0</v>
      </c>
      <c r="BF419">
        <f t="shared" si="195"/>
        <v>100000</v>
      </c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</row>
    <row r="420" spans="1:256" s="201" customFormat="1" ht="14.25" x14ac:dyDescent="0.2">
      <c r="A420" s="10">
        <v>3430</v>
      </c>
      <c r="B420" s="11" t="s">
        <v>1081</v>
      </c>
      <c r="C420" s="105" t="s">
        <v>1082</v>
      </c>
      <c r="D420" s="11" t="s">
        <v>173</v>
      </c>
      <c r="E420" s="12">
        <v>20245</v>
      </c>
      <c r="F420" s="202">
        <v>5</v>
      </c>
      <c r="G420" s="11">
        <v>70000</v>
      </c>
      <c r="H420" s="116">
        <v>0</v>
      </c>
      <c r="I420" s="192"/>
      <c r="J420" s="204"/>
      <c r="K420" s="193"/>
      <c r="L420" s="193"/>
      <c r="M420" s="193"/>
      <c r="N420" s="203">
        <f t="shared" si="168"/>
        <v>70000</v>
      </c>
      <c r="O420" s="203">
        <f t="shared" si="169"/>
        <v>70000</v>
      </c>
      <c r="P420" s="203">
        <f t="shared" si="170"/>
        <v>70000</v>
      </c>
      <c r="Q420" s="214"/>
      <c r="R420" s="215"/>
      <c r="S420" s="218">
        <v>45636</v>
      </c>
      <c r="T420" s="205"/>
      <c r="U420" s="205"/>
      <c r="V420" s="216"/>
      <c r="W420" s="212"/>
      <c r="X420" s="10">
        <v>7</v>
      </c>
      <c r="Y420" s="10">
        <v>7</v>
      </c>
      <c r="Z420" s="213">
        <f t="shared" si="171"/>
        <v>70000</v>
      </c>
      <c r="AA420" s="62"/>
      <c r="AB420" s="62"/>
      <c r="AC420" s="62"/>
      <c r="AD420" s="62"/>
      <c r="AE420" s="62"/>
      <c r="AF420" s="63"/>
      <c r="AG420" s="64"/>
      <c r="AH420" s="6">
        <v>1</v>
      </c>
      <c r="AI420">
        <f t="shared" si="172"/>
        <v>15</v>
      </c>
      <c r="AJ420">
        <f t="shared" si="173"/>
        <v>25</v>
      </c>
      <c r="AK420">
        <f t="shared" si="174"/>
        <v>0</v>
      </c>
      <c r="AL420">
        <f t="shared" si="175"/>
        <v>0</v>
      </c>
      <c r="AM420">
        <f t="shared" si="176"/>
        <v>0</v>
      </c>
      <c r="AN420">
        <f t="shared" si="177"/>
        <v>0</v>
      </c>
      <c r="AO420">
        <f t="shared" si="178"/>
        <v>0</v>
      </c>
      <c r="AP420">
        <f t="shared" si="179"/>
        <v>0</v>
      </c>
      <c r="AQ420">
        <f t="shared" si="180"/>
        <v>0</v>
      </c>
      <c r="AR420">
        <f t="shared" si="181"/>
        <v>0</v>
      </c>
      <c r="AS420">
        <f t="shared" si="182"/>
        <v>0</v>
      </c>
      <c r="AT420">
        <f t="shared" si="183"/>
        <v>0</v>
      </c>
      <c r="AU420">
        <f t="shared" si="184"/>
        <v>1</v>
      </c>
      <c r="AV420">
        <f t="shared" si="185"/>
        <v>1</v>
      </c>
      <c r="AW420">
        <f t="shared" si="186"/>
        <v>0</v>
      </c>
      <c r="AX420">
        <f t="shared" si="187"/>
        <v>0</v>
      </c>
      <c r="AY420">
        <f t="shared" si="188"/>
        <v>0</v>
      </c>
      <c r="AZ420">
        <f t="shared" si="189"/>
        <v>0</v>
      </c>
      <c r="BA420">
        <f t="shared" si="190"/>
        <v>0</v>
      </c>
      <c r="BB420">
        <f t="shared" si="191"/>
        <v>1</v>
      </c>
      <c r="BC420">
        <f t="shared" si="192"/>
        <v>1</v>
      </c>
      <c r="BD420">
        <f t="shared" si="193"/>
        <v>70000</v>
      </c>
      <c r="BE420">
        <f t="shared" si="194"/>
        <v>0</v>
      </c>
      <c r="BF420">
        <f t="shared" si="195"/>
        <v>70000</v>
      </c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</row>
    <row r="421" spans="1:256" s="201" customFormat="1" ht="14.25" x14ac:dyDescent="0.2">
      <c r="A421" s="10">
        <v>3431</v>
      </c>
      <c r="B421" s="11" t="s">
        <v>1083</v>
      </c>
      <c r="C421" s="105" t="s">
        <v>1084</v>
      </c>
      <c r="D421" s="11" t="s">
        <v>106</v>
      </c>
      <c r="E421" s="12">
        <v>20052</v>
      </c>
      <c r="F421" s="202">
        <v>5</v>
      </c>
      <c r="G421" s="11">
        <v>150000</v>
      </c>
      <c r="H421" s="116">
        <v>0</v>
      </c>
      <c r="I421" s="192"/>
      <c r="J421" s="204"/>
      <c r="K421" s="193"/>
      <c r="L421" s="193"/>
      <c r="M421" s="193"/>
      <c r="N421" s="203">
        <f t="shared" si="168"/>
        <v>150000</v>
      </c>
      <c r="O421" s="203">
        <f t="shared" si="169"/>
        <v>150000</v>
      </c>
      <c r="P421" s="203">
        <f t="shared" si="170"/>
        <v>150000</v>
      </c>
      <c r="Q421" s="214">
        <v>45659</v>
      </c>
      <c r="R421" s="215"/>
      <c r="S421" s="218">
        <v>45629</v>
      </c>
      <c r="T421" s="205"/>
      <c r="U421" s="205"/>
      <c r="V421" s="216" t="s">
        <v>1131</v>
      </c>
      <c r="W421" s="212"/>
      <c r="X421" s="10">
        <v>7</v>
      </c>
      <c r="Y421" s="10">
        <v>7</v>
      </c>
      <c r="Z421" s="213">
        <f t="shared" si="171"/>
        <v>150000</v>
      </c>
      <c r="AA421" s="62"/>
      <c r="AB421" s="62"/>
      <c r="AC421" s="62"/>
      <c r="AD421" s="62"/>
      <c r="AE421" s="62"/>
      <c r="AF421" s="63"/>
      <c r="AG421" s="64"/>
      <c r="AH421" s="6">
        <v>1</v>
      </c>
      <c r="AI421">
        <f t="shared" si="172"/>
        <v>15</v>
      </c>
      <c r="AJ421">
        <f t="shared" si="173"/>
        <v>25</v>
      </c>
      <c r="AK421">
        <f t="shared" si="174"/>
        <v>0</v>
      </c>
      <c r="AL421">
        <f t="shared" si="175"/>
        <v>0</v>
      </c>
      <c r="AM421">
        <f t="shared" si="176"/>
        <v>0</v>
      </c>
      <c r="AN421">
        <f t="shared" si="177"/>
        <v>0</v>
      </c>
      <c r="AO421">
        <f t="shared" si="178"/>
        <v>0</v>
      </c>
      <c r="AP421">
        <f t="shared" si="179"/>
        <v>0</v>
      </c>
      <c r="AQ421">
        <f t="shared" si="180"/>
        <v>0</v>
      </c>
      <c r="AR421">
        <f t="shared" si="181"/>
        <v>0</v>
      </c>
      <c r="AS421">
        <f t="shared" si="182"/>
        <v>0</v>
      </c>
      <c r="AT421">
        <f t="shared" si="183"/>
        <v>0</v>
      </c>
      <c r="AU421">
        <f t="shared" si="184"/>
        <v>1</v>
      </c>
      <c r="AV421">
        <f t="shared" si="185"/>
        <v>1</v>
      </c>
      <c r="AW421">
        <f t="shared" si="186"/>
        <v>0</v>
      </c>
      <c r="AX421">
        <f t="shared" si="187"/>
        <v>0</v>
      </c>
      <c r="AY421">
        <f t="shared" si="188"/>
        <v>0</v>
      </c>
      <c r="AZ421">
        <f t="shared" si="189"/>
        <v>0</v>
      </c>
      <c r="BA421">
        <f t="shared" si="190"/>
        <v>0</v>
      </c>
      <c r="BB421">
        <f t="shared" si="191"/>
        <v>1</v>
      </c>
      <c r="BC421">
        <f t="shared" si="192"/>
        <v>1</v>
      </c>
      <c r="BD421">
        <f t="shared" si="193"/>
        <v>150000</v>
      </c>
      <c r="BE421">
        <f t="shared" si="194"/>
        <v>0</v>
      </c>
      <c r="BF421">
        <f t="shared" si="195"/>
        <v>150000</v>
      </c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</row>
    <row r="422" spans="1:256" s="201" customFormat="1" ht="14.25" x14ac:dyDescent="0.2">
      <c r="A422" s="10">
        <v>3434</v>
      </c>
      <c r="B422" s="11" t="s">
        <v>1085</v>
      </c>
      <c r="C422" s="105" t="s">
        <v>1086</v>
      </c>
      <c r="D422" s="11" t="s">
        <v>106</v>
      </c>
      <c r="E422" s="12">
        <v>20247</v>
      </c>
      <c r="F422" s="202">
        <v>5</v>
      </c>
      <c r="G422" s="11">
        <v>60000</v>
      </c>
      <c r="H422" s="116">
        <v>60000</v>
      </c>
      <c r="I422" s="192"/>
      <c r="J422" s="204"/>
      <c r="K422" s="193"/>
      <c r="L422" s="193"/>
      <c r="M422" s="193"/>
      <c r="N422" s="203">
        <f t="shared" si="168"/>
        <v>120000</v>
      </c>
      <c r="O422" s="203">
        <f t="shared" si="169"/>
        <v>120000</v>
      </c>
      <c r="P422" s="203">
        <f t="shared" si="170"/>
        <v>120000</v>
      </c>
      <c r="Q422" s="214"/>
      <c r="R422" s="215"/>
      <c r="S422" s="218">
        <v>45608</v>
      </c>
      <c r="T422" s="205"/>
      <c r="U422" s="205"/>
      <c r="V422" s="216"/>
      <c r="W422" s="212"/>
      <c r="X422" s="10">
        <v>7</v>
      </c>
      <c r="Y422" s="10">
        <v>7</v>
      </c>
      <c r="Z422" s="213">
        <f t="shared" si="171"/>
        <v>120000</v>
      </c>
      <c r="AA422" s="62"/>
      <c r="AB422" s="62"/>
      <c r="AC422" s="62"/>
      <c r="AD422" s="62"/>
      <c r="AE422" s="62"/>
      <c r="AF422" s="63"/>
      <c r="AG422" s="64"/>
      <c r="AH422" s="6">
        <v>1</v>
      </c>
      <c r="AI422">
        <f t="shared" si="172"/>
        <v>15</v>
      </c>
      <c r="AJ422">
        <f t="shared" si="173"/>
        <v>25</v>
      </c>
      <c r="AK422">
        <f t="shared" si="174"/>
        <v>0</v>
      </c>
      <c r="AL422">
        <f t="shared" si="175"/>
        <v>0</v>
      </c>
      <c r="AM422">
        <f t="shared" si="176"/>
        <v>0</v>
      </c>
      <c r="AN422">
        <f t="shared" si="177"/>
        <v>0</v>
      </c>
      <c r="AO422">
        <f t="shared" si="178"/>
        <v>0</v>
      </c>
      <c r="AP422">
        <f t="shared" si="179"/>
        <v>0</v>
      </c>
      <c r="AQ422">
        <f t="shared" si="180"/>
        <v>0</v>
      </c>
      <c r="AR422">
        <f t="shared" si="181"/>
        <v>0</v>
      </c>
      <c r="AS422">
        <f t="shared" si="182"/>
        <v>0</v>
      </c>
      <c r="AT422">
        <f t="shared" si="183"/>
        <v>0</v>
      </c>
      <c r="AU422">
        <f t="shared" si="184"/>
        <v>1</v>
      </c>
      <c r="AV422">
        <f t="shared" si="185"/>
        <v>1</v>
      </c>
      <c r="AW422">
        <f t="shared" si="186"/>
        <v>0</v>
      </c>
      <c r="AX422">
        <f t="shared" si="187"/>
        <v>0</v>
      </c>
      <c r="AY422">
        <f t="shared" si="188"/>
        <v>0</v>
      </c>
      <c r="AZ422">
        <f t="shared" si="189"/>
        <v>0</v>
      </c>
      <c r="BA422">
        <f t="shared" si="190"/>
        <v>0</v>
      </c>
      <c r="BB422">
        <f t="shared" si="191"/>
        <v>1</v>
      </c>
      <c r="BC422">
        <f t="shared" si="192"/>
        <v>1</v>
      </c>
      <c r="BD422">
        <f t="shared" si="193"/>
        <v>120000</v>
      </c>
      <c r="BE422">
        <f t="shared" si="194"/>
        <v>0</v>
      </c>
      <c r="BF422">
        <f t="shared" si="195"/>
        <v>120000</v>
      </c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</row>
    <row r="423" spans="1:256" s="201" customFormat="1" ht="14.25" x14ac:dyDescent="0.2">
      <c r="A423" s="10">
        <v>3435</v>
      </c>
      <c r="B423" s="11" t="s">
        <v>1087</v>
      </c>
      <c r="C423" s="105" t="s">
        <v>1088</v>
      </c>
      <c r="D423" s="11" t="s">
        <v>106</v>
      </c>
      <c r="E423" s="12">
        <v>20249</v>
      </c>
      <c r="F423" s="202">
        <v>5</v>
      </c>
      <c r="G423" s="11">
        <v>320000</v>
      </c>
      <c r="H423" s="116">
        <v>-320000</v>
      </c>
      <c r="I423" s="192"/>
      <c r="J423" s="204"/>
      <c r="K423" s="193"/>
      <c r="L423" s="193"/>
      <c r="M423" s="193"/>
      <c r="N423" s="203">
        <f t="shared" si="168"/>
        <v>320000</v>
      </c>
      <c r="O423" s="203">
        <f t="shared" si="169"/>
        <v>0</v>
      </c>
      <c r="P423" s="203">
        <f t="shared" si="170"/>
        <v>0</v>
      </c>
      <c r="Q423" s="214">
        <v>45663</v>
      </c>
      <c r="R423" s="215"/>
      <c r="S423" s="218">
        <v>45631</v>
      </c>
      <c r="T423" s="205"/>
      <c r="U423" s="205"/>
      <c r="V423" s="216" t="s">
        <v>1131</v>
      </c>
      <c r="W423" s="212"/>
      <c r="X423" s="10">
        <v>7</v>
      </c>
      <c r="Y423" s="10">
        <v>7</v>
      </c>
      <c r="Z423" s="213">
        <f t="shared" si="171"/>
        <v>320000</v>
      </c>
      <c r="AA423" s="62"/>
      <c r="AB423" s="62"/>
      <c r="AC423" s="62"/>
      <c r="AD423" s="62"/>
      <c r="AE423" s="62"/>
      <c r="AF423" s="63"/>
      <c r="AG423" s="64"/>
      <c r="AH423" s="6">
        <v>1</v>
      </c>
      <c r="AI423">
        <f t="shared" si="172"/>
        <v>15</v>
      </c>
      <c r="AJ423">
        <f t="shared" si="173"/>
        <v>15</v>
      </c>
      <c r="AK423">
        <f t="shared" si="174"/>
        <v>0</v>
      </c>
      <c r="AL423">
        <f t="shared" si="175"/>
        <v>0</v>
      </c>
      <c r="AM423">
        <f t="shared" si="176"/>
        <v>0</v>
      </c>
      <c r="AN423">
        <f t="shared" si="177"/>
        <v>0</v>
      </c>
      <c r="AO423">
        <f t="shared" si="178"/>
        <v>0</v>
      </c>
      <c r="AP423">
        <f t="shared" si="179"/>
        <v>0</v>
      </c>
      <c r="AQ423">
        <f t="shared" si="180"/>
        <v>0</v>
      </c>
      <c r="AR423">
        <f t="shared" si="181"/>
        <v>0</v>
      </c>
      <c r="AS423">
        <f t="shared" si="182"/>
        <v>0</v>
      </c>
      <c r="AT423">
        <f t="shared" si="183"/>
        <v>0</v>
      </c>
      <c r="AU423">
        <f t="shared" si="184"/>
        <v>0</v>
      </c>
      <c r="AV423">
        <f t="shared" si="185"/>
        <v>0</v>
      </c>
      <c r="AW423">
        <f t="shared" si="186"/>
        <v>0</v>
      </c>
      <c r="AX423">
        <f t="shared" si="187"/>
        <v>0</v>
      </c>
      <c r="AY423">
        <f t="shared" si="188"/>
        <v>0</v>
      </c>
      <c r="AZ423">
        <f t="shared" si="189"/>
        <v>0</v>
      </c>
      <c r="BA423">
        <f t="shared" si="190"/>
        <v>0</v>
      </c>
      <c r="BB423">
        <f t="shared" si="191"/>
        <v>0</v>
      </c>
      <c r="BC423">
        <f t="shared" si="192"/>
        <v>0</v>
      </c>
      <c r="BD423">
        <f t="shared" si="193"/>
        <v>0</v>
      </c>
      <c r="BE423">
        <f t="shared" si="194"/>
        <v>0</v>
      </c>
      <c r="BF423">
        <f t="shared" si="195"/>
        <v>0</v>
      </c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</row>
    <row r="424" spans="1:256" s="201" customFormat="1" ht="14.25" x14ac:dyDescent="0.2">
      <c r="A424" s="10">
        <v>3436</v>
      </c>
      <c r="B424" s="11" t="s">
        <v>1089</v>
      </c>
      <c r="C424" s="105" t="s">
        <v>1090</v>
      </c>
      <c r="D424" s="11" t="s">
        <v>173</v>
      </c>
      <c r="E424" s="12">
        <v>20057</v>
      </c>
      <c r="F424" s="202">
        <v>5</v>
      </c>
      <c r="G424" s="11">
        <v>80000</v>
      </c>
      <c r="H424" s="116">
        <v>0</v>
      </c>
      <c r="I424" s="192"/>
      <c r="J424" s="204"/>
      <c r="K424" s="193"/>
      <c r="L424" s="193"/>
      <c r="M424" s="193"/>
      <c r="N424" s="203">
        <f t="shared" si="168"/>
        <v>80000</v>
      </c>
      <c r="O424" s="203">
        <f t="shared" si="169"/>
        <v>80000</v>
      </c>
      <c r="P424" s="203">
        <f t="shared" si="170"/>
        <v>80000</v>
      </c>
      <c r="Q424" s="214"/>
      <c r="R424" s="215"/>
      <c r="S424" s="218">
        <v>45646</v>
      </c>
      <c r="T424" s="205"/>
      <c r="U424" s="205"/>
      <c r="V424" s="216"/>
      <c r="W424" s="212"/>
      <c r="X424" s="10">
        <v>7</v>
      </c>
      <c r="Y424" s="10">
        <v>7</v>
      </c>
      <c r="Z424" s="213">
        <f t="shared" si="171"/>
        <v>80000</v>
      </c>
      <c r="AA424" s="62"/>
      <c r="AB424" s="62"/>
      <c r="AC424" s="62"/>
      <c r="AD424" s="62"/>
      <c r="AE424" s="62"/>
      <c r="AF424" s="63"/>
      <c r="AG424" s="64"/>
      <c r="AH424" s="6">
        <v>1</v>
      </c>
      <c r="AI424">
        <f t="shared" si="172"/>
        <v>15</v>
      </c>
      <c r="AJ424">
        <f t="shared" si="173"/>
        <v>25</v>
      </c>
      <c r="AK424">
        <f t="shared" si="174"/>
        <v>0</v>
      </c>
      <c r="AL424">
        <f t="shared" si="175"/>
        <v>0</v>
      </c>
      <c r="AM424">
        <f t="shared" si="176"/>
        <v>0</v>
      </c>
      <c r="AN424">
        <f t="shared" si="177"/>
        <v>0</v>
      </c>
      <c r="AO424">
        <f t="shared" si="178"/>
        <v>0</v>
      </c>
      <c r="AP424">
        <f t="shared" si="179"/>
        <v>0</v>
      </c>
      <c r="AQ424">
        <f t="shared" si="180"/>
        <v>0</v>
      </c>
      <c r="AR424">
        <f t="shared" si="181"/>
        <v>0</v>
      </c>
      <c r="AS424">
        <f t="shared" si="182"/>
        <v>0</v>
      </c>
      <c r="AT424">
        <f t="shared" si="183"/>
        <v>0</v>
      </c>
      <c r="AU424">
        <f t="shared" si="184"/>
        <v>1</v>
      </c>
      <c r="AV424">
        <f t="shared" si="185"/>
        <v>1</v>
      </c>
      <c r="AW424">
        <f t="shared" si="186"/>
        <v>0</v>
      </c>
      <c r="AX424">
        <f t="shared" si="187"/>
        <v>0</v>
      </c>
      <c r="AY424">
        <f t="shared" si="188"/>
        <v>0</v>
      </c>
      <c r="AZ424">
        <f t="shared" si="189"/>
        <v>0</v>
      </c>
      <c r="BA424">
        <f t="shared" si="190"/>
        <v>0</v>
      </c>
      <c r="BB424">
        <f t="shared" si="191"/>
        <v>1</v>
      </c>
      <c r="BC424">
        <f t="shared" si="192"/>
        <v>1</v>
      </c>
      <c r="BD424">
        <f t="shared" si="193"/>
        <v>80000</v>
      </c>
      <c r="BE424">
        <f t="shared" si="194"/>
        <v>0</v>
      </c>
      <c r="BF424">
        <f t="shared" si="195"/>
        <v>80000</v>
      </c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</row>
    <row r="425" spans="1:256" s="201" customFormat="1" ht="14.25" x14ac:dyDescent="0.2">
      <c r="A425" s="10">
        <v>3437</v>
      </c>
      <c r="B425" s="11" t="s">
        <v>1091</v>
      </c>
      <c r="C425" s="105" t="s">
        <v>1092</v>
      </c>
      <c r="D425" s="11" t="s">
        <v>157</v>
      </c>
      <c r="E425" s="12">
        <v>20054</v>
      </c>
      <c r="F425" s="202">
        <v>5</v>
      </c>
      <c r="G425" s="11">
        <v>60000</v>
      </c>
      <c r="H425" s="116">
        <v>0</v>
      </c>
      <c r="I425" s="192"/>
      <c r="J425" s="204"/>
      <c r="K425" s="193"/>
      <c r="L425" s="193"/>
      <c r="M425" s="193"/>
      <c r="N425" s="203">
        <f t="shared" si="168"/>
        <v>60000</v>
      </c>
      <c r="O425" s="203">
        <f t="shared" si="169"/>
        <v>60000</v>
      </c>
      <c r="P425" s="203">
        <f t="shared" si="170"/>
        <v>60000</v>
      </c>
      <c r="Q425" s="214"/>
      <c r="R425" s="215"/>
      <c r="S425" s="218">
        <v>45647</v>
      </c>
      <c r="T425" s="205"/>
      <c r="U425" s="205"/>
      <c r="V425" s="216"/>
      <c r="W425" s="212"/>
      <c r="X425" s="10">
        <v>7</v>
      </c>
      <c r="Y425" s="10">
        <v>7</v>
      </c>
      <c r="Z425" s="213">
        <f t="shared" si="171"/>
        <v>60000</v>
      </c>
      <c r="AA425" s="62"/>
      <c r="AB425" s="62"/>
      <c r="AC425" s="62"/>
      <c r="AD425" s="62"/>
      <c r="AE425" s="62"/>
      <c r="AF425" s="63"/>
      <c r="AG425" s="64"/>
      <c r="AH425" s="6">
        <v>1</v>
      </c>
      <c r="AI425">
        <f t="shared" si="172"/>
        <v>15</v>
      </c>
      <c r="AJ425">
        <f t="shared" si="173"/>
        <v>25</v>
      </c>
      <c r="AK425">
        <f t="shared" si="174"/>
        <v>0</v>
      </c>
      <c r="AL425">
        <f t="shared" si="175"/>
        <v>0</v>
      </c>
      <c r="AM425">
        <f t="shared" si="176"/>
        <v>0</v>
      </c>
      <c r="AN425">
        <f t="shared" si="177"/>
        <v>0</v>
      </c>
      <c r="AO425">
        <f t="shared" si="178"/>
        <v>0</v>
      </c>
      <c r="AP425">
        <f t="shared" si="179"/>
        <v>0</v>
      </c>
      <c r="AQ425">
        <f t="shared" si="180"/>
        <v>0</v>
      </c>
      <c r="AR425">
        <f t="shared" si="181"/>
        <v>0</v>
      </c>
      <c r="AS425">
        <f t="shared" si="182"/>
        <v>0</v>
      </c>
      <c r="AT425">
        <f t="shared" si="183"/>
        <v>0</v>
      </c>
      <c r="AU425">
        <f t="shared" si="184"/>
        <v>1</v>
      </c>
      <c r="AV425">
        <f t="shared" si="185"/>
        <v>1</v>
      </c>
      <c r="AW425">
        <f t="shared" si="186"/>
        <v>0</v>
      </c>
      <c r="AX425">
        <f t="shared" si="187"/>
        <v>0</v>
      </c>
      <c r="AY425">
        <f t="shared" si="188"/>
        <v>0</v>
      </c>
      <c r="AZ425">
        <f t="shared" si="189"/>
        <v>0</v>
      </c>
      <c r="BA425">
        <f t="shared" si="190"/>
        <v>0</v>
      </c>
      <c r="BB425">
        <f t="shared" si="191"/>
        <v>1</v>
      </c>
      <c r="BC425">
        <f t="shared" si="192"/>
        <v>1</v>
      </c>
      <c r="BD425">
        <f t="shared" si="193"/>
        <v>60000</v>
      </c>
      <c r="BE425">
        <f t="shared" si="194"/>
        <v>0</v>
      </c>
      <c r="BF425">
        <f t="shared" si="195"/>
        <v>60000</v>
      </c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</row>
    <row r="426" spans="1:256" s="201" customFormat="1" ht="14.25" x14ac:dyDescent="0.2">
      <c r="A426" s="10">
        <v>3438</v>
      </c>
      <c r="B426" s="11" t="s">
        <v>1019</v>
      </c>
      <c r="C426" s="105" t="s">
        <v>1020</v>
      </c>
      <c r="D426" s="11" t="s">
        <v>147</v>
      </c>
      <c r="E426" s="12">
        <v>3984</v>
      </c>
      <c r="F426" s="202">
        <v>4</v>
      </c>
      <c r="G426" s="11">
        <v>250000</v>
      </c>
      <c r="H426" s="116">
        <v>0</v>
      </c>
      <c r="I426" s="192"/>
      <c r="J426" s="204"/>
      <c r="K426" s="193"/>
      <c r="L426" s="193"/>
      <c r="M426" s="193"/>
      <c r="N426" s="203">
        <f t="shared" si="168"/>
        <v>250000</v>
      </c>
      <c r="O426" s="203">
        <f t="shared" si="169"/>
        <v>250000</v>
      </c>
      <c r="P426" s="203">
        <f t="shared" si="170"/>
        <v>250000</v>
      </c>
      <c r="Q426" s="214">
        <v>45659</v>
      </c>
      <c r="R426" s="215"/>
      <c r="S426" s="218">
        <v>45628</v>
      </c>
      <c r="T426" s="205"/>
      <c r="U426" s="205"/>
      <c r="V426" s="216" t="s">
        <v>1131</v>
      </c>
      <c r="W426" s="212"/>
      <c r="X426" s="10">
        <v>7</v>
      </c>
      <c r="Y426" s="10">
        <v>7</v>
      </c>
      <c r="Z426" s="213">
        <f t="shared" si="171"/>
        <v>250000</v>
      </c>
      <c r="AA426" s="62"/>
      <c r="AB426" s="62"/>
      <c r="AC426" s="62"/>
      <c r="AD426" s="62"/>
      <c r="AE426" s="62"/>
      <c r="AF426" s="63"/>
      <c r="AG426" s="64"/>
      <c r="AH426" s="6">
        <v>1</v>
      </c>
      <c r="AI426">
        <f t="shared" si="172"/>
        <v>15</v>
      </c>
      <c r="AJ426">
        <f t="shared" si="173"/>
        <v>25</v>
      </c>
      <c r="AK426">
        <f t="shared" si="174"/>
        <v>0</v>
      </c>
      <c r="AL426">
        <f t="shared" si="175"/>
        <v>0</v>
      </c>
      <c r="AM426">
        <f t="shared" si="176"/>
        <v>0</v>
      </c>
      <c r="AN426">
        <f t="shared" si="177"/>
        <v>0</v>
      </c>
      <c r="AO426">
        <f t="shared" si="178"/>
        <v>0</v>
      </c>
      <c r="AP426">
        <f t="shared" si="179"/>
        <v>0</v>
      </c>
      <c r="AQ426">
        <f t="shared" si="180"/>
        <v>0</v>
      </c>
      <c r="AR426">
        <f t="shared" si="181"/>
        <v>0</v>
      </c>
      <c r="AS426">
        <f t="shared" si="182"/>
        <v>0</v>
      </c>
      <c r="AT426">
        <f t="shared" si="183"/>
        <v>0</v>
      </c>
      <c r="AU426">
        <f t="shared" si="184"/>
        <v>1</v>
      </c>
      <c r="AV426">
        <f t="shared" si="185"/>
        <v>1</v>
      </c>
      <c r="AW426">
        <f t="shared" si="186"/>
        <v>0</v>
      </c>
      <c r="AX426">
        <f t="shared" si="187"/>
        <v>0</v>
      </c>
      <c r="AY426">
        <f t="shared" si="188"/>
        <v>0</v>
      </c>
      <c r="AZ426">
        <f t="shared" si="189"/>
        <v>0</v>
      </c>
      <c r="BA426">
        <f t="shared" si="190"/>
        <v>0</v>
      </c>
      <c r="BB426">
        <f t="shared" si="191"/>
        <v>1</v>
      </c>
      <c r="BC426">
        <f t="shared" si="192"/>
        <v>1</v>
      </c>
      <c r="BD426">
        <f t="shared" si="193"/>
        <v>250000</v>
      </c>
      <c r="BE426">
        <f t="shared" si="194"/>
        <v>0</v>
      </c>
      <c r="BF426">
        <f t="shared" si="195"/>
        <v>250000</v>
      </c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</row>
    <row r="427" spans="1:256" s="201" customFormat="1" ht="14.25" x14ac:dyDescent="0.2">
      <c r="A427" s="10">
        <v>3439</v>
      </c>
      <c r="B427" s="11" t="s">
        <v>1093</v>
      </c>
      <c r="C427" s="105" t="s">
        <v>1094</v>
      </c>
      <c r="D427" s="11" t="s">
        <v>157</v>
      </c>
      <c r="E427" s="12">
        <v>20051</v>
      </c>
      <c r="F427" s="202">
        <v>4</v>
      </c>
      <c r="G427" s="11">
        <v>80000</v>
      </c>
      <c r="H427" s="116">
        <v>-80000</v>
      </c>
      <c r="I427" s="192"/>
      <c r="J427" s="204"/>
      <c r="K427" s="193"/>
      <c r="L427" s="193"/>
      <c r="M427" s="193"/>
      <c r="N427" s="203">
        <f t="shared" si="168"/>
        <v>80000</v>
      </c>
      <c r="O427" s="203">
        <f t="shared" si="169"/>
        <v>0</v>
      </c>
      <c r="P427" s="203">
        <f t="shared" si="170"/>
        <v>0</v>
      </c>
      <c r="Q427" s="214"/>
      <c r="R427" s="215"/>
      <c r="S427" s="218">
        <v>45641</v>
      </c>
      <c r="T427" s="205"/>
      <c r="U427" s="205"/>
      <c r="V427" s="216"/>
      <c r="W427" s="212"/>
      <c r="X427" s="10">
        <v>7</v>
      </c>
      <c r="Y427" s="10">
        <v>7</v>
      </c>
      <c r="Z427" s="213">
        <f t="shared" si="171"/>
        <v>80000</v>
      </c>
      <c r="AA427" s="62"/>
      <c r="AB427" s="62"/>
      <c r="AC427" s="62"/>
      <c r="AD427" s="62"/>
      <c r="AE427" s="62"/>
      <c r="AF427" s="63"/>
      <c r="AG427" s="64"/>
      <c r="AH427" s="6">
        <v>1</v>
      </c>
      <c r="AI427">
        <f t="shared" si="172"/>
        <v>15</v>
      </c>
      <c r="AJ427">
        <f t="shared" si="173"/>
        <v>15</v>
      </c>
      <c r="AK427">
        <f t="shared" si="174"/>
        <v>0</v>
      </c>
      <c r="AL427">
        <f t="shared" si="175"/>
        <v>0</v>
      </c>
      <c r="AM427">
        <f t="shared" si="176"/>
        <v>0</v>
      </c>
      <c r="AN427">
        <f t="shared" si="177"/>
        <v>0</v>
      </c>
      <c r="AO427">
        <f t="shared" si="178"/>
        <v>0</v>
      </c>
      <c r="AP427">
        <f t="shared" si="179"/>
        <v>0</v>
      </c>
      <c r="AQ427">
        <f t="shared" si="180"/>
        <v>0</v>
      </c>
      <c r="AR427">
        <f t="shared" si="181"/>
        <v>0</v>
      </c>
      <c r="AS427">
        <f t="shared" si="182"/>
        <v>0</v>
      </c>
      <c r="AT427">
        <f t="shared" si="183"/>
        <v>0</v>
      </c>
      <c r="AU427">
        <f t="shared" si="184"/>
        <v>0</v>
      </c>
      <c r="AV427">
        <f t="shared" si="185"/>
        <v>0</v>
      </c>
      <c r="AW427">
        <f t="shared" si="186"/>
        <v>0</v>
      </c>
      <c r="AX427">
        <f t="shared" si="187"/>
        <v>0</v>
      </c>
      <c r="AY427">
        <f t="shared" si="188"/>
        <v>0</v>
      </c>
      <c r="AZ427">
        <f t="shared" si="189"/>
        <v>0</v>
      </c>
      <c r="BA427">
        <f t="shared" si="190"/>
        <v>0</v>
      </c>
      <c r="BB427">
        <f t="shared" si="191"/>
        <v>0</v>
      </c>
      <c r="BC427">
        <f t="shared" si="192"/>
        <v>0</v>
      </c>
      <c r="BD427">
        <f t="shared" si="193"/>
        <v>0</v>
      </c>
      <c r="BE427">
        <f t="shared" si="194"/>
        <v>0</v>
      </c>
      <c r="BF427">
        <f t="shared" si="195"/>
        <v>0</v>
      </c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</row>
    <row r="428" spans="1:256" s="201" customFormat="1" ht="14.25" x14ac:dyDescent="0.2">
      <c r="A428" s="10">
        <v>3440</v>
      </c>
      <c r="B428" s="11" t="s">
        <v>1095</v>
      </c>
      <c r="C428" s="105" t="s">
        <v>1096</v>
      </c>
      <c r="D428" s="11" t="s">
        <v>147</v>
      </c>
      <c r="E428" s="12">
        <v>20058</v>
      </c>
      <c r="F428" s="202">
        <v>4</v>
      </c>
      <c r="G428" s="11">
        <v>50000</v>
      </c>
      <c r="H428" s="116">
        <v>0</v>
      </c>
      <c r="I428" s="192"/>
      <c r="J428" s="204"/>
      <c r="K428" s="193"/>
      <c r="L428" s="193"/>
      <c r="M428" s="193"/>
      <c r="N428" s="203">
        <f t="shared" si="168"/>
        <v>50000</v>
      </c>
      <c r="O428" s="203">
        <f t="shared" si="169"/>
        <v>50000</v>
      </c>
      <c r="P428" s="203">
        <f t="shared" si="170"/>
        <v>50000</v>
      </c>
      <c r="Q428" s="214"/>
      <c r="R428" s="215"/>
      <c r="S428" s="218">
        <v>45630</v>
      </c>
      <c r="T428" s="205"/>
      <c r="U428" s="205"/>
      <c r="V428" s="216"/>
      <c r="W428" s="212"/>
      <c r="X428" s="10">
        <v>7</v>
      </c>
      <c r="Y428" s="10">
        <v>7</v>
      </c>
      <c r="Z428" s="213">
        <f t="shared" si="171"/>
        <v>50000</v>
      </c>
      <c r="AA428" s="62"/>
      <c r="AB428" s="62"/>
      <c r="AC428" s="62"/>
      <c r="AD428" s="62"/>
      <c r="AE428" s="62"/>
      <c r="AF428" s="63"/>
      <c r="AG428" s="64"/>
      <c r="AH428" s="6">
        <v>1</v>
      </c>
      <c r="AI428">
        <f t="shared" si="172"/>
        <v>15</v>
      </c>
      <c r="AJ428">
        <f t="shared" si="173"/>
        <v>25</v>
      </c>
      <c r="AK428">
        <f t="shared" si="174"/>
        <v>0</v>
      </c>
      <c r="AL428">
        <f t="shared" si="175"/>
        <v>0</v>
      </c>
      <c r="AM428">
        <f t="shared" si="176"/>
        <v>0</v>
      </c>
      <c r="AN428">
        <f t="shared" si="177"/>
        <v>0</v>
      </c>
      <c r="AO428">
        <f t="shared" si="178"/>
        <v>0</v>
      </c>
      <c r="AP428">
        <f t="shared" si="179"/>
        <v>0</v>
      </c>
      <c r="AQ428">
        <f t="shared" si="180"/>
        <v>0</v>
      </c>
      <c r="AR428">
        <f t="shared" si="181"/>
        <v>0</v>
      </c>
      <c r="AS428">
        <f t="shared" si="182"/>
        <v>0</v>
      </c>
      <c r="AT428">
        <f t="shared" si="183"/>
        <v>0</v>
      </c>
      <c r="AU428">
        <f t="shared" si="184"/>
        <v>1</v>
      </c>
      <c r="AV428">
        <f t="shared" si="185"/>
        <v>1</v>
      </c>
      <c r="AW428">
        <f t="shared" si="186"/>
        <v>0</v>
      </c>
      <c r="AX428">
        <f t="shared" si="187"/>
        <v>0</v>
      </c>
      <c r="AY428">
        <f t="shared" si="188"/>
        <v>0</v>
      </c>
      <c r="AZ428">
        <f t="shared" si="189"/>
        <v>0</v>
      </c>
      <c r="BA428">
        <f t="shared" si="190"/>
        <v>0</v>
      </c>
      <c r="BB428">
        <f t="shared" si="191"/>
        <v>1</v>
      </c>
      <c r="BC428">
        <f t="shared" si="192"/>
        <v>1</v>
      </c>
      <c r="BD428">
        <f t="shared" si="193"/>
        <v>50000</v>
      </c>
      <c r="BE428">
        <f t="shared" si="194"/>
        <v>0</v>
      </c>
      <c r="BF428">
        <f t="shared" si="195"/>
        <v>50000</v>
      </c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</row>
    <row r="429" spans="1:256" s="201" customFormat="1" ht="14.25" x14ac:dyDescent="0.2">
      <c r="A429" s="10">
        <v>3441</v>
      </c>
      <c r="B429" s="11" t="s">
        <v>1097</v>
      </c>
      <c r="C429" s="105" t="s">
        <v>1098</v>
      </c>
      <c r="D429" s="11" t="s">
        <v>157</v>
      </c>
      <c r="E429" s="12">
        <v>20059</v>
      </c>
      <c r="F429" s="202">
        <v>4</v>
      </c>
      <c r="G429" s="11">
        <v>90000</v>
      </c>
      <c r="H429" s="116">
        <v>0</v>
      </c>
      <c r="I429" s="192"/>
      <c r="J429" s="204"/>
      <c r="K429" s="193"/>
      <c r="L429" s="193"/>
      <c r="M429" s="193"/>
      <c r="N429" s="203">
        <f t="shared" si="168"/>
        <v>90000</v>
      </c>
      <c r="O429" s="203">
        <f t="shared" si="169"/>
        <v>90000</v>
      </c>
      <c r="P429" s="203">
        <f t="shared" si="170"/>
        <v>90000</v>
      </c>
      <c r="Q429" s="214"/>
      <c r="R429" s="215"/>
      <c r="S429" s="218">
        <v>45631</v>
      </c>
      <c r="T429" s="205"/>
      <c r="U429" s="205"/>
      <c r="V429" s="216"/>
      <c r="W429" s="212"/>
      <c r="X429" s="10">
        <v>7</v>
      </c>
      <c r="Y429" s="10">
        <v>7</v>
      </c>
      <c r="Z429" s="213">
        <f t="shared" si="171"/>
        <v>90000</v>
      </c>
      <c r="AA429" s="62"/>
      <c r="AB429" s="62"/>
      <c r="AC429" s="62"/>
      <c r="AD429" s="62"/>
      <c r="AE429" s="62"/>
      <c r="AF429" s="63"/>
      <c r="AG429" s="64"/>
      <c r="AH429" s="6">
        <v>1</v>
      </c>
      <c r="AI429">
        <f t="shared" si="172"/>
        <v>15</v>
      </c>
      <c r="AJ429">
        <f t="shared" si="173"/>
        <v>25</v>
      </c>
      <c r="AK429">
        <f t="shared" si="174"/>
        <v>0</v>
      </c>
      <c r="AL429">
        <f t="shared" si="175"/>
        <v>0</v>
      </c>
      <c r="AM429">
        <f t="shared" si="176"/>
        <v>0</v>
      </c>
      <c r="AN429">
        <f t="shared" si="177"/>
        <v>0</v>
      </c>
      <c r="AO429">
        <f t="shared" si="178"/>
        <v>0</v>
      </c>
      <c r="AP429">
        <f t="shared" si="179"/>
        <v>0</v>
      </c>
      <c r="AQ429">
        <f t="shared" si="180"/>
        <v>0</v>
      </c>
      <c r="AR429">
        <f t="shared" si="181"/>
        <v>0</v>
      </c>
      <c r="AS429">
        <f t="shared" si="182"/>
        <v>0</v>
      </c>
      <c r="AT429">
        <f t="shared" si="183"/>
        <v>0</v>
      </c>
      <c r="AU429">
        <f t="shared" si="184"/>
        <v>1</v>
      </c>
      <c r="AV429">
        <f t="shared" si="185"/>
        <v>1</v>
      </c>
      <c r="AW429">
        <f t="shared" si="186"/>
        <v>0</v>
      </c>
      <c r="AX429">
        <f t="shared" si="187"/>
        <v>0</v>
      </c>
      <c r="AY429">
        <f t="shared" si="188"/>
        <v>0</v>
      </c>
      <c r="AZ429">
        <f t="shared" si="189"/>
        <v>0</v>
      </c>
      <c r="BA429">
        <f t="shared" si="190"/>
        <v>0</v>
      </c>
      <c r="BB429">
        <f t="shared" si="191"/>
        <v>1</v>
      </c>
      <c r="BC429">
        <f t="shared" si="192"/>
        <v>1</v>
      </c>
      <c r="BD429">
        <f t="shared" si="193"/>
        <v>90000</v>
      </c>
      <c r="BE429">
        <f t="shared" si="194"/>
        <v>0</v>
      </c>
      <c r="BF429">
        <f t="shared" si="195"/>
        <v>90000</v>
      </c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</row>
    <row r="430" spans="1:256" s="201" customFormat="1" ht="14.25" x14ac:dyDescent="0.2">
      <c r="A430" s="10">
        <v>3442</v>
      </c>
      <c r="B430" s="11" t="s">
        <v>1099</v>
      </c>
      <c r="C430" s="105" t="s">
        <v>1100</v>
      </c>
      <c r="D430" s="11" t="s">
        <v>157</v>
      </c>
      <c r="E430" s="12">
        <v>20246</v>
      </c>
      <c r="F430" s="202">
        <v>4</v>
      </c>
      <c r="G430" s="11">
        <v>60000</v>
      </c>
      <c r="H430" s="116">
        <v>0</v>
      </c>
      <c r="I430" s="192"/>
      <c r="J430" s="204"/>
      <c r="K430" s="193"/>
      <c r="L430" s="193"/>
      <c r="M430" s="193"/>
      <c r="N430" s="203">
        <f t="shared" si="168"/>
        <v>60000</v>
      </c>
      <c r="O430" s="203">
        <f t="shared" si="169"/>
        <v>60000</v>
      </c>
      <c r="P430" s="203">
        <f t="shared" si="170"/>
        <v>60000</v>
      </c>
      <c r="Q430" s="214"/>
      <c r="R430" s="215"/>
      <c r="S430" s="218">
        <v>45645</v>
      </c>
      <c r="T430" s="205"/>
      <c r="U430" s="205"/>
      <c r="V430" s="216"/>
      <c r="W430" s="212"/>
      <c r="X430" s="10">
        <v>7</v>
      </c>
      <c r="Y430" s="10">
        <v>7</v>
      </c>
      <c r="Z430" s="213">
        <f t="shared" si="171"/>
        <v>60000</v>
      </c>
      <c r="AA430" s="62"/>
      <c r="AB430" s="62"/>
      <c r="AC430" s="62"/>
      <c r="AD430" s="62"/>
      <c r="AE430" s="62"/>
      <c r="AF430" s="63"/>
      <c r="AG430" s="64"/>
      <c r="AH430" s="6">
        <v>1</v>
      </c>
      <c r="AI430">
        <f t="shared" si="172"/>
        <v>15</v>
      </c>
      <c r="AJ430">
        <f t="shared" si="173"/>
        <v>25</v>
      </c>
      <c r="AK430">
        <f t="shared" si="174"/>
        <v>0</v>
      </c>
      <c r="AL430">
        <f t="shared" si="175"/>
        <v>0</v>
      </c>
      <c r="AM430">
        <f t="shared" si="176"/>
        <v>0</v>
      </c>
      <c r="AN430">
        <f t="shared" si="177"/>
        <v>0</v>
      </c>
      <c r="AO430">
        <f t="shared" si="178"/>
        <v>0</v>
      </c>
      <c r="AP430">
        <f t="shared" si="179"/>
        <v>0</v>
      </c>
      <c r="AQ430">
        <f t="shared" si="180"/>
        <v>0</v>
      </c>
      <c r="AR430">
        <f t="shared" si="181"/>
        <v>0</v>
      </c>
      <c r="AS430">
        <f t="shared" si="182"/>
        <v>0</v>
      </c>
      <c r="AT430">
        <f t="shared" si="183"/>
        <v>0</v>
      </c>
      <c r="AU430">
        <f t="shared" si="184"/>
        <v>1</v>
      </c>
      <c r="AV430">
        <f t="shared" si="185"/>
        <v>1</v>
      </c>
      <c r="AW430">
        <f t="shared" si="186"/>
        <v>0</v>
      </c>
      <c r="AX430">
        <f t="shared" si="187"/>
        <v>0</v>
      </c>
      <c r="AY430">
        <f t="shared" si="188"/>
        <v>0</v>
      </c>
      <c r="AZ430">
        <f t="shared" si="189"/>
        <v>0</v>
      </c>
      <c r="BA430">
        <f t="shared" si="190"/>
        <v>0</v>
      </c>
      <c r="BB430">
        <f t="shared" si="191"/>
        <v>1</v>
      </c>
      <c r="BC430">
        <f t="shared" si="192"/>
        <v>1</v>
      </c>
      <c r="BD430">
        <f t="shared" si="193"/>
        <v>60000</v>
      </c>
      <c r="BE430">
        <f t="shared" si="194"/>
        <v>0</v>
      </c>
      <c r="BF430">
        <f t="shared" si="195"/>
        <v>60000</v>
      </c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</row>
    <row r="431" spans="1:256" s="201" customFormat="1" ht="14.25" x14ac:dyDescent="0.2">
      <c r="A431" s="10">
        <v>3444</v>
      </c>
      <c r="B431" s="11" t="s">
        <v>1101</v>
      </c>
      <c r="C431" s="105" t="s">
        <v>1102</v>
      </c>
      <c r="D431" s="11" t="s">
        <v>147</v>
      </c>
      <c r="E431" s="12">
        <v>20302</v>
      </c>
      <c r="F431" s="202">
        <v>4</v>
      </c>
      <c r="G431" s="11">
        <v>150000</v>
      </c>
      <c r="H431" s="116">
        <v>0</v>
      </c>
      <c r="I431" s="192"/>
      <c r="J431" s="204"/>
      <c r="K431" s="193"/>
      <c r="L431" s="193"/>
      <c r="M431" s="193"/>
      <c r="N431" s="203">
        <f t="shared" si="168"/>
        <v>150000</v>
      </c>
      <c r="O431" s="203">
        <f t="shared" si="169"/>
        <v>150000</v>
      </c>
      <c r="P431" s="203">
        <f t="shared" si="170"/>
        <v>150000</v>
      </c>
      <c r="Q431" s="214"/>
      <c r="R431" s="215"/>
      <c r="S431" s="218">
        <v>45638</v>
      </c>
      <c r="T431" s="205"/>
      <c r="U431" s="205"/>
      <c r="V431" s="216"/>
      <c r="W431" s="212"/>
      <c r="X431" s="10">
        <v>7</v>
      </c>
      <c r="Y431" s="10">
        <v>7</v>
      </c>
      <c r="Z431" s="213">
        <f t="shared" si="171"/>
        <v>150000</v>
      </c>
      <c r="AA431" s="62"/>
      <c r="AB431" s="62"/>
      <c r="AC431" s="62"/>
      <c r="AD431" s="62"/>
      <c r="AE431" s="62"/>
      <c r="AF431" s="63"/>
      <c r="AG431" s="64"/>
      <c r="AH431" s="6">
        <v>1</v>
      </c>
      <c r="AI431">
        <f t="shared" si="172"/>
        <v>15</v>
      </c>
      <c r="AJ431">
        <f t="shared" si="173"/>
        <v>25</v>
      </c>
      <c r="AK431">
        <f t="shared" si="174"/>
        <v>0</v>
      </c>
      <c r="AL431">
        <f t="shared" si="175"/>
        <v>0</v>
      </c>
      <c r="AM431">
        <f t="shared" si="176"/>
        <v>0</v>
      </c>
      <c r="AN431">
        <f t="shared" si="177"/>
        <v>0</v>
      </c>
      <c r="AO431">
        <f t="shared" si="178"/>
        <v>0</v>
      </c>
      <c r="AP431">
        <f t="shared" si="179"/>
        <v>0</v>
      </c>
      <c r="AQ431">
        <f t="shared" si="180"/>
        <v>0</v>
      </c>
      <c r="AR431">
        <f t="shared" si="181"/>
        <v>0</v>
      </c>
      <c r="AS431">
        <f t="shared" si="182"/>
        <v>0</v>
      </c>
      <c r="AT431">
        <f t="shared" si="183"/>
        <v>0</v>
      </c>
      <c r="AU431">
        <f t="shared" si="184"/>
        <v>1</v>
      </c>
      <c r="AV431">
        <f t="shared" si="185"/>
        <v>1</v>
      </c>
      <c r="AW431">
        <f t="shared" si="186"/>
        <v>0</v>
      </c>
      <c r="AX431">
        <f t="shared" si="187"/>
        <v>0</v>
      </c>
      <c r="AY431">
        <f t="shared" si="188"/>
        <v>0</v>
      </c>
      <c r="AZ431">
        <f t="shared" si="189"/>
        <v>0</v>
      </c>
      <c r="BA431">
        <f t="shared" si="190"/>
        <v>0</v>
      </c>
      <c r="BB431">
        <f t="shared" si="191"/>
        <v>1</v>
      </c>
      <c r="BC431">
        <f t="shared" si="192"/>
        <v>1</v>
      </c>
      <c r="BD431">
        <f t="shared" si="193"/>
        <v>150000</v>
      </c>
      <c r="BE431">
        <f t="shared" si="194"/>
        <v>0</v>
      </c>
      <c r="BF431">
        <f t="shared" si="195"/>
        <v>150000</v>
      </c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</row>
    <row r="432" spans="1:256" s="201" customFormat="1" ht="14.25" x14ac:dyDescent="0.2">
      <c r="A432" s="10">
        <v>3445</v>
      </c>
      <c r="B432" s="11" t="s">
        <v>1103</v>
      </c>
      <c r="C432" s="105" t="s">
        <v>1104</v>
      </c>
      <c r="D432" s="11" t="s">
        <v>105</v>
      </c>
      <c r="E432" s="12">
        <v>20303</v>
      </c>
      <c r="F432" s="202">
        <v>4</v>
      </c>
      <c r="G432" s="11">
        <v>300000</v>
      </c>
      <c r="H432" s="116">
        <v>0</v>
      </c>
      <c r="I432" s="192"/>
      <c r="J432" s="204"/>
      <c r="K432" s="193"/>
      <c r="L432" s="193"/>
      <c r="M432" s="193"/>
      <c r="N432" s="203">
        <f t="shared" si="168"/>
        <v>300000</v>
      </c>
      <c r="O432" s="203">
        <f t="shared" si="169"/>
        <v>300000</v>
      </c>
      <c r="P432" s="203">
        <f t="shared" si="170"/>
        <v>300000</v>
      </c>
      <c r="Q432" s="214">
        <v>45661</v>
      </c>
      <c r="R432" s="215"/>
      <c r="S432" s="218">
        <v>45635</v>
      </c>
      <c r="T432" s="205"/>
      <c r="U432" s="205"/>
      <c r="V432" s="216" t="s">
        <v>330</v>
      </c>
      <c r="W432" s="212"/>
      <c r="X432" s="10">
        <v>7</v>
      </c>
      <c r="Y432" s="10">
        <v>7</v>
      </c>
      <c r="Z432" s="213">
        <f t="shared" si="171"/>
        <v>300000</v>
      </c>
      <c r="AA432" s="62"/>
      <c r="AB432" s="62"/>
      <c r="AC432" s="62"/>
      <c r="AD432" s="62"/>
      <c r="AE432" s="62"/>
      <c r="AF432" s="63"/>
      <c r="AG432" s="64"/>
      <c r="AH432" s="6">
        <v>1</v>
      </c>
      <c r="AI432">
        <f t="shared" si="172"/>
        <v>15</v>
      </c>
      <c r="AJ432">
        <f t="shared" si="173"/>
        <v>25</v>
      </c>
      <c r="AK432">
        <f t="shared" si="174"/>
        <v>0</v>
      </c>
      <c r="AL432">
        <f t="shared" si="175"/>
        <v>0</v>
      </c>
      <c r="AM432">
        <f t="shared" si="176"/>
        <v>0</v>
      </c>
      <c r="AN432">
        <f t="shared" si="177"/>
        <v>0</v>
      </c>
      <c r="AO432">
        <f t="shared" si="178"/>
        <v>0</v>
      </c>
      <c r="AP432">
        <f t="shared" si="179"/>
        <v>0</v>
      </c>
      <c r="AQ432">
        <f t="shared" si="180"/>
        <v>0</v>
      </c>
      <c r="AR432">
        <f t="shared" si="181"/>
        <v>0</v>
      </c>
      <c r="AS432">
        <f t="shared" si="182"/>
        <v>0</v>
      </c>
      <c r="AT432">
        <f t="shared" si="183"/>
        <v>0</v>
      </c>
      <c r="AU432">
        <f t="shared" si="184"/>
        <v>1</v>
      </c>
      <c r="AV432">
        <f t="shared" si="185"/>
        <v>1</v>
      </c>
      <c r="AW432">
        <f t="shared" si="186"/>
        <v>0</v>
      </c>
      <c r="AX432">
        <f t="shared" si="187"/>
        <v>0</v>
      </c>
      <c r="AY432">
        <f t="shared" si="188"/>
        <v>0</v>
      </c>
      <c r="AZ432">
        <f t="shared" si="189"/>
        <v>0</v>
      </c>
      <c r="BA432">
        <f t="shared" si="190"/>
        <v>0</v>
      </c>
      <c r="BB432">
        <f t="shared" si="191"/>
        <v>1</v>
      </c>
      <c r="BC432">
        <f t="shared" si="192"/>
        <v>1</v>
      </c>
      <c r="BD432">
        <f t="shared" si="193"/>
        <v>300000</v>
      </c>
      <c r="BE432">
        <f t="shared" si="194"/>
        <v>0</v>
      </c>
      <c r="BF432">
        <f t="shared" si="195"/>
        <v>300000</v>
      </c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</row>
    <row r="433" spans="1:256" s="201" customFormat="1" ht="14.25" x14ac:dyDescent="0.2">
      <c r="A433" s="10">
        <v>3448</v>
      </c>
      <c r="B433" s="11" t="s">
        <v>1105</v>
      </c>
      <c r="C433" s="105" t="s">
        <v>1106</v>
      </c>
      <c r="D433" s="11" t="s">
        <v>105</v>
      </c>
      <c r="E433" s="12">
        <v>20308</v>
      </c>
      <c r="F433" s="202">
        <v>4</v>
      </c>
      <c r="G433" s="11">
        <v>70000</v>
      </c>
      <c r="H433" s="116">
        <v>0</v>
      </c>
      <c r="I433" s="192"/>
      <c r="J433" s="204"/>
      <c r="K433" s="193"/>
      <c r="L433" s="193"/>
      <c r="M433" s="193"/>
      <c r="N433" s="203">
        <f t="shared" si="168"/>
        <v>70000</v>
      </c>
      <c r="O433" s="203">
        <f t="shared" si="169"/>
        <v>70000</v>
      </c>
      <c r="P433" s="203">
        <f t="shared" si="170"/>
        <v>70000</v>
      </c>
      <c r="Q433" s="214"/>
      <c r="R433" s="215"/>
      <c r="S433" s="218">
        <v>45645</v>
      </c>
      <c r="T433" s="205"/>
      <c r="U433" s="205"/>
      <c r="V433" s="216"/>
      <c r="W433" s="212"/>
      <c r="X433" s="10">
        <v>7</v>
      </c>
      <c r="Y433" s="10">
        <v>7</v>
      </c>
      <c r="Z433" s="213">
        <f t="shared" si="171"/>
        <v>70000</v>
      </c>
      <c r="AA433" s="62"/>
      <c r="AB433" s="62"/>
      <c r="AC433" s="62"/>
      <c r="AD433" s="62"/>
      <c r="AE433" s="62"/>
      <c r="AF433" s="63"/>
      <c r="AG433" s="64"/>
      <c r="AH433" s="6">
        <v>1</v>
      </c>
      <c r="AI433">
        <f t="shared" si="172"/>
        <v>15</v>
      </c>
      <c r="AJ433">
        <f t="shared" si="173"/>
        <v>25</v>
      </c>
      <c r="AK433">
        <f t="shared" si="174"/>
        <v>0</v>
      </c>
      <c r="AL433">
        <f t="shared" si="175"/>
        <v>0</v>
      </c>
      <c r="AM433">
        <f t="shared" si="176"/>
        <v>0</v>
      </c>
      <c r="AN433">
        <f t="shared" si="177"/>
        <v>0</v>
      </c>
      <c r="AO433">
        <f t="shared" si="178"/>
        <v>0</v>
      </c>
      <c r="AP433">
        <f t="shared" si="179"/>
        <v>0</v>
      </c>
      <c r="AQ433">
        <f t="shared" si="180"/>
        <v>0</v>
      </c>
      <c r="AR433">
        <f t="shared" si="181"/>
        <v>0</v>
      </c>
      <c r="AS433">
        <f t="shared" si="182"/>
        <v>0</v>
      </c>
      <c r="AT433">
        <f t="shared" si="183"/>
        <v>0</v>
      </c>
      <c r="AU433">
        <f t="shared" si="184"/>
        <v>1</v>
      </c>
      <c r="AV433">
        <f t="shared" si="185"/>
        <v>1</v>
      </c>
      <c r="AW433">
        <f t="shared" si="186"/>
        <v>0</v>
      </c>
      <c r="AX433">
        <f t="shared" si="187"/>
        <v>0</v>
      </c>
      <c r="AY433">
        <f t="shared" si="188"/>
        <v>0</v>
      </c>
      <c r="AZ433">
        <f t="shared" si="189"/>
        <v>0</v>
      </c>
      <c r="BA433">
        <f t="shared" si="190"/>
        <v>0</v>
      </c>
      <c r="BB433">
        <f t="shared" si="191"/>
        <v>1</v>
      </c>
      <c r="BC433">
        <f t="shared" si="192"/>
        <v>1</v>
      </c>
      <c r="BD433">
        <f t="shared" si="193"/>
        <v>70000</v>
      </c>
      <c r="BE433">
        <f t="shared" si="194"/>
        <v>0</v>
      </c>
      <c r="BF433">
        <f t="shared" si="195"/>
        <v>70000</v>
      </c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</row>
    <row r="434" spans="1:256" s="201" customFormat="1" ht="14.25" x14ac:dyDescent="0.2">
      <c r="A434" s="10">
        <v>3450</v>
      </c>
      <c r="B434" s="11" t="s">
        <v>1107</v>
      </c>
      <c r="C434" s="105" t="s">
        <v>1108</v>
      </c>
      <c r="D434" s="11" t="s">
        <v>105</v>
      </c>
      <c r="E434" s="12">
        <v>20315</v>
      </c>
      <c r="F434" s="202">
        <v>4</v>
      </c>
      <c r="G434" s="11">
        <v>200000</v>
      </c>
      <c r="H434" s="116">
        <v>0</v>
      </c>
      <c r="I434" s="192"/>
      <c r="J434" s="204"/>
      <c r="K434" s="193"/>
      <c r="L434" s="193"/>
      <c r="M434" s="193"/>
      <c r="N434" s="203">
        <f t="shared" si="168"/>
        <v>200000</v>
      </c>
      <c r="O434" s="203">
        <f t="shared" si="169"/>
        <v>200000</v>
      </c>
      <c r="P434" s="203">
        <f t="shared" si="170"/>
        <v>200000</v>
      </c>
      <c r="Q434" s="214">
        <v>45664</v>
      </c>
      <c r="R434" s="215"/>
      <c r="S434" s="218">
        <v>45633</v>
      </c>
      <c r="T434" s="205"/>
      <c r="U434" s="205"/>
      <c r="V434" s="216" t="s">
        <v>1131</v>
      </c>
      <c r="W434" s="212"/>
      <c r="X434" s="10">
        <v>7</v>
      </c>
      <c r="Y434" s="10">
        <v>7</v>
      </c>
      <c r="Z434" s="213">
        <f t="shared" si="171"/>
        <v>200000</v>
      </c>
      <c r="AA434" s="62"/>
      <c r="AB434" s="62"/>
      <c r="AC434" s="62"/>
      <c r="AD434" s="62"/>
      <c r="AE434" s="62"/>
      <c r="AF434" s="63"/>
      <c r="AG434" s="64"/>
      <c r="AH434" s="6">
        <v>1</v>
      </c>
      <c r="AI434">
        <f t="shared" si="172"/>
        <v>15</v>
      </c>
      <c r="AJ434">
        <f t="shared" si="173"/>
        <v>25</v>
      </c>
      <c r="AK434">
        <f t="shared" si="174"/>
        <v>0</v>
      </c>
      <c r="AL434">
        <f t="shared" si="175"/>
        <v>0</v>
      </c>
      <c r="AM434">
        <f t="shared" si="176"/>
        <v>0</v>
      </c>
      <c r="AN434">
        <f t="shared" si="177"/>
        <v>0</v>
      </c>
      <c r="AO434">
        <f t="shared" si="178"/>
        <v>0</v>
      </c>
      <c r="AP434">
        <f t="shared" si="179"/>
        <v>0</v>
      </c>
      <c r="AQ434">
        <f t="shared" si="180"/>
        <v>0</v>
      </c>
      <c r="AR434">
        <f t="shared" si="181"/>
        <v>0</v>
      </c>
      <c r="AS434">
        <f t="shared" si="182"/>
        <v>0</v>
      </c>
      <c r="AT434">
        <f t="shared" si="183"/>
        <v>0</v>
      </c>
      <c r="AU434">
        <f t="shared" si="184"/>
        <v>1</v>
      </c>
      <c r="AV434">
        <f t="shared" si="185"/>
        <v>1</v>
      </c>
      <c r="AW434">
        <f t="shared" si="186"/>
        <v>0</v>
      </c>
      <c r="AX434">
        <f t="shared" si="187"/>
        <v>0</v>
      </c>
      <c r="AY434">
        <f t="shared" si="188"/>
        <v>0</v>
      </c>
      <c r="AZ434">
        <f t="shared" si="189"/>
        <v>0</v>
      </c>
      <c r="BA434">
        <f t="shared" si="190"/>
        <v>0</v>
      </c>
      <c r="BB434">
        <f t="shared" si="191"/>
        <v>1</v>
      </c>
      <c r="BC434">
        <f t="shared" si="192"/>
        <v>1</v>
      </c>
      <c r="BD434">
        <f t="shared" si="193"/>
        <v>200000</v>
      </c>
      <c r="BE434">
        <f t="shared" si="194"/>
        <v>0</v>
      </c>
      <c r="BF434">
        <f t="shared" si="195"/>
        <v>200000</v>
      </c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</row>
    <row r="435" spans="1:256" s="201" customFormat="1" ht="14.25" x14ac:dyDescent="0.2">
      <c r="A435" s="10">
        <v>3451</v>
      </c>
      <c r="B435" s="11" t="s">
        <v>1109</v>
      </c>
      <c r="C435" s="105" t="s">
        <v>1110</v>
      </c>
      <c r="D435" s="11" t="s">
        <v>160</v>
      </c>
      <c r="E435" s="12">
        <v>3981</v>
      </c>
      <c r="F435" s="202">
        <v>3</v>
      </c>
      <c r="G435" s="11">
        <v>100000</v>
      </c>
      <c r="H435" s="116">
        <v>0</v>
      </c>
      <c r="I435" s="192"/>
      <c r="J435" s="204"/>
      <c r="K435" s="193"/>
      <c r="L435" s="193"/>
      <c r="M435" s="193"/>
      <c r="N435" s="203">
        <f t="shared" si="168"/>
        <v>100000</v>
      </c>
      <c r="O435" s="203">
        <f t="shared" si="169"/>
        <v>100000</v>
      </c>
      <c r="P435" s="203">
        <f t="shared" si="170"/>
        <v>100000</v>
      </c>
      <c r="Q435" s="214">
        <v>45665</v>
      </c>
      <c r="R435" s="215"/>
      <c r="S435" s="218">
        <v>45645</v>
      </c>
      <c r="T435" s="205"/>
      <c r="U435" s="205"/>
      <c r="V435" s="216" t="s">
        <v>1131</v>
      </c>
      <c r="W435" s="212"/>
      <c r="X435" s="10">
        <v>7</v>
      </c>
      <c r="Y435" s="10">
        <v>7</v>
      </c>
      <c r="Z435" s="213">
        <f t="shared" si="171"/>
        <v>100000</v>
      </c>
      <c r="AA435" s="62"/>
      <c r="AB435" s="62"/>
      <c r="AC435" s="62"/>
      <c r="AD435" s="62"/>
      <c r="AE435" s="62"/>
      <c r="AF435" s="63"/>
      <c r="AG435" s="64"/>
      <c r="AH435" s="6">
        <v>1</v>
      </c>
      <c r="AI435">
        <f t="shared" si="172"/>
        <v>15</v>
      </c>
      <c r="AJ435">
        <f t="shared" si="173"/>
        <v>25</v>
      </c>
      <c r="AK435">
        <f t="shared" si="174"/>
        <v>0</v>
      </c>
      <c r="AL435">
        <f t="shared" si="175"/>
        <v>0</v>
      </c>
      <c r="AM435">
        <f t="shared" si="176"/>
        <v>0</v>
      </c>
      <c r="AN435">
        <f t="shared" si="177"/>
        <v>0</v>
      </c>
      <c r="AO435">
        <f t="shared" si="178"/>
        <v>0</v>
      </c>
      <c r="AP435">
        <f t="shared" si="179"/>
        <v>0</v>
      </c>
      <c r="AQ435">
        <f t="shared" si="180"/>
        <v>0</v>
      </c>
      <c r="AR435">
        <f t="shared" si="181"/>
        <v>0</v>
      </c>
      <c r="AS435">
        <f t="shared" si="182"/>
        <v>0</v>
      </c>
      <c r="AT435">
        <f t="shared" si="183"/>
        <v>0</v>
      </c>
      <c r="AU435">
        <f t="shared" si="184"/>
        <v>1</v>
      </c>
      <c r="AV435">
        <f t="shared" si="185"/>
        <v>1</v>
      </c>
      <c r="AW435">
        <f t="shared" si="186"/>
        <v>0</v>
      </c>
      <c r="AX435">
        <f t="shared" si="187"/>
        <v>0</v>
      </c>
      <c r="AY435">
        <f t="shared" si="188"/>
        <v>0</v>
      </c>
      <c r="AZ435">
        <f t="shared" si="189"/>
        <v>0</v>
      </c>
      <c r="BA435">
        <f t="shared" si="190"/>
        <v>0</v>
      </c>
      <c r="BB435">
        <f t="shared" si="191"/>
        <v>1</v>
      </c>
      <c r="BC435">
        <f t="shared" si="192"/>
        <v>1</v>
      </c>
      <c r="BD435">
        <f t="shared" si="193"/>
        <v>100000</v>
      </c>
      <c r="BE435">
        <f t="shared" si="194"/>
        <v>0</v>
      </c>
      <c r="BF435">
        <f t="shared" si="195"/>
        <v>100000</v>
      </c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</row>
    <row r="436" spans="1:256" s="201" customFormat="1" ht="14.25" x14ac:dyDescent="0.2">
      <c r="A436" s="10">
        <v>3452</v>
      </c>
      <c r="B436" s="11" t="s">
        <v>1109</v>
      </c>
      <c r="C436" s="105" t="s">
        <v>1110</v>
      </c>
      <c r="D436" s="11" t="s">
        <v>160</v>
      </c>
      <c r="E436" s="12">
        <v>20060</v>
      </c>
      <c r="F436" s="202">
        <v>3</v>
      </c>
      <c r="G436" s="11">
        <v>100000</v>
      </c>
      <c r="H436" s="116">
        <v>0</v>
      </c>
      <c r="I436" s="192"/>
      <c r="J436" s="204"/>
      <c r="K436" s="193"/>
      <c r="L436" s="193"/>
      <c r="M436" s="193"/>
      <c r="N436" s="203">
        <f t="shared" si="168"/>
        <v>100000</v>
      </c>
      <c r="O436" s="203">
        <f t="shared" si="169"/>
        <v>100000</v>
      </c>
      <c r="P436" s="203">
        <f t="shared" si="170"/>
        <v>100000</v>
      </c>
      <c r="Q436" s="214">
        <v>45665</v>
      </c>
      <c r="R436" s="215"/>
      <c r="S436" s="218">
        <v>45645</v>
      </c>
      <c r="T436" s="205"/>
      <c r="U436" s="205"/>
      <c r="V436" s="216" t="s">
        <v>1131</v>
      </c>
      <c r="W436" s="212"/>
      <c r="X436" s="10">
        <v>7</v>
      </c>
      <c r="Y436" s="10">
        <v>7</v>
      </c>
      <c r="Z436" s="213">
        <f t="shared" si="171"/>
        <v>100000</v>
      </c>
      <c r="AA436" s="62"/>
      <c r="AB436" s="62"/>
      <c r="AC436" s="62"/>
      <c r="AD436" s="62"/>
      <c r="AE436" s="62"/>
      <c r="AF436" s="63"/>
      <c r="AG436" s="64"/>
      <c r="AH436" s="6">
        <v>1</v>
      </c>
      <c r="AI436">
        <f t="shared" si="172"/>
        <v>15</v>
      </c>
      <c r="AJ436">
        <f t="shared" si="173"/>
        <v>25</v>
      </c>
      <c r="AK436">
        <f t="shared" si="174"/>
        <v>0</v>
      </c>
      <c r="AL436">
        <f t="shared" si="175"/>
        <v>0</v>
      </c>
      <c r="AM436">
        <f t="shared" si="176"/>
        <v>0</v>
      </c>
      <c r="AN436">
        <f t="shared" si="177"/>
        <v>0</v>
      </c>
      <c r="AO436">
        <f t="shared" si="178"/>
        <v>0</v>
      </c>
      <c r="AP436">
        <f t="shared" si="179"/>
        <v>0</v>
      </c>
      <c r="AQ436">
        <f t="shared" si="180"/>
        <v>0</v>
      </c>
      <c r="AR436">
        <f t="shared" si="181"/>
        <v>0</v>
      </c>
      <c r="AS436">
        <f t="shared" si="182"/>
        <v>0</v>
      </c>
      <c r="AT436">
        <f t="shared" si="183"/>
        <v>0</v>
      </c>
      <c r="AU436">
        <f t="shared" si="184"/>
        <v>1</v>
      </c>
      <c r="AV436">
        <f t="shared" si="185"/>
        <v>1</v>
      </c>
      <c r="AW436">
        <f t="shared" si="186"/>
        <v>0</v>
      </c>
      <c r="AX436">
        <f t="shared" si="187"/>
        <v>0</v>
      </c>
      <c r="AY436">
        <f t="shared" si="188"/>
        <v>0</v>
      </c>
      <c r="AZ436">
        <f t="shared" si="189"/>
        <v>0</v>
      </c>
      <c r="BA436">
        <f t="shared" si="190"/>
        <v>0</v>
      </c>
      <c r="BB436">
        <f t="shared" si="191"/>
        <v>1</v>
      </c>
      <c r="BC436">
        <f t="shared" si="192"/>
        <v>1</v>
      </c>
      <c r="BD436">
        <f t="shared" si="193"/>
        <v>100000</v>
      </c>
      <c r="BE436">
        <f t="shared" si="194"/>
        <v>0</v>
      </c>
      <c r="BF436">
        <f t="shared" si="195"/>
        <v>100000</v>
      </c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</row>
    <row r="437" spans="1:256" s="201" customFormat="1" ht="14.25" x14ac:dyDescent="0.2">
      <c r="A437" s="10">
        <v>3453</v>
      </c>
      <c r="B437" s="11" t="s">
        <v>1111</v>
      </c>
      <c r="C437" s="105" t="s">
        <v>1112</v>
      </c>
      <c r="D437" s="11" t="s">
        <v>105</v>
      </c>
      <c r="E437" s="12">
        <v>20306</v>
      </c>
      <c r="F437" s="202">
        <v>3</v>
      </c>
      <c r="G437" s="11">
        <v>70000</v>
      </c>
      <c r="H437" s="116">
        <v>0</v>
      </c>
      <c r="I437" s="192"/>
      <c r="J437" s="204"/>
      <c r="K437" s="193"/>
      <c r="L437" s="193"/>
      <c r="M437" s="193"/>
      <c r="N437" s="203">
        <f t="shared" si="168"/>
        <v>70000</v>
      </c>
      <c r="O437" s="203">
        <f t="shared" si="169"/>
        <v>70000</v>
      </c>
      <c r="P437" s="203">
        <f t="shared" si="170"/>
        <v>70000</v>
      </c>
      <c r="Q437" s="214"/>
      <c r="R437" s="215"/>
      <c r="S437" s="218">
        <v>45638</v>
      </c>
      <c r="T437" s="205"/>
      <c r="U437" s="205"/>
      <c r="V437" s="216"/>
      <c r="W437" s="212"/>
      <c r="X437" s="10">
        <v>7</v>
      </c>
      <c r="Y437" s="10">
        <v>7</v>
      </c>
      <c r="Z437" s="213">
        <f t="shared" si="171"/>
        <v>70000</v>
      </c>
      <c r="AA437" s="62"/>
      <c r="AB437" s="62"/>
      <c r="AC437" s="62"/>
      <c r="AD437" s="62"/>
      <c r="AE437" s="62"/>
      <c r="AF437" s="63"/>
      <c r="AG437" s="64"/>
      <c r="AH437" s="6">
        <v>1</v>
      </c>
      <c r="AI437">
        <f t="shared" si="172"/>
        <v>15</v>
      </c>
      <c r="AJ437">
        <f t="shared" si="173"/>
        <v>25</v>
      </c>
      <c r="AK437">
        <f t="shared" si="174"/>
        <v>0</v>
      </c>
      <c r="AL437">
        <f t="shared" si="175"/>
        <v>0</v>
      </c>
      <c r="AM437">
        <f t="shared" si="176"/>
        <v>0</v>
      </c>
      <c r="AN437">
        <f t="shared" si="177"/>
        <v>0</v>
      </c>
      <c r="AO437">
        <f t="shared" si="178"/>
        <v>0</v>
      </c>
      <c r="AP437">
        <f t="shared" si="179"/>
        <v>0</v>
      </c>
      <c r="AQ437">
        <f t="shared" si="180"/>
        <v>0</v>
      </c>
      <c r="AR437">
        <f t="shared" si="181"/>
        <v>0</v>
      </c>
      <c r="AS437">
        <f t="shared" si="182"/>
        <v>0</v>
      </c>
      <c r="AT437">
        <f t="shared" si="183"/>
        <v>0</v>
      </c>
      <c r="AU437">
        <f t="shared" si="184"/>
        <v>1</v>
      </c>
      <c r="AV437">
        <f t="shared" si="185"/>
        <v>1</v>
      </c>
      <c r="AW437">
        <f t="shared" si="186"/>
        <v>0</v>
      </c>
      <c r="AX437">
        <f t="shared" si="187"/>
        <v>0</v>
      </c>
      <c r="AY437">
        <f t="shared" si="188"/>
        <v>0</v>
      </c>
      <c r="AZ437">
        <f t="shared" si="189"/>
        <v>0</v>
      </c>
      <c r="BA437">
        <f t="shared" si="190"/>
        <v>0</v>
      </c>
      <c r="BB437">
        <f t="shared" si="191"/>
        <v>1</v>
      </c>
      <c r="BC437">
        <f t="shared" si="192"/>
        <v>1</v>
      </c>
      <c r="BD437">
        <f t="shared" si="193"/>
        <v>70000</v>
      </c>
      <c r="BE437">
        <f t="shared" si="194"/>
        <v>0</v>
      </c>
      <c r="BF437">
        <f t="shared" si="195"/>
        <v>70000</v>
      </c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</row>
    <row r="438" spans="1:256" s="201" customFormat="1" ht="14.25" x14ac:dyDescent="0.2">
      <c r="A438" s="10">
        <v>3454</v>
      </c>
      <c r="B438" s="11" t="s">
        <v>1113</v>
      </c>
      <c r="C438" s="105" t="s">
        <v>1112</v>
      </c>
      <c r="D438" s="11" t="s">
        <v>105</v>
      </c>
      <c r="E438" s="12">
        <v>20307</v>
      </c>
      <c r="F438" s="202">
        <v>3</v>
      </c>
      <c r="G438" s="11">
        <v>70000</v>
      </c>
      <c r="H438" s="116">
        <v>0</v>
      </c>
      <c r="I438" s="192"/>
      <c r="J438" s="204"/>
      <c r="K438" s="193"/>
      <c r="L438" s="193"/>
      <c r="M438" s="193"/>
      <c r="N438" s="203">
        <f t="shared" si="168"/>
        <v>70000</v>
      </c>
      <c r="O438" s="203">
        <f t="shared" si="169"/>
        <v>70000</v>
      </c>
      <c r="P438" s="203">
        <f t="shared" si="170"/>
        <v>70000</v>
      </c>
      <c r="Q438" s="214"/>
      <c r="R438" s="215"/>
      <c r="S438" s="218">
        <v>45638</v>
      </c>
      <c r="T438" s="205"/>
      <c r="U438" s="205"/>
      <c r="V438" s="216"/>
      <c r="W438" s="212"/>
      <c r="X438" s="10">
        <v>7</v>
      </c>
      <c r="Y438" s="10">
        <v>7</v>
      </c>
      <c r="Z438" s="213">
        <f t="shared" si="171"/>
        <v>70000</v>
      </c>
      <c r="AA438" s="62"/>
      <c r="AB438" s="62"/>
      <c r="AC438" s="62"/>
      <c r="AD438" s="62"/>
      <c r="AE438" s="62"/>
      <c r="AF438" s="63"/>
      <c r="AG438" s="64"/>
      <c r="AH438" s="6">
        <v>1</v>
      </c>
      <c r="AI438">
        <f t="shared" si="172"/>
        <v>15</v>
      </c>
      <c r="AJ438">
        <f t="shared" si="173"/>
        <v>25</v>
      </c>
      <c r="AK438">
        <f t="shared" si="174"/>
        <v>0</v>
      </c>
      <c r="AL438">
        <f t="shared" si="175"/>
        <v>0</v>
      </c>
      <c r="AM438">
        <f t="shared" si="176"/>
        <v>0</v>
      </c>
      <c r="AN438">
        <f t="shared" si="177"/>
        <v>0</v>
      </c>
      <c r="AO438">
        <f t="shared" si="178"/>
        <v>0</v>
      </c>
      <c r="AP438">
        <f t="shared" si="179"/>
        <v>0</v>
      </c>
      <c r="AQ438">
        <f t="shared" si="180"/>
        <v>0</v>
      </c>
      <c r="AR438">
        <f t="shared" si="181"/>
        <v>0</v>
      </c>
      <c r="AS438">
        <f t="shared" si="182"/>
        <v>0</v>
      </c>
      <c r="AT438">
        <f t="shared" si="183"/>
        <v>0</v>
      </c>
      <c r="AU438">
        <f t="shared" si="184"/>
        <v>1</v>
      </c>
      <c r="AV438">
        <f t="shared" si="185"/>
        <v>1</v>
      </c>
      <c r="AW438">
        <f t="shared" si="186"/>
        <v>0</v>
      </c>
      <c r="AX438">
        <f t="shared" si="187"/>
        <v>0</v>
      </c>
      <c r="AY438">
        <f t="shared" si="188"/>
        <v>0</v>
      </c>
      <c r="AZ438">
        <f t="shared" si="189"/>
        <v>0</v>
      </c>
      <c r="BA438">
        <f t="shared" si="190"/>
        <v>0</v>
      </c>
      <c r="BB438">
        <f t="shared" si="191"/>
        <v>1</v>
      </c>
      <c r="BC438">
        <f t="shared" si="192"/>
        <v>1</v>
      </c>
      <c r="BD438">
        <f t="shared" si="193"/>
        <v>70000</v>
      </c>
      <c r="BE438">
        <f t="shared" si="194"/>
        <v>0</v>
      </c>
      <c r="BF438">
        <f t="shared" si="195"/>
        <v>70000</v>
      </c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</row>
    <row r="439" spans="1:256" s="201" customFormat="1" ht="14.25" x14ac:dyDescent="0.2">
      <c r="A439" s="10">
        <v>3455</v>
      </c>
      <c r="B439" s="11" t="s">
        <v>1114</v>
      </c>
      <c r="C439" s="105" t="s">
        <v>1115</v>
      </c>
      <c r="D439" s="11" t="s">
        <v>106</v>
      </c>
      <c r="E439" s="12">
        <v>20316</v>
      </c>
      <c r="F439" s="202">
        <v>3</v>
      </c>
      <c r="G439" s="11">
        <v>200000</v>
      </c>
      <c r="H439" s="116">
        <v>0</v>
      </c>
      <c r="I439" s="192"/>
      <c r="J439" s="204"/>
      <c r="K439" s="193"/>
      <c r="L439" s="193"/>
      <c r="M439" s="193"/>
      <c r="N439" s="203">
        <f t="shared" si="168"/>
        <v>200000</v>
      </c>
      <c r="O439" s="203">
        <f t="shared" si="169"/>
        <v>200000</v>
      </c>
      <c r="P439" s="203">
        <f t="shared" si="170"/>
        <v>200000</v>
      </c>
      <c r="Q439" s="214"/>
      <c r="R439" s="215"/>
      <c r="S439" s="218">
        <v>45644</v>
      </c>
      <c r="T439" s="205"/>
      <c r="U439" s="205"/>
      <c r="V439" s="216"/>
      <c r="W439" s="212"/>
      <c r="X439" s="10">
        <v>7</v>
      </c>
      <c r="Y439" s="10">
        <v>7</v>
      </c>
      <c r="Z439" s="213">
        <f t="shared" si="171"/>
        <v>200000</v>
      </c>
      <c r="AA439" s="62"/>
      <c r="AB439" s="62"/>
      <c r="AC439" s="62"/>
      <c r="AD439" s="62"/>
      <c r="AE439" s="62"/>
      <c r="AF439" s="63"/>
      <c r="AG439" s="64"/>
      <c r="AH439" s="6">
        <v>1</v>
      </c>
      <c r="AI439">
        <f t="shared" si="172"/>
        <v>15</v>
      </c>
      <c r="AJ439">
        <f t="shared" si="173"/>
        <v>25</v>
      </c>
      <c r="AK439">
        <f t="shared" si="174"/>
        <v>0</v>
      </c>
      <c r="AL439">
        <f t="shared" si="175"/>
        <v>0</v>
      </c>
      <c r="AM439">
        <f t="shared" si="176"/>
        <v>0</v>
      </c>
      <c r="AN439">
        <f t="shared" si="177"/>
        <v>0</v>
      </c>
      <c r="AO439">
        <f t="shared" si="178"/>
        <v>0</v>
      </c>
      <c r="AP439">
        <f t="shared" si="179"/>
        <v>0</v>
      </c>
      <c r="AQ439">
        <f t="shared" si="180"/>
        <v>0</v>
      </c>
      <c r="AR439">
        <f t="shared" si="181"/>
        <v>0</v>
      </c>
      <c r="AS439">
        <f t="shared" si="182"/>
        <v>0</v>
      </c>
      <c r="AT439">
        <f t="shared" si="183"/>
        <v>0</v>
      </c>
      <c r="AU439">
        <f t="shared" si="184"/>
        <v>1</v>
      </c>
      <c r="AV439">
        <f t="shared" si="185"/>
        <v>1</v>
      </c>
      <c r="AW439">
        <f t="shared" si="186"/>
        <v>0</v>
      </c>
      <c r="AX439">
        <f t="shared" si="187"/>
        <v>0</v>
      </c>
      <c r="AY439">
        <f t="shared" si="188"/>
        <v>0</v>
      </c>
      <c r="AZ439">
        <f t="shared" si="189"/>
        <v>0</v>
      </c>
      <c r="BA439">
        <f t="shared" si="190"/>
        <v>0</v>
      </c>
      <c r="BB439">
        <f t="shared" si="191"/>
        <v>1</v>
      </c>
      <c r="BC439">
        <f t="shared" si="192"/>
        <v>1</v>
      </c>
      <c r="BD439">
        <f t="shared" si="193"/>
        <v>200000</v>
      </c>
      <c r="BE439">
        <f t="shared" si="194"/>
        <v>0</v>
      </c>
      <c r="BF439">
        <f t="shared" si="195"/>
        <v>200000</v>
      </c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</row>
    <row r="440" spans="1:256" s="201" customFormat="1" ht="14.25" x14ac:dyDescent="0.2">
      <c r="A440" s="10">
        <v>3456</v>
      </c>
      <c r="B440" s="11" t="s">
        <v>1116</v>
      </c>
      <c r="C440" s="105" t="s">
        <v>1117</v>
      </c>
      <c r="D440" s="11" t="s">
        <v>105</v>
      </c>
      <c r="E440" s="12">
        <v>20333</v>
      </c>
      <c r="F440" s="202">
        <v>3</v>
      </c>
      <c r="G440" s="11">
        <v>80000</v>
      </c>
      <c r="H440" s="116">
        <v>0</v>
      </c>
      <c r="I440" s="192"/>
      <c r="J440" s="204"/>
      <c r="K440" s="193"/>
      <c r="L440" s="193"/>
      <c r="M440" s="193"/>
      <c r="N440" s="203">
        <f t="shared" si="168"/>
        <v>80000</v>
      </c>
      <c r="O440" s="203">
        <f t="shared" si="169"/>
        <v>80000</v>
      </c>
      <c r="P440" s="203">
        <f t="shared" si="170"/>
        <v>80000</v>
      </c>
      <c r="Q440" s="214"/>
      <c r="R440" s="215"/>
      <c r="S440" s="218">
        <v>45647</v>
      </c>
      <c r="T440" s="205"/>
      <c r="U440" s="205"/>
      <c r="V440" s="216"/>
      <c r="W440" s="212"/>
      <c r="X440" s="10">
        <v>7</v>
      </c>
      <c r="Y440" s="10">
        <v>7</v>
      </c>
      <c r="Z440" s="213">
        <f t="shared" si="171"/>
        <v>80000</v>
      </c>
      <c r="AA440" s="62"/>
      <c r="AB440" s="62"/>
      <c r="AC440" s="62"/>
      <c r="AD440" s="62"/>
      <c r="AE440" s="62"/>
      <c r="AF440" s="63"/>
      <c r="AG440" s="64"/>
      <c r="AH440" s="6">
        <v>1</v>
      </c>
      <c r="AI440">
        <f t="shared" si="172"/>
        <v>15</v>
      </c>
      <c r="AJ440">
        <f t="shared" si="173"/>
        <v>25</v>
      </c>
      <c r="AK440">
        <f t="shared" si="174"/>
        <v>0</v>
      </c>
      <c r="AL440">
        <f t="shared" si="175"/>
        <v>0</v>
      </c>
      <c r="AM440">
        <f t="shared" si="176"/>
        <v>0</v>
      </c>
      <c r="AN440">
        <f t="shared" si="177"/>
        <v>0</v>
      </c>
      <c r="AO440">
        <f t="shared" si="178"/>
        <v>0</v>
      </c>
      <c r="AP440">
        <f t="shared" si="179"/>
        <v>0</v>
      </c>
      <c r="AQ440">
        <f t="shared" si="180"/>
        <v>0</v>
      </c>
      <c r="AR440">
        <f t="shared" si="181"/>
        <v>0</v>
      </c>
      <c r="AS440">
        <f t="shared" si="182"/>
        <v>0</v>
      </c>
      <c r="AT440">
        <f t="shared" si="183"/>
        <v>0</v>
      </c>
      <c r="AU440">
        <f t="shared" si="184"/>
        <v>1</v>
      </c>
      <c r="AV440">
        <f t="shared" si="185"/>
        <v>1</v>
      </c>
      <c r="AW440">
        <f t="shared" si="186"/>
        <v>0</v>
      </c>
      <c r="AX440">
        <f t="shared" si="187"/>
        <v>0</v>
      </c>
      <c r="AY440">
        <f t="shared" si="188"/>
        <v>0</v>
      </c>
      <c r="AZ440">
        <f t="shared" si="189"/>
        <v>0</v>
      </c>
      <c r="BA440">
        <f t="shared" si="190"/>
        <v>0</v>
      </c>
      <c r="BB440">
        <f t="shared" si="191"/>
        <v>1</v>
      </c>
      <c r="BC440">
        <f t="shared" si="192"/>
        <v>1</v>
      </c>
      <c r="BD440">
        <f t="shared" si="193"/>
        <v>80000</v>
      </c>
      <c r="BE440">
        <f t="shared" si="194"/>
        <v>0</v>
      </c>
      <c r="BF440">
        <f t="shared" si="195"/>
        <v>80000</v>
      </c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</row>
    <row r="441" spans="1:256" s="201" customFormat="1" ht="14.25" x14ac:dyDescent="0.2">
      <c r="A441" s="10">
        <v>3457</v>
      </c>
      <c r="B441" s="11" t="s">
        <v>1118</v>
      </c>
      <c r="C441" s="105" t="s">
        <v>1119</v>
      </c>
      <c r="D441" s="11" t="s">
        <v>157</v>
      </c>
      <c r="E441" s="12">
        <v>20336</v>
      </c>
      <c r="F441" s="202">
        <v>3</v>
      </c>
      <c r="G441" s="11">
        <v>80000</v>
      </c>
      <c r="H441" s="116">
        <v>0</v>
      </c>
      <c r="I441" s="192"/>
      <c r="J441" s="204"/>
      <c r="K441" s="193"/>
      <c r="L441" s="193"/>
      <c r="M441" s="193"/>
      <c r="N441" s="203">
        <f t="shared" si="168"/>
        <v>80000</v>
      </c>
      <c r="O441" s="203">
        <f t="shared" si="169"/>
        <v>80000</v>
      </c>
      <c r="P441" s="203">
        <f t="shared" si="170"/>
        <v>80000</v>
      </c>
      <c r="Q441" s="214">
        <v>45663</v>
      </c>
      <c r="R441" s="215"/>
      <c r="S441" s="218">
        <v>45631</v>
      </c>
      <c r="T441" s="205"/>
      <c r="U441" s="205"/>
      <c r="V441" s="216" t="s">
        <v>1131</v>
      </c>
      <c r="W441" s="212"/>
      <c r="X441" s="10">
        <v>7</v>
      </c>
      <c r="Y441" s="10">
        <v>7</v>
      </c>
      <c r="Z441" s="213">
        <f t="shared" si="171"/>
        <v>80000</v>
      </c>
      <c r="AA441" s="62"/>
      <c r="AB441" s="62"/>
      <c r="AC441" s="62"/>
      <c r="AD441" s="62"/>
      <c r="AE441" s="62"/>
      <c r="AF441" s="63"/>
      <c r="AG441" s="64"/>
      <c r="AH441" s="6">
        <v>1</v>
      </c>
      <c r="AI441">
        <f t="shared" si="172"/>
        <v>15</v>
      </c>
      <c r="AJ441">
        <f t="shared" si="173"/>
        <v>25</v>
      </c>
      <c r="AK441">
        <f t="shared" si="174"/>
        <v>0</v>
      </c>
      <c r="AL441">
        <f t="shared" si="175"/>
        <v>0</v>
      </c>
      <c r="AM441">
        <f t="shared" si="176"/>
        <v>0</v>
      </c>
      <c r="AN441">
        <f t="shared" si="177"/>
        <v>0</v>
      </c>
      <c r="AO441">
        <f t="shared" si="178"/>
        <v>0</v>
      </c>
      <c r="AP441">
        <f t="shared" si="179"/>
        <v>0</v>
      </c>
      <c r="AQ441">
        <f t="shared" si="180"/>
        <v>0</v>
      </c>
      <c r="AR441">
        <f t="shared" si="181"/>
        <v>0</v>
      </c>
      <c r="AS441">
        <f t="shared" si="182"/>
        <v>0</v>
      </c>
      <c r="AT441">
        <f t="shared" si="183"/>
        <v>0</v>
      </c>
      <c r="AU441">
        <f t="shared" si="184"/>
        <v>1</v>
      </c>
      <c r="AV441">
        <f t="shared" si="185"/>
        <v>1</v>
      </c>
      <c r="AW441">
        <f t="shared" si="186"/>
        <v>0</v>
      </c>
      <c r="AX441">
        <f t="shared" si="187"/>
        <v>0</v>
      </c>
      <c r="AY441">
        <f t="shared" si="188"/>
        <v>0</v>
      </c>
      <c r="AZ441">
        <f t="shared" si="189"/>
        <v>0</v>
      </c>
      <c r="BA441">
        <f t="shared" si="190"/>
        <v>0</v>
      </c>
      <c r="BB441">
        <f t="shared" si="191"/>
        <v>1</v>
      </c>
      <c r="BC441">
        <f t="shared" si="192"/>
        <v>1</v>
      </c>
      <c r="BD441">
        <f t="shared" si="193"/>
        <v>80000</v>
      </c>
      <c r="BE441">
        <f t="shared" si="194"/>
        <v>0</v>
      </c>
      <c r="BF441">
        <f t="shared" si="195"/>
        <v>80000</v>
      </c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</row>
    <row r="442" spans="1:256" s="201" customFormat="1" ht="14.25" x14ac:dyDescent="0.2">
      <c r="A442" s="10">
        <v>3458</v>
      </c>
      <c r="B442" s="11" t="s">
        <v>1120</v>
      </c>
      <c r="C442" s="105" t="s">
        <v>1121</v>
      </c>
      <c r="D442" s="11" t="s">
        <v>105</v>
      </c>
      <c r="E442" s="12">
        <v>20337</v>
      </c>
      <c r="F442" s="202">
        <v>3</v>
      </c>
      <c r="G442" s="11">
        <v>100000</v>
      </c>
      <c r="H442" s="116">
        <v>100000</v>
      </c>
      <c r="I442" s="192"/>
      <c r="J442" s="204"/>
      <c r="K442" s="193"/>
      <c r="L442" s="193"/>
      <c r="M442" s="193"/>
      <c r="N442" s="203">
        <f t="shared" si="168"/>
        <v>200000</v>
      </c>
      <c r="O442" s="203">
        <f t="shared" si="169"/>
        <v>200000</v>
      </c>
      <c r="P442" s="203">
        <f t="shared" si="170"/>
        <v>200000</v>
      </c>
      <c r="Q442" s="214"/>
      <c r="R442" s="215"/>
      <c r="S442" s="218">
        <v>45617</v>
      </c>
      <c r="T442" s="205"/>
      <c r="U442" s="205"/>
      <c r="V442" s="216"/>
      <c r="W442" s="212"/>
      <c r="X442" s="10">
        <v>7</v>
      </c>
      <c r="Y442" s="10">
        <v>7</v>
      </c>
      <c r="Z442" s="213">
        <f t="shared" si="171"/>
        <v>200000</v>
      </c>
      <c r="AA442" s="62"/>
      <c r="AB442" s="62"/>
      <c r="AC442" s="62"/>
      <c r="AD442" s="62"/>
      <c r="AE442" s="62"/>
      <c r="AF442" s="63"/>
      <c r="AG442" s="64"/>
      <c r="AH442" s="6">
        <v>1</v>
      </c>
      <c r="AI442">
        <f t="shared" si="172"/>
        <v>15</v>
      </c>
      <c r="AJ442">
        <f t="shared" si="173"/>
        <v>25</v>
      </c>
      <c r="AK442">
        <f t="shared" si="174"/>
        <v>0</v>
      </c>
      <c r="AL442">
        <f t="shared" si="175"/>
        <v>0</v>
      </c>
      <c r="AM442">
        <f t="shared" si="176"/>
        <v>0</v>
      </c>
      <c r="AN442">
        <f t="shared" si="177"/>
        <v>0</v>
      </c>
      <c r="AO442">
        <f t="shared" si="178"/>
        <v>0</v>
      </c>
      <c r="AP442">
        <f t="shared" si="179"/>
        <v>0</v>
      </c>
      <c r="AQ442">
        <f t="shared" si="180"/>
        <v>0</v>
      </c>
      <c r="AR442">
        <f t="shared" si="181"/>
        <v>0</v>
      </c>
      <c r="AS442">
        <f t="shared" si="182"/>
        <v>0</v>
      </c>
      <c r="AT442">
        <f t="shared" si="183"/>
        <v>0</v>
      </c>
      <c r="AU442">
        <f t="shared" si="184"/>
        <v>1</v>
      </c>
      <c r="AV442">
        <f t="shared" si="185"/>
        <v>1</v>
      </c>
      <c r="AW442">
        <f t="shared" si="186"/>
        <v>0</v>
      </c>
      <c r="AX442">
        <f t="shared" si="187"/>
        <v>0</v>
      </c>
      <c r="AY442">
        <f t="shared" si="188"/>
        <v>0</v>
      </c>
      <c r="AZ442">
        <f t="shared" si="189"/>
        <v>0</v>
      </c>
      <c r="BA442">
        <f t="shared" si="190"/>
        <v>0</v>
      </c>
      <c r="BB442">
        <f t="shared" si="191"/>
        <v>1</v>
      </c>
      <c r="BC442">
        <f t="shared" si="192"/>
        <v>1</v>
      </c>
      <c r="BD442">
        <f t="shared" si="193"/>
        <v>200000</v>
      </c>
      <c r="BE442">
        <f t="shared" si="194"/>
        <v>0</v>
      </c>
      <c r="BF442">
        <f t="shared" si="195"/>
        <v>200000</v>
      </c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</row>
    <row r="443" spans="1:256" s="201" customFormat="1" ht="14.25" x14ac:dyDescent="0.2">
      <c r="A443" s="10">
        <v>3469</v>
      </c>
      <c r="B443" s="11" t="s">
        <v>1122</v>
      </c>
      <c r="C443" s="105" t="s">
        <v>1123</v>
      </c>
      <c r="D443" s="11" t="s">
        <v>157</v>
      </c>
      <c r="E443" s="12">
        <v>20320</v>
      </c>
      <c r="F443" s="202">
        <v>1</v>
      </c>
      <c r="G443" s="11">
        <v>40000</v>
      </c>
      <c r="H443" s="116">
        <v>0</v>
      </c>
      <c r="I443" s="192"/>
      <c r="J443" s="204"/>
      <c r="K443" s="193"/>
      <c r="L443" s="193"/>
      <c r="M443" s="193"/>
      <c r="N443" s="203">
        <f t="shared" si="168"/>
        <v>40000</v>
      </c>
      <c r="O443" s="203">
        <f t="shared" si="169"/>
        <v>40000</v>
      </c>
      <c r="P443" s="203">
        <f t="shared" si="170"/>
        <v>40000</v>
      </c>
      <c r="Q443" s="214"/>
      <c r="R443" s="215"/>
      <c r="S443" s="218"/>
      <c r="T443" s="205"/>
      <c r="U443" s="205"/>
      <c r="V443" s="216"/>
      <c r="W443" s="212"/>
      <c r="X443" s="10">
        <v>7</v>
      </c>
      <c r="Y443" s="10">
        <v>7</v>
      </c>
      <c r="Z443" s="213">
        <f t="shared" si="171"/>
        <v>40000</v>
      </c>
      <c r="AA443" s="62"/>
      <c r="AB443" s="62"/>
      <c r="AC443" s="62"/>
      <c r="AD443" s="62"/>
      <c r="AE443" s="62"/>
      <c r="AF443" s="63"/>
      <c r="AG443" s="64"/>
      <c r="AH443" s="6">
        <v>1</v>
      </c>
      <c r="AI443">
        <f t="shared" si="172"/>
        <v>15</v>
      </c>
      <c r="AJ443">
        <f t="shared" si="173"/>
        <v>25</v>
      </c>
      <c r="AK443">
        <f t="shared" si="174"/>
        <v>0</v>
      </c>
      <c r="AL443">
        <f t="shared" si="175"/>
        <v>0</v>
      </c>
      <c r="AM443">
        <f t="shared" si="176"/>
        <v>0</v>
      </c>
      <c r="AN443">
        <f t="shared" si="177"/>
        <v>0</v>
      </c>
      <c r="AO443">
        <f t="shared" si="178"/>
        <v>0</v>
      </c>
      <c r="AP443">
        <f t="shared" si="179"/>
        <v>0</v>
      </c>
      <c r="AQ443">
        <f t="shared" si="180"/>
        <v>0</v>
      </c>
      <c r="AR443">
        <f t="shared" si="181"/>
        <v>0</v>
      </c>
      <c r="AS443">
        <f t="shared" si="182"/>
        <v>0</v>
      </c>
      <c r="AT443">
        <f t="shared" si="183"/>
        <v>0</v>
      </c>
      <c r="AU443">
        <f t="shared" si="184"/>
        <v>1</v>
      </c>
      <c r="AV443">
        <f t="shared" si="185"/>
        <v>1</v>
      </c>
      <c r="AW443">
        <f t="shared" si="186"/>
        <v>0</v>
      </c>
      <c r="AX443">
        <f t="shared" si="187"/>
        <v>0</v>
      </c>
      <c r="AY443">
        <f t="shared" si="188"/>
        <v>0</v>
      </c>
      <c r="AZ443">
        <f t="shared" si="189"/>
        <v>0</v>
      </c>
      <c r="BA443">
        <f t="shared" si="190"/>
        <v>0</v>
      </c>
      <c r="BB443">
        <f t="shared" si="191"/>
        <v>1</v>
      </c>
      <c r="BC443">
        <f t="shared" si="192"/>
        <v>1</v>
      </c>
      <c r="BD443">
        <f t="shared" si="193"/>
        <v>40000</v>
      </c>
      <c r="BE443">
        <f t="shared" si="194"/>
        <v>0</v>
      </c>
      <c r="BF443">
        <f t="shared" si="195"/>
        <v>40000</v>
      </c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</row>
    <row r="444" spans="1:256" s="201" customFormat="1" ht="14.25" x14ac:dyDescent="0.2">
      <c r="A444" s="10">
        <v>3470</v>
      </c>
      <c r="B444" s="11" t="s">
        <v>1124</v>
      </c>
      <c r="C444" s="105" t="s">
        <v>1125</v>
      </c>
      <c r="D444" s="11" t="s">
        <v>105</v>
      </c>
      <c r="E444" s="12">
        <v>20318</v>
      </c>
      <c r="F444" s="202">
        <v>1</v>
      </c>
      <c r="G444" s="11">
        <v>100000</v>
      </c>
      <c r="H444" s="116">
        <v>0</v>
      </c>
      <c r="I444" s="192"/>
      <c r="J444" s="204"/>
      <c r="K444" s="193"/>
      <c r="L444" s="193"/>
      <c r="M444" s="193"/>
      <c r="N444" s="203">
        <f t="shared" si="168"/>
        <v>100000</v>
      </c>
      <c r="O444" s="203">
        <f t="shared" si="169"/>
        <v>100000</v>
      </c>
      <c r="P444" s="203">
        <f t="shared" si="170"/>
        <v>100000</v>
      </c>
      <c r="Q444" s="214"/>
      <c r="R444" s="215"/>
      <c r="S444" s="218"/>
      <c r="T444" s="205"/>
      <c r="U444" s="205"/>
      <c r="V444" s="216"/>
      <c r="W444" s="212"/>
      <c r="X444" s="10">
        <v>7</v>
      </c>
      <c r="Y444" s="10">
        <v>7</v>
      </c>
      <c r="Z444" s="213">
        <f t="shared" si="171"/>
        <v>100000</v>
      </c>
      <c r="AA444" s="62"/>
      <c r="AB444" s="62"/>
      <c r="AC444" s="62"/>
      <c r="AD444" s="62"/>
      <c r="AE444" s="62"/>
      <c r="AF444" s="63"/>
      <c r="AG444" s="64"/>
      <c r="AH444" s="6">
        <v>1</v>
      </c>
      <c r="AI444">
        <f t="shared" si="172"/>
        <v>15</v>
      </c>
      <c r="AJ444">
        <f t="shared" si="173"/>
        <v>25</v>
      </c>
      <c r="AK444">
        <f t="shared" si="174"/>
        <v>0</v>
      </c>
      <c r="AL444">
        <f t="shared" si="175"/>
        <v>0</v>
      </c>
      <c r="AM444">
        <f t="shared" si="176"/>
        <v>0</v>
      </c>
      <c r="AN444">
        <f t="shared" si="177"/>
        <v>0</v>
      </c>
      <c r="AO444">
        <f t="shared" si="178"/>
        <v>0</v>
      </c>
      <c r="AP444">
        <f t="shared" si="179"/>
        <v>0</v>
      </c>
      <c r="AQ444">
        <f t="shared" si="180"/>
        <v>0</v>
      </c>
      <c r="AR444">
        <f t="shared" si="181"/>
        <v>0</v>
      </c>
      <c r="AS444">
        <f t="shared" si="182"/>
        <v>0</v>
      </c>
      <c r="AT444">
        <f t="shared" si="183"/>
        <v>0</v>
      </c>
      <c r="AU444">
        <f t="shared" si="184"/>
        <v>1</v>
      </c>
      <c r="AV444">
        <f t="shared" si="185"/>
        <v>1</v>
      </c>
      <c r="AW444">
        <f t="shared" si="186"/>
        <v>0</v>
      </c>
      <c r="AX444">
        <f t="shared" si="187"/>
        <v>0</v>
      </c>
      <c r="AY444">
        <f t="shared" si="188"/>
        <v>0</v>
      </c>
      <c r="AZ444">
        <f t="shared" si="189"/>
        <v>0</v>
      </c>
      <c r="BA444">
        <f t="shared" si="190"/>
        <v>0</v>
      </c>
      <c r="BB444">
        <f t="shared" si="191"/>
        <v>1</v>
      </c>
      <c r="BC444">
        <f t="shared" si="192"/>
        <v>1</v>
      </c>
      <c r="BD444">
        <f t="shared" si="193"/>
        <v>100000</v>
      </c>
      <c r="BE444">
        <f t="shared" si="194"/>
        <v>0</v>
      </c>
      <c r="BF444">
        <f t="shared" si="195"/>
        <v>100000</v>
      </c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</row>
    <row r="445" spans="1:256" s="201" customFormat="1" ht="14.25" x14ac:dyDescent="0.2">
      <c r="A445" s="10">
        <v>3471</v>
      </c>
      <c r="B445" s="11" t="s">
        <v>1126</v>
      </c>
      <c r="C445" s="105" t="s">
        <v>1127</v>
      </c>
      <c r="D445" s="11" t="s">
        <v>160</v>
      </c>
      <c r="E445" s="12">
        <v>20345</v>
      </c>
      <c r="F445" s="202">
        <v>1</v>
      </c>
      <c r="G445" s="11">
        <v>100000</v>
      </c>
      <c r="H445" s="116">
        <v>0</v>
      </c>
      <c r="I445" s="192"/>
      <c r="J445" s="204"/>
      <c r="K445" s="193"/>
      <c r="L445" s="193"/>
      <c r="M445" s="193"/>
      <c r="N445" s="203">
        <f t="shared" si="168"/>
        <v>100000</v>
      </c>
      <c r="O445" s="203">
        <f t="shared" si="169"/>
        <v>100000</v>
      </c>
      <c r="P445" s="203">
        <f t="shared" si="170"/>
        <v>100000</v>
      </c>
      <c r="Q445" s="214"/>
      <c r="R445" s="215"/>
      <c r="S445" s="218"/>
      <c r="T445" s="205"/>
      <c r="U445" s="205"/>
      <c r="V445" s="216"/>
      <c r="W445" s="212"/>
      <c r="X445" s="10">
        <v>7</v>
      </c>
      <c r="Y445" s="10">
        <v>7</v>
      </c>
      <c r="Z445" s="213">
        <f t="shared" si="171"/>
        <v>100000</v>
      </c>
      <c r="AA445" s="62"/>
      <c r="AB445" s="62"/>
      <c r="AC445" s="62"/>
      <c r="AD445" s="62"/>
      <c r="AE445" s="62"/>
      <c r="AF445" s="63"/>
      <c r="AG445" s="64"/>
      <c r="AH445" s="6">
        <v>1</v>
      </c>
      <c r="AI445">
        <f t="shared" si="172"/>
        <v>15</v>
      </c>
      <c r="AJ445">
        <f t="shared" si="173"/>
        <v>25</v>
      </c>
      <c r="AK445">
        <f t="shared" si="174"/>
        <v>0</v>
      </c>
      <c r="AL445">
        <f t="shared" si="175"/>
        <v>0</v>
      </c>
      <c r="AM445">
        <f t="shared" si="176"/>
        <v>0</v>
      </c>
      <c r="AN445">
        <f t="shared" si="177"/>
        <v>0</v>
      </c>
      <c r="AO445">
        <f t="shared" si="178"/>
        <v>0</v>
      </c>
      <c r="AP445">
        <f t="shared" si="179"/>
        <v>0</v>
      </c>
      <c r="AQ445">
        <f t="shared" si="180"/>
        <v>0</v>
      </c>
      <c r="AR445">
        <f t="shared" si="181"/>
        <v>0</v>
      </c>
      <c r="AS445">
        <f t="shared" si="182"/>
        <v>0</v>
      </c>
      <c r="AT445">
        <f t="shared" si="183"/>
        <v>0</v>
      </c>
      <c r="AU445">
        <f t="shared" si="184"/>
        <v>1</v>
      </c>
      <c r="AV445">
        <f t="shared" si="185"/>
        <v>1</v>
      </c>
      <c r="AW445">
        <f t="shared" si="186"/>
        <v>0</v>
      </c>
      <c r="AX445">
        <f t="shared" si="187"/>
        <v>0</v>
      </c>
      <c r="AY445">
        <f t="shared" si="188"/>
        <v>0</v>
      </c>
      <c r="AZ445">
        <f t="shared" si="189"/>
        <v>0</v>
      </c>
      <c r="BA445">
        <f t="shared" si="190"/>
        <v>0</v>
      </c>
      <c r="BB445">
        <f t="shared" si="191"/>
        <v>1</v>
      </c>
      <c r="BC445">
        <f t="shared" si="192"/>
        <v>1</v>
      </c>
      <c r="BD445">
        <f t="shared" si="193"/>
        <v>100000</v>
      </c>
      <c r="BE445">
        <f t="shared" si="194"/>
        <v>0</v>
      </c>
      <c r="BF445">
        <f t="shared" si="195"/>
        <v>100000</v>
      </c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</row>
    <row r="446" spans="1:256" s="201" customFormat="1" ht="14.25" x14ac:dyDescent="0.2">
      <c r="A446" s="10">
        <v>3472</v>
      </c>
      <c r="B446" s="11" t="s">
        <v>1128</v>
      </c>
      <c r="C446" s="105" t="s">
        <v>1129</v>
      </c>
      <c r="D446" s="11" t="s">
        <v>173</v>
      </c>
      <c r="E446" s="12">
        <v>20321</v>
      </c>
      <c r="F446" s="202">
        <v>1</v>
      </c>
      <c r="G446" s="11">
        <v>200000</v>
      </c>
      <c r="H446" s="116">
        <v>0</v>
      </c>
      <c r="I446" s="192"/>
      <c r="J446" s="204"/>
      <c r="K446" s="193"/>
      <c r="L446" s="193"/>
      <c r="M446" s="193"/>
      <c r="N446" s="203">
        <f t="shared" si="168"/>
        <v>200000</v>
      </c>
      <c r="O446" s="203">
        <f t="shared" si="169"/>
        <v>200000</v>
      </c>
      <c r="P446" s="203">
        <f t="shared" si="170"/>
        <v>200000</v>
      </c>
      <c r="Q446" s="214"/>
      <c r="R446" s="215"/>
      <c r="S446" s="218"/>
      <c r="T446" s="205"/>
      <c r="U446" s="205"/>
      <c r="V446" s="216"/>
      <c r="W446" s="212"/>
      <c r="X446" s="10">
        <v>7</v>
      </c>
      <c r="Y446" s="10">
        <v>7</v>
      </c>
      <c r="Z446" s="213">
        <f t="shared" si="171"/>
        <v>200000</v>
      </c>
      <c r="AA446" s="62"/>
      <c r="AB446" s="62"/>
      <c r="AC446" s="62"/>
      <c r="AD446" s="62"/>
      <c r="AE446" s="62"/>
      <c r="AF446" s="63"/>
      <c r="AG446" s="64"/>
      <c r="AH446" s="6">
        <v>1</v>
      </c>
      <c r="AI446">
        <f t="shared" si="172"/>
        <v>15</v>
      </c>
      <c r="AJ446">
        <f t="shared" si="173"/>
        <v>25</v>
      </c>
      <c r="AK446">
        <f t="shared" si="174"/>
        <v>0</v>
      </c>
      <c r="AL446">
        <f t="shared" si="175"/>
        <v>0</v>
      </c>
      <c r="AM446">
        <f t="shared" si="176"/>
        <v>0</v>
      </c>
      <c r="AN446">
        <f t="shared" si="177"/>
        <v>0</v>
      </c>
      <c r="AO446">
        <f t="shared" si="178"/>
        <v>0</v>
      </c>
      <c r="AP446">
        <f t="shared" si="179"/>
        <v>0</v>
      </c>
      <c r="AQ446">
        <f t="shared" si="180"/>
        <v>0</v>
      </c>
      <c r="AR446">
        <f t="shared" si="181"/>
        <v>0</v>
      </c>
      <c r="AS446">
        <f t="shared" si="182"/>
        <v>0</v>
      </c>
      <c r="AT446">
        <f t="shared" si="183"/>
        <v>0</v>
      </c>
      <c r="AU446">
        <f t="shared" si="184"/>
        <v>1</v>
      </c>
      <c r="AV446">
        <f t="shared" si="185"/>
        <v>1</v>
      </c>
      <c r="AW446">
        <f t="shared" si="186"/>
        <v>0</v>
      </c>
      <c r="AX446">
        <f t="shared" si="187"/>
        <v>0</v>
      </c>
      <c r="AY446">
        <f t="shared" si="188"/>
        <v>0</v>
      </c>
      <c r="AZ446">
        <f t="shared" si="189"/>
        <v>0</v>
      </c>
      <c r="BA446">
        <f t="shared" si="190"/>
        <v>0</v>
      </c>
      <c r="BB446">
        <f t="shared" si="191"/>
        <v>1</v>
      </c>
      <c r="BC446">
        <f t="shared" si="192"/>
        <v>1</v>
      </c>
      <c r="BD446">
        <f t="shared" si="193"/>
        <v>200000</v>
      </c>
      <c r="BE446">
        <f t="shared" si="194"/>
        <v>0</v>
      </c>
      <c r="BF446">
        <f t="shared" si="195"/>
        <v>200000</v>
      </c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</row>
    <row r="447" spans="1:256" x14ac:dyDescent="0.2">
      <c r="A447" s="10"/>
      <c r="B447" s="12" t="s">
        <v>68</v>
      </c>
      <c r="C447" s="105"/>
      <c r="D447" s="11"/>
      <c r="E447" s="12"/>
      <c r="F447" s="106"/>
      <c r="G447" s="11">
        <f>'COBRANZA SIN CUPONES'!G26</f>
        <v>0</v>
      </c>
      <c r="H447" s="107"/>
      <c r="I447" s="108">
        <f>'COBRANZA SIN CUPONES'!H26</f>
        <v>0</v>
      </c>
      <c r="J447" s="109">
        <f>'COBRANZA SIN CUPONES'!I26</f>
        <v>0</v>
      </c>
      <c r="K447" s="108"/>
      <c r="L447" s="108"/>
      <c r="M447" s="108"/>
      <c r="N447" s="108"/>
      <c r="O447" s="14">
        <f t="shared" ref="O447" si="196">G447+H447-J447-I447-K447-L447-M447</f>
        <v>0</v>
      </c>
      <c r="P447" s="14"/>
      <c r="Q447" s="171"/>
      <c r="R447" s="171"/>
      <c r="S447" s="13"/>
      <c r="T447" s="81"/>
      <c r="U447" s="81"/>
      <c r="V447" s="13"/>
      <c r="W447" s="210"/>
      <c r="X447" s="10">
        <v>1</v>
      </c>
      <c r="Y447" s="10"/>
      <c r="Z447" s="13"/>
      <c r="AA447" s="62"/>
      <c r="AB447" s="62"/>
      <c r="AC447" s="62"/>
      <c r="AD447" s="62"/>
      <c r="AE447" s="62"/>
      <c r="AF447" s="63"/>
      <c r="AG447" s="64"/>
      <c r="AH447" s="6">
        <f>COUNTIF(A$4:B$446,A447)</f>
        <v>0</v>
      </c>
      <c r="AI447">
        <f t="shared" ref="AI447" si="197">IF(F447&lt;=6,15,25)</f>
        <v>15</v>
      </c>
      <c r="AJ447">
        <f t="shared" ref="AJ447" si="198">IF(O447&lt;&gt;0,25,15)</f>
        <v>15</v>
      </c>
      <c r="AK447">
        <f t="shared" ref="AK447" si="199">IF(AI447-T447=24,1,0)</f>
        <v>0</v>
      </c>
      <c r="AL447">
        <f t="shared" ref="AL447" si="200">IF(AH447-AK447=AH447,0,AH447)</f>
        <v>0</v>
      </c>
      <c r="AM447">
        <f t="shared" ref="AM447" si="201">IF(AK447&lt;&gt;0,U447,0)</f>
        <v>0</v>
      </c>
      <c r="AN447">
        <f t="shared" ref="AN447" si="202">IF(AK447=1,O447,0)</f>
        <v>0</v>
      </c>
      <c r="AO447">
        <f t="shared" ref="AO447" si="203">IF(AI447-T447=14,1,0)</f>
        <v>0</v>
      </c>
      <c r="AP447">
        <f t="shared" ref="AP447" si="204">IF(AH447-AO447=AH447,0,AH447)</f>
        <v>0</v>
      </c>
      <c r="AQ447">
        <f t="shared" ref="AQ447" si="205">IF(AO447&lt;&gt;0,U447,0)</f>
        <v>0</v>
      </c>
      <c r="AR447">
        <f t="shared" ref="AR447" si="206">IF(AO447=1,O447,0)</f>
        <v>0</v>
      </c>
      <c r="AS447">
        <f t="shared" ref="AS447" si="207">IF(SUM(I447:M447)&lt;&gt;0,1,0)</f>
        <v>0</v>
      </c>
      <c r="AT447">
        <f t="shared" ref="AT447" si="208">AS447</f>
        <v>0</v>
      </c>
      <c r="AU447">
        <f t="shared" ref="AU447" si="209">IF(O447&gt;0,1,0)</f>
        <v>0</v>
      </c>
      <c r="AV447">
        <f t="shared" ref="AV447" si="210">IF(AK447+AO447+AU447=1,AU447,0)</f>
        <v>0</v>
      </c>
      <c r="AW447">
        <f t="shared" ref="AW447" si="211">IF(AI447-AV447=24,1,0)</f>
        <v>0</v>
      </c>
      <c r="AX447">
        <f t="shared" ref="AX447" si="212">IF(AH447-AW447=AH447,0,AH447)</f>
        <v>0</v>
      </c>
      <c r="AY447">
        <f t="shared" ref="AY447" si="213">IF(AW447=1,O447,0)</f>
        <v>0</v>
      </c>
      <c r="AZ447">
        <f t="shared" ref="AZ447" si="214">IF(AY447-BA447&lt;&gt;0,AY447,0)</f>
        <v>0</v>
      </c>
      <c r="BA447">
        <f t="shared" ref="BA447" si="215">IF(AY447&lt;0,AY447,0)</f>
        <v>0</v>
      </c>
      <c r="BB447">
        <f t="shared" ref="BB447" si="216">IF(AI447-AV447=14,1,0)</f>
        <v>0</v>
      </c>
      <c r="BC447">
        <f t="shared" ref="BC447" si="217">IF(AH447-BB447=AH447,0,AH447)</f>
        <v>0</v>
      </c>
      <c r="BD447">
        <f t="shared" ref="BD447" si="218">IF(BB447=1,O447,0)</f>
        <v>0</v>
      </c>
      <c r="BE447">
        <f t="shared" ref="BE447" si="219">IF(BD447&lt;0,BD447,0)</f>
        <v>0</v>
      </c>
      <c r="BF447">
        <f t="shared" ref="BF447" si="220">IF(BD447-BE447&lt;&gt;0,BD447,0)</f>
        <v>0</v>
      </c>
    </row>
    <row r="448" spans="1:256" x14ac:dyDescent="0.2">
      <c r="I448" s="66" t="s">
        <v>51</v>
      </c>
      <c r="J448" s="67" t="s">
        <v>52</v>
      </c>
      <c r="K448" s="66" t="s">
        <v>49</v>
      </c>
      <c r="L448" s="66"/>
      <c r="M448" s="67" t="s">
        <v>50</v>
      </c>
      <c r="N448" s="67"/>
      <c r="Q448" s="122" t="s">
        <v>72</v>
      </c>
      <c r="R448" s="122"/>
      <c r="AH448" s="6">
        <f>COUNTIF(AH4:AH446,"1")</f>
        <v>443</v>
      </c>
    </row>
    <row r="449" spans="1:58" x14ac:dyDescent="0.2">
      <c r="AH449" s="6">
        <f>COUNTIFS($X$1:$X$446,$A$1,AH1:AH446,1)</f>
        <v>443</v>
      </c>
      <c r="AI449" s="22" t="s">
        <v>22</v>
      </c>
      <c r="AJ449" s="22" t="s">
        <v>22</v>
      </c>
      <c r="AK449" s="8">
        <f>SUMIF($X$4:$X$446,$A$1,AK4:AK446)</f>
        <v>2</v>
      </c>
      <c r="AL449" s="6">
        <f>COUNTIFS($X$1:$X$446,$A$1,AL1:AL446,1)</f>
        <v>2</v>
      </c>
      <c r="AM449" s="6">
        <f>COUNTIFS($X$1:$X$446,$A$1,AM1:AM446,1)</f>
        <v>2</v>
      </c>
      <c r="AN449" s="8">
        <f>SUMIF($X$4:$X$446,$A$1,AN4:AN446)</f>
        <v>30000</v>
      </c>
      <c r="AO449" s="8">
        <f>SUMIF($X$4:$X$446,$A$1,AO4:AO446)</f>
        <v>0</v>
      </c>
      <c r="AP449" s="6">
        <f>COUNTIFS($X$1:$X$446,$A$1,AP1:AP446,1)</f>
        <v>0</v>
      </c>
      <c r="AQ449" s="6">
        <f>COUNTIFS($X$1:$X$446,$A$1,AQ1:AQ446,1)</f>
        <v>0</v>
      </c>
      <c r="AR449" s="8">
        <f>SUMIF($X$4:$X$446,$A$1,AR4:AR446)</f>
        <v>0</v>
      </c>
      <c r="AS449" s="8">
        <f>SUMIF($X$4:$X$446,$A$1,AS4:AS446)</f>
        <v>0</v>
      </c>
      <c r="AT449" s="6">
        <f>COUNTIFS($X$1:$X$446,$A$1,AT1:AT446,1)</f>
        <v>0</v>
      </c>
      <c r="AU449" s="8">
        <f>SUMIF($X$4:$X$446,$A$1,AU4:AU446)</f>
        <v>387</v>
      </c>
      <c r="AV449" s="6">
        <f>COUNTIFS($X$1:$X$446,$A$1,AV1:AV446,1)</f>
        <v>386</v>
      </c>
      <c r="AW449" s="8">
        <f>SUMIF($X$4:$X$446,$A$1,AW4:AW446)</f>
        <v>338</v>
      </c>
      <c r="AX449" s="6">
        <f>COUNTIFS($X$1:$X$446,$A$1,AX1:AX446,1)</f>
        <v>338</v>
      </c>
      <c r="AY449" s="8">
        <f>SUMIF($X$4:$X$446,$A$1,AY4:AY446)</f>
        <v>18895796.960000001</v>
      </c>
      <c r="AZ449" s="8">
        <f>SUMIF($X$4:$X$446,$A$1,AZ4:AZ446)</f>
        <v>18895796.960000001</v>
      </c>
      <c r="BA449" s="8">
        <f>SUMIF($X$4:$X$446,$A$1,BA4:BA446)</f>
        <v>0</v>
      </c>
      <c r="BB449" s="8">
        <f>SUMIF($X$4:$X$446,$A$1,BB4:BB446)</f>
        <v>48</v>
      </c>
      <c r="BC449" s="6">
        <f>COUNTIFS($X$1:$X$446,$A$1,BC1:BC446,1)</f>
        <v>48</v>
      </c>
      <c r="BD449" s="8">
        <f>SUMIF($X$4:$X$446,$A$1,BD4:BD446)</f>
        <v>5510000</v>
      </c>
      <c r="BE449" s="8">
        <f>SUMIF($X$4:$X$446,$A$1,BE4:BE446)</f>
        <v>0</v>
      </c>
      <c r="BF449" s="8">
        <f>SUMIF($X$4:$X$446,$A$1,BF4:BF446)</f>
        <v>5510000</v>
      </c>
    </row>
    <row r="450" spans="1:58" ht="12.75" hidden="1" customHeight="1" x14ac:dyDescent="0.2"/>
    <row r="451" spans="1:58" ht="12.75" hidden="1" customHeight="1" x14ac:dyDescent="0.2"/>
    <row r="452" spans="1:58" ht="12.75" hidden="1" customHeight="1" x14ac:dyDescent="0.2"/>
    <row r="453" spans="1:58" ht="12.75" hidden="1" customHeight="1" x14ac:dyDescent="0.2"/>
    <row r="454" spans="1:58" ht="12.75" hidden="1" customHeight="1" x14ac:dyDescent="0.2"/>
    <row r="455" spans="1:58" ht="12.75" hidden="1" customHeight="1" x14ac:dyDescent="0.2"/>
    <row r="456" spans="1:58" ht="12.75" hidden="1" customHeight="1" x14ac:dyDescent="0.2"/>
    <row r="457" spans="1:58" ht="13.5" thickBot="1" x14ac:dyDescent="0.25">
      <c r="O457" s="151"/>
      <c r="P457" s="8" t="s">
        <v>108</v>
      </c>
    </row>
    <row r="458" spans="1:58" ht="14.25" thickTop="1" thickBot="1" x14ac:dyDescent="0.25">
      <c r="A458" s="17">
        <f>COUNTIF(X4:X446,A1)</f>
        <v>443</v>
      </c>
      <c r="B458" s="123" t="s">
        <v>14</v>
      </c>
      <c r="C458" s="160" t="s">
        <v>102</v>
      </c>
      <c r="D458" s="161"/>
      <c r="E458" s="162">
        <f>I458</f>
        <v>0</v>
      </c>
      <c r="F458" s="159" t="s">
        <v>21</v>
      </c>
      <c r="G458" s="20">
        <f>SUMIF(X4:X446,A1,G4:G446)</f>
        <v>29367998.98</v>
      </c>
      <c r="H458" s="116">
        <f>SUMIF(X4:X446,A1,H4:H446)</f>
        <v>-8720402.0600000005</v>
      </c>
      <c r="I458" s="99">
        <f>SUMIF(X4:X446,A1,I4:I446)</f>
        <v>0</v>
      </c>
      <c r="J458" s="96">
        <f>SUMIF(X4:X446,A1,J4:J446)</f>
        <v>0</v>
      </c>
      <c r="K458" s="97">
        <f>SUMIF(X4:X446,A1,K4:K446)</f>
        <v>0</v>
      </c>
      <c r="L458" s="97">
        <f>SUMIF(X4:X446,A1,L4:L446)</f>
        <v>0</v>
      </c>
      <c r="M458" s="97">
        <f>SUMIF(X4:X446,A1,M4:M446)</f>
        <v>0</v>
      </c>
      <c r="N458" s="102">
        <f>SUM(N4:N447)</f>
        <v>29972998.98</v>
      </c>
      <c r="O458" s="102">
        <f>SUMIF(X4:X446,A1,O4:O446)</f>
        <v>20647596.920000002</v>
      </c>
      <c r="P458" s="102">
        <f>SUMIF(X4:X446,A1,P4:P446)</f>
        <v>24435796.960000001</v>
      </c>
      <c r="Q458" s="121">
        <f>P458-O458</f>
        <v>3788200.0399999991</v>
      </c>
      <c r="R458" s="121"/>
      <c r="T458" s="21">
        <f>SUMIF(X4:X446,A1,T4:T446)</f>
        <v>2</v>
      </c>
      <c r="U458" s="82">
        <f>COUNTIFS(X1:X446,A1,U1:U446,"&lt;=5")</f>
        <v>2</v>
      </c>
      <c r="Z458" s="102">
        <f>SUM(Z4:Z447)</f>
        <v>29972998.98</v>
      </c>
      <c r="AA458" s="8"/>
      <c r="AB458" s="8"/>
      <c r="AC458" s="8"/>
      <c r="AD458" s="8"/>
      <c r="AE458" s="8"/>
      <c r="AF458" s="8"/>
    </row>
    <row r="459" spans="1:58" ht="14.25" thickTop="1" thickBot="1" x14ac:dyDescent="0.25">
      <c r="A459" s="128">
        <f>AH448</f>
        <v>443</v>
      </c>
      <c r="B459" s="123" t="s">
        <v>73</v>
      </c>
      <c r="C459" s="163" t="s">
        <v>127</v>
      </c>
      <c r="D459" s="8"/>
      <c r="E459" s="164">
        <f>J458</f>
        <v>0</v>
      </c>
      <c r="F459" s="142"/>
      <c r="G459" s="19"/>
      <c r="I459" s="100"/>
      <c r="J459" s="16"/>
      <c r="K459" s="16"/>
      <c r="L459" s="16"/>
      <c r="M459" s="16"/>
      <c r="N459" s="16"/>
    </row>
    <row r="460" spans="1:58" ht="15.95" customHeight="1" thickTop="1" thickBot="1" x14ac:dyDescent="0.25">
      <c r="C460" s="163" t="s">
        <v>104</v>
      </c>
      <c r="D460" s="8"/>
      <c r="E460" s="164">
        <f>L458</f>
        <v>0</v>
      </c>
    </row>
    <row r="461" spans="1:58" ht="15.95" customHeight="1" thickTop="1" thickBot="1" x14ac:dyDescent="0.25">
      <c r="C461" s="167" t="s">
        <v>103</v>
      </c>
      <c r="D461" s="168"/>
      <c r="E461" s="169">
        <f>'COBRANZA SIN CUPONES'!J26</f>
        <v>0</v>
      </c>
      <c r="F461" s="18" t="s">
        <v>121</v>
      </c>
      <c r="I461" s="179">
        <f>E458+E459+E461</f>
        <v>0</v>
      </c>
      <c r="J461" s="23"/>
      <c r="K461" s="24"/>
      <c r="L461" s="180" t="s">
        <v>123</v>
      </c>
      <c r="M461" s="186" t="s">
        <v>66</v>
      </c>
    </row>
    <row r="462" spans="1:58" ht="15.95" customHeight="1" thickTop="1" thickBot="1" x14ac:dyDescent="0.25">
      <c r="C462" s="167" t="s">
        <v>126</v>
      </c>
      <c r="D462" s="168"/>
      <c r="E462" s="178">
        <f>M458</f>
        <v>0</v>
      </c>
      <c r="J462" s="7" t="s">
        <v>51</v>
      </c>
      <c r="L462" s="181">
        <f>I458</f>
        <v>0</v>
      </c>
      <c r="M462" s="187">
        <f>L462*M471%</f>
        <v>0</v>
      </c>
    </row>
    <row r="463" spans="1:58" ht="15.95" customHeight="1" thickTop="1" thickBot="1" x14ac:dyDescent="0.25">
      <c r="C463" s="165" t="s">
        <v>122</v>
      </c>
      <c r="D463" s="166"/>
      <c r="E463" s="170">
        <f>SUM(E458:E462)</f>
        <v>0</v>
      </c>
      <c r="J463" s="7" t="s">
        <v>125</v>
      </c>
      <c r="L463" s="181">
        <f>E459</f>
        <v>0</v>
      </c>
      <c r="M463" s="187">
        <f>L463*M472%</f>
        <v>0</v>
      </c>
      <c r="T463"/>
      <c r="U463"/>
    </row>
    <row r="464" spans="1:58" ht="15.95" customHeight="1" thickTop="1" x14ac:dyDescent="0.2">
      <c r="D464" s="15"/>
      <c r="E464" s="15"/>
      <c r="F464" s="15"/>
      <c r="H464"/>
      <c r="J464" s="7" t="s">
        <v>130</v>
      </c>
      <c r="L464" s="181">
        <f>E460</f>
        <v>0</v>
      </c>
      <c r="M464" s="187">
        <f>L464*M474%</f>
        <v>0</v>
      </c>
      <c r="T464"/>
      <c r="U464"/>
    </row>
    <row r="465" spans="1:23" ht="15.95" customHeight="1" x14ac:dyDescent="0.2">
      <c r="C465"/>
      <c r="F465" s="8"/>
      <c r="G465" s="8"/>
      <c r="J465" s="7" t="s">
        <v>124</v>
      </c>
      <c r="L465" s="181">
        <f>E461</f>
        <v>0</v>
      </c>
      <c r="M465" s="187">
        <f>L465*M471%</f>
        <v>0</v>
      </c>
      <c r="T465"/>
      <c r="U465"/>
    </row>
    <row r="466" spans="1:23" ht="15.95" customHeight="1" thickBot="1" x14ac:dyDescent="0.25">
      <c r="C466"/>
      <c r="H466"/>
      <c r="J466" s="7" t="s">
        <v>128</v>
      </c>
      <c r="L466" s="181">
        <f>E462</f>
        <v>0</v>
      </c>
      <c r="M466" s="187">
        <f>L466*M473%</f>
        <v>0</v>
      </c>
      <c r="T466"/>
      <c r="U466"/>
    </row>
    <row r="467" spans="1:23" ht="15.95" customHeight="1" thickTop="1" thickBot="1" x14ac:dyDescent="0.25">
      <c r="A467" s="23"/>
      <c r="B467" s="24"/>
      <c r="C467" s="24"/>
      <c r="D467" s="24"/>
      <c r="E467" s="25" t="s">
        <v>15</v>
      </c>
      <c r="F467" s="25" t="s">
        <v>23</v>
      </c>
      <c r="G467" s="24"/>
      <c r="H467" s="77"/>
      <c r="I467" s="9"/>
      <c r="J467" s="182" t="s">
        <v>67</v>
      </c>
      <c r="K467" s="183"/>
      <c r="L467" s="184">
        <f>SUM(L462:L466)</f>
        <v>0</v>
      </c>
      <c r="M467" s="188">
        <f>SUM(M462:M466)</f>
        <v>0</v>
      </c>
      <c r="T467"/>
      <c r="U467"/>
    </row>
    <row r="468" spans="1:23" ht="15.95" customHeight="1" thickTop="1" thickBot="1" x14ac:dyDescent="0.25">
      <c r="A468" s="131" t="s">
        <v>14</v>
      </c>
      <c r="B468" s="132"/>
      <c r="C468" s="132" t="s">
        <v>6</v>
      </c>
      <c r="D468" s="26" t="s">
        <v>24</v>
      </c>
      <c r="E468" s="132" t="s">
        <v>25</v>
      </c>
      <c r="F468" s="27"/>
      <c r="G468" s="27"/>
      <c r="H468" s="78"/>
      <c r="T468"/>
      <c r="U468"/>
    </row>
    <row r="469" spans="1:23" ht="15.95" customHeight="1" thickTop="1" x14ac:dyDescent="0.2">
      <c r="A469" s="28">
        <f>A458</f>
        <v>443</v>
      </c>
      <c r="B469" s="29" t="s">
        <v>26</v>
      </c>
      <c r="C469" s="30">
        <f>P458</f>
        <v>24435796.960000001</v>
      </c>
      <c r="D469" s="31">
        <f>A458</f>
        <v>443</v>
      </c>
      <c r="E469" s="32">
        <f>C469/A469</f>
        <v>55159.81255079007</v>
      </c>
      <c r="F469" s="33">
        <f>H469-G469</f>
        <v>1</v>
      </c>
      <c r="G469" s="33">
        <f>IF(H469=100,0,SUM(F470+F473+F474+F477+F475)-1)</f>
        <v>0</v>
      </c>
      <c r="H469" s="33">
        <f>SUM(F470+F473+F474+F477+F475)</f>
        <v>1</v>
      </c>
      <c r="S469" s="136"/>
      <c r="T469"/>
      <c r="U469"/>
      <c r="W469" s="136"/>
    </row>
    <row r="470" spans="1:23" ht="15.95" customHeight="1" x14ac:dyDescent="0.2">
      <c r="A470" s="34">
        <f>A471+A472</f>
        <v>2</v>
      </c>
      <c r="B470" s="10" t="s">
        <v>27</v>
      </c>
      <c r="C470" s="35">
        <f>C471+C472</f>
        <v>30000</v>
      </c>
      <c r="D470" s="36">
        <f>T458</f>
        <v>2</v>
      </c>
      <c r="E470" s="37">
        <f t="shared" ref="E470:E478" si="221">C470/D470</f>
        <v>15000</v>
      </c>
      <c r="F470" s="38">
        <f>C470/C469</f>
        <v>1.2277070418087153E-3</v>
      </c>
      <c r="G470" s="11"/>
      <c r="H470" s="65"/>
      <c r="O470" s="172" t="s">
        <v>110</v>
      </c>
      <c r="P470" s="172"/>
      <c r="Q470" s="173">
        <f>SUMIF(H4:H446,"&gt;0",H4:H446)+G458</f>
        <v>29972998.98</v>
      </c>
      <c r="S470" s="136"/>
      <c r="T470"/>
      <c r="U470"/>
      <c r="W470" s="136"/>
    </row>
    <row r="471" spans="1:23" ht="20.25" x14ac:dyDescent="0.3">
      <c r="A471" s="39">
        <f>AP449</f>
        <v>0</v>
      </c>
      <c r="B471" s="10" t="s">
        <v>28</v>
      </c>
      <c r="C471" s="40">
        <f>AR449</f>
        <v>0</v>
      </c>
      <c r="D471" s="12">
        <f>AO449</f>
        <v>0</v>
      </c>
      <c r="E471" s="37" t="e">
        <f t="shared" si="221"/>
        <v>#DIV/0!</v>
      </c>
      <c r="F471" s="41">
        <f>C471/C469</f>
        <v>0</v>
      </c>
      <c r="G471" s="11"/>
      <c r="H471" s="65"/>
      <c r="J471" s="189"/>
      <c r="K471" s="189"/>
      <c r="L471" s="189" t="s">
        <v>99</v>
      </c>
      <c r="M471" s="156">
        <v>8</v>
      </c>
      <c r="N471" s="8"/>
      <c r="O471" s="172" t="s">
        <v>111</v>
      </c>
      <c r="P471" s="172"/>
      <c r="Q471" s="173">
        <f>E463</f>
        <v>0</v>
      </c>
      <c r="U471" s="143"/>
    </row>
    <row r="472" spans="1:23" ht="21" thickBot="1" x14ac:dyDescent="0.35">
      <c r="A472" s="39">
        <f>AL449</f>
        <v>2</v>
      </c>
      <c r="B472" s="10" t="s">
        <v>29</v>
      </c>
      <c r="C472" s="40">
        <f>AN449</f>
        <v>30000</v>
      </c>
      <c r="D472" s="12">
        <f>AK449</f>
        <v>2</v>
      </c>
      <c r="E472" s="37">
        <f t="shared" si="221"/>
        <v>15000</v>
      </c>
      <c r="F472" s="41">
        <f>C472/C469</f>
        <v>1.2277070418087153E-3</v>
      </c>
      <c r="G472" s="11"/>
      <c r="H472" s="65"/>
      <c r="J472" s="189"/>
      <c r="K472" s="189"/>
      <c r="L472" s="189" t="s">
        <v>134</v>
      </c>
      <c r="M472" s="156">
        <v>8</v>
      </c>
      <c r="O472" s="172" t="s">
        <v>8</v>
      </c>
      <c r="P472" s="172"/>
      <c r="Q472" s="173">
        <f>Q470-Q471</f>
        <v>29972998.98</v>
      </c>
    </row>
    <row r="473" spans="1:23" ht="21.75" thickTop="1" thickBot="1" x14ac:dyDescent="0.35">
      <c r="A473" s="39">
        <f>AT449</f>
        <v>0</v>
      </c>
      <c r="B473" s="10" t="s">
        <v>17</v>
      </c>
      <c r="C473" s="42">
        <f>I458+M458+L458</f>
        <v>0</v>
      </c>
      <c r="D473" s="43">
        <f>AS449</f>
        <v>0</v>
      </c>
      <c r="E473" s="37" t="e">
        <f t="shared" si="221"/>
        <v>#DIV/0!</v>
      </c>
      <c r="F473" s="38">
        <f>C473/C469</f>
        <v>0</v>
      </c>
      <c r="G473" s="44">
        <f>C473/(C469-C470)</f>
        <v>0</v>
      </c>
      <c r="H473" s="65" t="s">
        <v>30</v>
      </c>
      <c r="J473" s="190"/>
      <c r="K473" s="190"/>
      <c r="L473" s="190" t="s">
        <v>135</v>
      </c>
      <c r="M473" s="156">
        <v>8</v>
      </c>
      <c r="O473" s="172" t="s">
        <v>112</v>
      </c>
      <c r="P473" s="172"/>
      <c r="Q473" s="174">
        <f>Q471/Q470</f>
        <v>0</v>
      </c>
    </row>
    <row r="474" spans="1:23" ht="21" thickTop="1" x14ac:dyDescent="0.3">
      <c r="A474" s="39"/>
      <c r="B474" s="10" t="s">
        <v>53</v>
      </c>
      <c r="C474" s="74">
        <f>J458</f>
        <v>0</v>
      </c>
      <c r="D474" s="43"/>
      <c r="E474" s="43"/>
      <c r="F474" s="33">
        <f>C474/C469</f>
        <v>0</v>
      </c>
      <c r="G474" s="98">
        <f>(I458+L458+J458+M458)/P458</f>
        <v>0</v>
      </c>
      <c r="H474" s="65" t="s">
        <v>63</v>
      </c>
      <c r="J474" s="189"/>
      <c r="K474" s="189"/>
      <c r="L474" s="189" t="s">
        <v>131</v>
      </c>
      <c r="M474" s="156">
        <v>2</v>
      </c>
      <c r="T474" s="142"/>
    </row>
    <row r="475" spans="1:23" ht="13.5" thickBot="1" x14ac:dyDescent="0.25">
      <c r="A475" s="39"/>
      <c r="B475" s="72" t="s">
        <v>64</v>
      </c>
      <c r="C475" s="74">
        <f>K458</f>
        <v>0</v>
      </c>
      <c r="D475" s="43"/>
      <c r="E475" s="43"/>
      <c r="F475" s="38">
        <f>C475/C469</f>
        <v>0</v>
      </c>
      <c r="G475" s="101"/>
      <c r="H475" s="65"/>
      <c r="O475" s="172" t="s">
        <v>138</v>
      </c>
      <c r="P475" s="206"/>
      <c r="Q475" s="173">
        <f>SUMIF(T4:T446,1,G4:G446)</f>
        <v>90000</v>
      </c>
      <c r="R475" s="207" t="s">
        <v>139</v>
      </c>
    </row>
    <row r="476" spans="1:23" ht="18" customHeight="1" thickTop="1" thickBot="1" x14ac:dyDescent="0.25">
      <c r="A476" s="39"/>
      <c r="B476" s="76" t="s">
        <v>65</v>
      </c>
      <c r="C476" s="76">
        <f>C473+C474+C475</f>
        <v>0</v>
      </c>
      <c r="D476" s="73"/>
      <c r="E476" s="71"/>
      <c r="F476" s="71"/>
      <c r="G476" s="71"/>
      <c r="H476" s="79"/>
      <c r="O476" s="172" t="s">
        <v>140</v>
      </c>
      <c r="P476" s="206"/>
      <c r="Q476" s="173">
        <f>SUMIFS(H4:H446,H4:H446,"&gt;0",T4:T446,1)-SUMIF(T4:T446,1,I4:I446)</f>
        <v>0</v>
      </c>
      <c r="R476" s="207" t="s">
        <v>141</v>
      </c>
    </row>
    <row r="477" spans="1:23" ht="13.5" thickTop="1" x14ac:dyDescent="0.2">
      <c r="A477" s="39">
        <f>AV449</f>
        <v>386</v>
      </c>
      <c r="B477" s="10" t="s">
        <v>18</v>
      </c>
      <c r="C477" s="75">
        <f>C478+C479</f>
        <v>24405796.960000001</v>
      </c>
      <c r="D477" s="43">
        <f>AV449</f>
        <v>386</v>
      </c>
      <c r="E477" s="37">
        <f t="shared" si="221"/>
        <v>63227.45326424871</v>
      </c>
      <c r="F477" s="38">
        <f>C477/C469</f>
        <v>0.99877229295819125</v>
      </c>
      <c r="G477" s="11"/>
      <c r="H477" s="65"/>
      <c r="O477" s="206" t="s">
        <v>148</v>
      </c>
      <c r="P477" s="206"/>
      <c r="Q477" s="173">
        <f>SUMIF(T4:T446,"=1",N4:N446)</f>
        <v>90000</v>
      </c>
      <c r="R477" s="207" t="s">
        <v>143</v>
      </c>
      <c r="T477"/>
      <c r="U477"/>
    </row>
    <row r="478" spans="1:23" ht="17.25" customHeight="1" x14ac:dyDescent="0.2">
      <c r="A478" s="39">
        <f>BC449</f>
        <v>48</v>
      </c>
      <c r="B478" s="10" t="s">
        <v>31</v>
      </c>
      <c r="C478" s="40">
        <f>BF449+BE449</f>
        <v>5510000</v>
      </c>
      <c r="D478" s="43">
        <f>BB449</f>
        <v>48</v>
      </c>
      <c r="E478" s="37">
        <f t="shared" si="221"/>
        <v>114791.66666666667</v>
      </c>
      <c r="F478" s="41">
        <f>C478/C469</f>
        <v>0.22548886001220073</v>
      </c>
      <c r="G478" s="11"/>
      <c r="H478" s="65"/>
      <c r="O478" s="206" t="s">
        <v>142</v>
      </c>
      <c r="P478" s="206"/>
      <c r="Q478" s="173">
        <f>Q479-Q477</f>
        <v>29882998.98</v>
      </c>
      <c r="R478" s="207" t="s">
        <v>149</v>
      </c>
      <c r="S478" s="142"/>
      <c r="T478"/>
      <c r="U478"/>
      <c r="W478" s="142"/>
    </row>
    <row r="479" spans="1:23" ht="13.5" thickBot="1" x14ac:dyDescent="0.25">
      <c r="A479" s="45">
        <f>AX449</f>
        <v>338</v>
      </c>
      <c r="B479" s="46" t="s">
        <v>32</v>
      </c>
      <c r="C479" s="47">
        <f>AZ449+BA449</f>
        <v>18895796.960000001</v>
      </c>
      <c r="D479" s="48">
        <f>AW449</f>
        <v>338</v>
      </c>
      <c r="E479" s="49">
        <f>C479/D479</f>
        <v>55904.724733727817</v>
      </c>
      <c r="F479" s="50">
        <f>C479/C469</f>
        <v>0.77328343294599056</v>
      </c>
      <c r="G479" s="51"/>
      <c r="H479" s="80"/>
      <c r="O479" s="208" t="s">
        <v>144</v>
      </c>
      <c r="P479" s="208"/>
      <c r="Q479" s="209">
        <f>SUMIF(N4:N446,"&gt;0",N4:N446)</f>
        <v>29972998.98</v>
      </c>
      <c r="R479" s="207" t="s">
        <v>150</v>
      </c>
      <c r="T479"/>
      <c r="U479"/>
    </row>
    <row r="480" spans="1:23" ht="13.5" thickTop="1" x14ac:dyDescent="0.2">
      <c r="A480" s="120"/>
      <c r="B480" s="8"/>
      <c r="T480"/>
      <c r="U480"/>
    </row>
    <row r="481" spans="1:36" ht="13.5" thickBot="1" x14ac:dyDescent="0.25">
      <c r="O481" s="207" t="s">
        <v>145</v>
      </c>
      <c r="P481" s="207"/>
      <c r="Q481" s="207"/>
      <c r="T481"/>
      <c r="U481"/>
    </row>
    <row r="482" spans="1:36" ht="14.25" thickTop="1" thickBot="1" x14ac:dyDescent="0.25">
      <c r="A482" s="8"/>
      <c r="B482" s="8" t="s">
        <v>98</v>
      </c>
      <c r="C482"/>
      <c r="D482" s="15"/>
      <c r="E482" s="150">
        <f>G469</f>
        <v>0</v>
      </c>
      <c r="F482" s="150">
        <f>H469</f>
        <v>1</v>
      </c>
      <c r="H482" s="152"/>
      <c r="O482" s="207" t="s">
        <v>146</v>
      </c>
      <c r="P482" s="207"/>
      <c r="Q482" s="207"/>
      <c r="T482"/>
      <c r="U482"/>
    </row>
    <row r="483" spans="1:36" ht="14.25" thickTop="1" thickBot="1" x14ac:dyDescent="0.25">
      <c r="O483" s="207" t="s">
        <v>151</v>
      </c>
      <c r="P483" s="207"/>
      <c r="Q483" s="207"/>
      <c r="S483" s="142"/>
      <c r="T483"/>
      <c r="U483"/>
      <c r="V483" s="142"/>
      <c r="W483" s="142"/>
    </row>
    <row r="484" spans="1:36" ht="14.25" thickTop="1" thickBot="1" x14ac:dyDescent="0.25">
      <c r="B484" s="153" t="s">
        <v>9</v>
      </c>
      <c r="C484" s="154" t="s">
        <v>45</v>
      </c>
      <c r="O484" s="207" t="s">
        <v>152</v>
      </c>
      <c r="P484" s="207"/>
      <c r="Q484" s="207"/>
      <c r="T484"/>
      <c r="AH484" s="8"/>
    </row>
    <row r="485" spans="1:36" ht="13.5" thickTop="1" x14ac:dyDescent="0.2">
      <c r="B485" s="39">
        <v>1</v>
      </c>
      <c r="C485" s="90" t="s">
        <v>93</v>
      </c>
      <c r="E485" s="85" t="s">
        <v>59</v>
      </c>
      <c r="F485" s="83"/>
      <c r="G485" s="83"/>
      <c r="H485" s="84"/>
      <c r="I485" s="86"/>
      <c r="T485"/>
      <c r="AH485" s="8"/>
      <c r="AI485" s="69"/>
      <c r="AJ485" s="70"/>
    </row>
    <row r="486" spans="1:36" x14ac:dyDescent="0.2">
      <c r="B486" s="39">
        <v>2</v>
      </c>
      <c r="C486" s="90" t="s">
        <v>43</v>
      </c>
      <c r="E486" s="87" t="s">
        <v>60</v>
      </c>
      <c r="F486" s="88"/>
      <c r="G486" s="88"/>
      <c r="H486" s="6"/>
      <c r="I486" s="89"/>
      <c r="T486"/>
      <c r="AH486" s="8"/>
      <c r="AI486" s="69"/>
      <c r="AJ486" s="70"/>
    </row>
    <row r="487" spans="1:36" x14ac:dyDescent="0.2">
      <c r="B487" s="39">
        <v>3</v>
      </c>
      <c r="C487" s="155" t="s">
        <v>100</v>
      </c>
      <c r="E487" s="87" t="s">
        <v>58</v>
      </c>
      <c r="F487" s="6"/>
      <c r="G487" s="6"/>
      <c r="H487" s="6"/>
      <c r="I487" s="89"/>
      <c r="S487" s="8"/>
      <c r="U487" s="8"/>
      <c r="V487" s="8"/>
      <c r="W487" s="8"/>
      <c r="X487" s="8"/>
      <c r="Y487" s="8"/>
      <c r="AH487" s="8"/>
      <c r="AI487" s="69"/>
      <c r="AJ487" s="70"/>
    </row>
    <row r="488" spans="1:36" x14ac:dyDescent="0.2">
      <c r="B488" s="39">
        <v>4</v>
      </c>
      <c r="C488" s="90" t="s">
        <v>44</v>
      </c>
      <c r="E488" s="87" t="s">
        <v>61</v>
      </c>
      <c r="F488" s="88"/>
      <c r="G488" s="88"/>
      <c r="H488" s="88"/>
      <c r="I488" s="91"/>
      <c r="S488" s="8"/>
      <c r="U488" s="8"/>
      <c r="V488" s="8"/>
      <c r="W488" s="8"/>
      <c r="X488" s="8"/>
      <c r="Y488" s="8"/>
    </row>
    <row r="489" spans="1:36" ht="13.5" thickBot="1" x14ac:dyDescent="0.25">
      <c r="B489" s="39">
        <v>5</v>
      </c>
      <c r="C489" s="90" t="s">
        <v>46</v>
      </c>
      <c r="E489" s="92" t="s">
        <v>62</v>
      </c>
      <c r="F489" s="93"/>
      <c r="G489" s="93"/>
      <c r="H489" s="94"/>
      <c r="I489" s="95"/>
      <c r="S489" s="8"/>
      <c r="U489" s="8"/>
      <c r="V489" s="8"/>
      <c r="W489" s="8"/>
      <c r="X489" s="8"/>
      <c r="Y489" s="8"/>
    </row>
    <row r="490" spans="1:36" ht="13.5" thickTop="1" x14ac:dyDescent="0.2">
      <c r="S490" s="8"/>
      <c r="U490" s="8"/>
      <c r="V490" s="8"/>
      <c r="W490" s="8"/>
      <c r="X490" s="8"/>
      <c r="Y490" s="8"/>
    </row>
  </sheetData>
  <sheetProtection sheet="1" objects="1" scenarios="1"/>
  <sortState xmlns:xlrd2="http://schemas.microsoft.com/office/spreadsheetml/2017/richdata2" ref="A4:IV446">
    <sortCondition descending="1" ref="F4:F446"/>
    <sortCondition ref="A4:A446"/>
  </sortState>
  <mergeCells count="3">
    <mergeCell ref="G2:H2"/>
    <mergeCell ref="I2:M2"/>
    <mergeCell ref="Q2:S2"/>
  </mergeCells>
  <phoneticPr fontId="9" type="noConversion"/>
  <conditionalFormatting sqref="A1:A1048576">
    <cfRule type="duplicateValues" dxfId="6" priority="155"/>
  </conditionalFormatting>
  <conditionalFormatting sqref="A3 X3:Y3 X448:Y448 X450:Y453 A457:A462">
    <cfRule type="expression" dxfId="5" priority="149" stopIfTrue="1">
      <formula>COUNTIF($A$4:$A$447,A3)&gt;1</formula>
    </cfRule>
  </conditionalFormatting>
  <conditionalFormatting sqref="B458:B459 B461:B462 A467 A488">
    <cfRule type="expression" dxfId="4" priority="148" stopIfTrue="1">
      <formula>COUNTIF(#REF!,A458)&gt;1</formula>
    </cfRule>
  </conditionalFormatting>
  <conditionalFormatting sqref="C458:D460">
    <cfRule type="expression" dxfId="3" priority="107" stopIfTrue="1">
      <formula>COUNTIF(#REF!,C458)&gt;1</formula>
    </cfRule>
  </conditionalFormatting>
  <conditionalFormatting sqref="D461:D462">
    <cfRule type="expression" dxfId="2" priority="108" stopIfTrue="1">
      <formula>COUNTIF(#REF!,D461)&gt;1</formula>
    </cfRule>
  </conditionalFormatting>
  <pageMargins left="0.19685039370078741" right="0.11811023622047245" top="0.15748031496062992" bottom="0.19685039370078741" header="0" footer="0"/>
  <pageSetup paperSize="9" scale="45" fitToHeight="4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pageSetUpPr fitToPage="1"/>
  </sheetPr>
  <dimension ref="A1:N26"/>
  <sheetViews>
    <sheetView zoomScale="90" zoomScaleNormal="90" workbookViewId="0">
      <selection activeCell="F9" sqref="F9"/>
    </sheetView>
  </sheetViews>
  <sheetFormatPr baseColWidth="10" defaultRowHeight="12.75" x14ac:dyDescent="0.2"/>
  <cols>
    <col min="1" max="1" width="8.7109375" customWidth="1"/>
    <col min="2" max="2" width="19.42578125" customWidth="1"/>
    <col min="3" max="3" width="18.28515625" style="15" customWidth="1"/>
    <col min="4" max="4" width="12.140625" customWidth="1"/>
    <col min="6" max="6" width="10.7109375" customWidth="1"/>
    <col min="7" max="7" width="14.42578125" customWidth="1"/>
    <col min="8" max="8" width="8.5703125" style="9" customWidth="1"/>
    <col min="13" max="13" width="12.85546875" customWidth="1"/>
    <col min="14" max="14" width="49.85546875" customWidth="1"/>
  </cols>
  <sheetData>
    <row r="1" spans="1:14" ht="23.25" x14ac:dyDescent="0.35">
      <c r="A1" s="224" t="s">
        <v>76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</row>
    <row r="2" spans="1:14" ht="31.5" customHeight="1" x14ac:dyDescent="0.3">
      <c r="E2" s="1"/>
      <c r="F2" s="1"/>
      <c r="G2" s="139"/>
      <c r="H2" s="225" t="s">
        <v>48</v>
      </c>
      <c r="I2" s="225"/>
      <c r="J2" s="225"/>
      <c r="K2" s="225"/>
      <c r="L2" s="225"/>
    </row>
    <row r="3" spans="1:14" ht="33.75" customHeight="1" thickBot="1" x14ac:dyDescent="0.3">
      <c r="E3" s="1"/>
      <c r="F3" s="1"/>
      <c r="G3" s="139"/>
      <c r="H3" s="226" t="s">
        <v>92</v>
      </c>
      <c r="I3" s="226"/>
      <c r="J3" s="226"/>
      <c r="K3" s="226"/>
      <c r="L3" s="226"/>
    </row>
    <row r="4" spans="1:14" ht="14.25" thickTop="1" thickBot="1" x14ac:dyDescent="0.25">
      <c r="A4" s="111" t="s">
        <v>0</v>
      </c>
      <c r="B4" s="111" t="s">
        <v>1</v>
      </c>
      <c r="C4" s="134" t="s">
        <v>2</v>
      </c>
      <c r="D4" s="135" t="s">
        <v>3</v>
      </c>
      <c r="E4" s="111" t="s">
        <v>4</v>
      </c>
      <c r="F4" s="111" t="s">
        <v>91</v>
      </c>
      <c r="G4" s="111" t="s">
        <v>75</v>
      </c>
      <c r="H4" s="137" t="s">
        <v>7</v>
      </c>
      <c r="I4" s="138" t="s">
        <v>54</v>
      </c>
      <c r="J4" s="138" t="s">
        <v>26</v>
      </c>
      <c r="K4" s="138" t="s">
        <v>66</v>
      </c>
      <c r="L4" s="138" t="s">
        <v>74</v>
      </c>
      <c r="M4" s="2" t="s">
        <v>101</v>
      </c>
      <c r="N4" s="2" t="s">
        <v>10</v>
      </c>
    </row>
    <row r="5" spans="1:14" ht="17.100000000000001" customHeight="1" thickTop="1" x14ac:dyDescent="0.2">
      <c r="A5" s="113"/>
      <c r="B5" s="219"/>
      <c r="C5" s="194"/>
      <c r="D5" s="192"/>
      <c r="E5" s="195"/>
      <c r="F5" s="192"/>
      <c r="G5" s="192"/>
      <c r="H5" s="193"/>
      <c r="I5" s="68"/>
      <c r="J5" s="109">
        <f>H5+I5</f>
        <v>0</v>
      </c>
      <c r="K5" s="140">
        <f>J5*AUTOHOGAR!$M$471%</f>
        <v>0</v>
      </c>
      <c r="L5" s="141">
        <f>J5-K5</f>
        <v>0</v>
      </c>
      <c r="M5" s="158"/>
      <c r="N5" s="199"/>
    </row>
    <row r="6" spans="1:14" ht="17.100000000000001" customHeight="1" x14ac:dyDescent="0.2">
      <c r="A6" s="113"/>
      <c r="B6" s="114"/>
      <c r="C6" s="144"/>
      <c r="D6" s="114"/>
      <c r="E6" s="117"/>
      <c r="F6" s="133"/>
      <c r="G6" s="114"/>
      <c r="H6" s="13"/>
      <c r="I6" s="68"/>
      <c r="J6" s="109">
        <f t="shared" ref="J6:J17" si="0">H6+I6</f>
        <v>0</v>
      </c>
      <c r="K6" s="140">
        <f>J6*AUTOHOGAR!$M$471%</f>
        <v>0</v>
      </c>
      <c r="L6" s="141">
        <f t="shared" ref="L6:L17" si="1">J6-K6</f>
        <v>0</v>
      </c>
      <c r="M6" s="158"/>
      <c r="N6" s="104"/>
    </row>
    <row r="7" spans="1:14" ht="17.100000000000001" customHeight="1" x14ac:dyDescent="0.2">
      <c r="A7" s="113"/>
      <c r="B7" s="196"/>
      <c r="C7" s="196"/>
      <c r="D7" s="196"/>
      <c r="E7" s="197"/>
      <c r="F7" s="196"/>
      <c r="G7" s="196"/>
      <c r="H7" s="193"/>
      <c r="I7" s="68"/>
      <c r="J7" s="109">
        <f t="shared" si="0"/>
        <v>0</v>
      </c>
      <c r="K7" s="140">
        <f>J7*AUTOHOGAR!$M$471%</f>
        <v>0</v>
      </c>
      <c r="L7" s="141">
        <f t="shared" si="1"/>
        <v>0</v>
      </c>
      <c r="M7" s="158"/>
      <c r="N7" s="200"/>
    </row>
    <row r="8" spans="1:14" ht="17.100000000000001" customHeight="1" x14ac:dyDescent="0.2">
      <c r="A8" s="113"/>
      <c r="B8" s="145"/>
      <c r="C8" s="145"/>
      <c r="D8" s="145"/>
      <c r="E8" s="198"/>
      <c r="F8" s="103"/>
      <c r="G8" s="103"/>
      <c r="H8" s="13"/>
      <c r="I8" s="68"/>
      <c r="J8" s="109">
        <f t="shared" si="0"/>
        <v>0</v>
      </c>
      <c r="K8" s="140">
        <f>J8*AUTOHOGAR!$M$471%</f>
        <v>0</v>
      </c>
      <c r="L8" s="141">
        <f t="shared" si="1"/>
        <v>0</v>
      </c>
      <c r="M8" s="158"/>
      <c r="N8" s="104"/>
    </row>
    <row r="9" spans="1:14" ht="17.100000000000001" customHeight="1" x14ac:dyDescent="0.2">
      <c r="A9" s="113"/>
      <c r="B9" s="114"/>
      <c r="C9" s="144"/>
      <c r="D9" s="114"/>
      <c r="E9" s="117"/>
      <c r="F9" s="133"/>
      <c r="G9" s="114"/>
      <c r="H9" s="13"/>
      <c r="I9" s="68"/>
      <c r="J9" s="109">
        <f t="shared" si="0"/>
        <v>0</v>
      </c>
      <c r="K9" s="140">
        <f>J9*AUTOHOGAR!$M$471%</f>
        <v>0</v>
      </c>
      <c r="L9" s="141">
        <f t="shared" si="1"/>
        <v>0</v>
      </c>
      <c r="M9" s="158"/>
      <c r="N9" s="104"/>
    </row>
    <row r="10" spans="1:14" ht="17.100000000000001" customHeight="1" x14ac:dyDescent="0.2">
      <c r="A10" s="113"/>
      <c r="B10" s="103"/>
      <c r="C10" s="103"/>
      <c r="D10" s="103"/>
      <c r="E10" s="119"/>
      <c r="F10" s="103"/>
      <c r="G10" s="103"/>
      <c r="H10" s="13"/>
      <c r="I10" s="68"/>
      <c r="J10" s="109">
        <f t="shared" si="0"/>
        <v>0</v>
      </c>
      <c r="K10" s="140">
        <f>J10*AUTOHOGAR!$M$471%</f>
        <v>0</v>
      </c>
      <c r="L10" s="141">
        <f t="shared" si="1"/>
        <v>0</v>
      </c>
      <c r="M10" s="158"/>
      <c r="N10" s="104"/>
    </row>
    <row r="11" spans="1:14" ht="17.100000000000001" customHeight="1" x14ac:dyDescent="0.2">
      <c r="A11" s="113"/>
      <c r="B11" s="145"/>
      <c r="C11" s="145"/>
      <c r="D11" s="145"/>
      <c r="E11" s="119"/>
      <c r="F11" s="103"/>
      <c r="G11" s="103"/>
      <c r="H11" s="13"/>
      <c r="I11" s="68"/>
      <c r="J11" s="109">
        <f t="shared" si="0"/>
        <v>0</v>
      </c>
      <c r="K11" s="140">
        <f>J11*AUTOHOGAR!$M$471%</f>
        <v>0</v>
      </c>
      <c r="L11" s="141">
        <f t="shared" si="1"/>
        <v>0</v>
      </c>
      <c r="M11" s="158"/>
      <c r="N11" s="104"/>
    </row>
    <row r="12" spans="1:14" ht="17.100000000000001" customHeight="1" x14ac:dyDescent="0.2">
      <c r="A12" s="157"/>
      <c r="B12" s="145"/>
      <c r="C12" s="145"/>
      <c r="D12" s="145"/>
      <c r="E12" s="119"/>
      <c r="F12" s="103"/>
      <c r="G12" s="103"/>
      <c r="H12" s="13"/>
      <c r="I12" s="68"/>
      <c r="J12" s="109">
        <f t="shared" si="0"/>
        <v>0</v>
      </c>
      <c r="K12" s="140">
        <f>J12*AUTOHOGAR!$M$471%</f>
        <v>0</v>
      </c>
      <c r="L12" s="141">
        <f t="shared" si="1"/>
        <v>0</v>
      </c>
      <c r="M12" s="158"/>
      <c r="N12" s="104"/>
    </row>
    <row r="13" spans="1:14" ht="17.100000000000001" customHeight="1" x14ac:dyDescent="0.2">
      <c r="A13" s="113"/>
      <c r="B13" s="133"/>
      <c r="C13" s="144"/>
      <c r="D13" s="133"/>
      <c r="E13" s="117"/>
      <c r="F13" s="114"/>
      <c r="G13" s="114"/>
      <c r="H13" s="13"/>
      <c r="I13" s="68"/>
      <c r="J13" s="109">
        <f t="shared" si="0"/>
        <v>0</v>
      </c>
      <c r="K13" s="140">
        <f>J13*AUTOHOGAR!$M$471%</f>
        <v>0</v>
      </c>
      <c r="L13" s="141">
        <f t="shared" si="1"/>
        <v>0</v>
      </c>
      <c r="M13" s="158"/>
      <c r="N13" s="104"/>
    </row>
    <row r="14" spans="1:14" ht="17.100000000000001" customHeight="1" x14ac:dyDescent="0.2">
      <c r="A14" s="113"/>
      <c r="B14" s="145"/>
      <c r="C14" s="145"/>
      <c r="D14" s="145"/>
      <c r="E14" s="119"/>
      <c r="F14" s="103"/>
      <c r="G14" s="103"/>
      <c r="H14" s="13"/>
      <c r="I14" s="68"/>
      <c r="J14" s="109">
        <f t="shared" si="0"/>
        <v>0</v>
      </c>
      <c r="K14" s="140">
        <f>J14*AUTOHOGAR!$M$471%</f>
        <v>0</v>
      </c>
      <c r="L14" s="141">
        <f t="shared" si="1"/>
        <v>0</v>
      </c>
      <c r="M14" s="158"/>
      <c r="N14" s="104"/>
    </row>
    <row r="15" spans="1:14" ht="17.100000000000001" customHeight="1" x14ac:dyDescent="0.2">
      <c r="A15" s="113"/>
      <c r="B15" s="145"/>
      <c r="C15" s="145"/>
      <c r="D15" s="145"/>
      <c r="E15" s="119"/>
      <c r="F15" s="103"/>
      <c r="G15" s="103"/>
      <c r="H15" s="13"/>
      <c r="I15" s="68"/>
      <c r="J15" s="109">
        <f t="shared" si="0"/>
        <v>0</v>
      </c>
      <c r="K15" s="140">
        <f>J15*AUTOHOGAR!$M$471%</f>
        <v>0</v>
      </c>
      <c r="L15" s="141">
        <f t="shared" si="1"/>
        <v>0</v>
      </c>
      <c r="M15" s="158"/>
      <c r="N15" s="104"/>
    </row>
    <row r="16" spans="1:14" ht="17.100000000000001" customHeight="1" x14ac:dyDescent="0.2">
      <c r="A16" s="113"/>
      <c r="B16" s="145"/>
      <c r="C16" s="145"/>
      <c r="D16" s="145"/>
      <c r="E16" s="119"/>
      <c r="F16" s="103"/>
      <c r="G16" s="103"/>
      <c r="H16" s="13"/>
      <c r="I16" s="68"/>
      <c r="J16" s="109">
        <f t="shared" si="0"/>
        <v>0</v>
      </c>
      <c r="K16" s="140">
        <f>J16*AUTOHOGAR!$M$471%</f>
        <v>0</v>
      </c>
      <c r="L16" s="141">
        <f t="shared" si="1"/>
        <v>0</v>
      </c>
      <c r="M16" s="158"/>
      <c r="N16" s="104"/>
    </row>
    <row r="17" spans="1:14" ht="17.100000000000001" customHeight="1" x14ac:dyDescent="0.2">
      <c r="A17" s="113"/>
      <c r="B17" s="145"/>
      <c r="C17" s="145"/>
      <c r="D17" s="145"/>
      <c r="E17" s="119"/>
      <c r="F17" s="103"/>
      <c r="G17" s="103"/>
      <c r="H17" s="13"/>
      <c r="I17" s="68"/>
      <c r="J17" s="109">
        <f t="shared" si="0"/>
        <v>0</v>
      </c>
      <c r="K17" s="140">
        <f>J17*AUTOHOGAR!$M$471%</f>
        <v>0</v>
      </c>
      <c r="L17" s="141">
        <f t="shared" si="1"/>
        <v>0</v>
      </c>
      <c r="M17" s="158"/>
      <c r="N17" s="104"/>
    </row>
    <row r="18" spans="1:14" ht="17.100000000000001" customHeight="1" x14ac:dyDescent="0.2">
      <c r="A18" s="157"/>
      <c r="B18" s="145"/>
      <c r="C18" s="145"/>
      <c r="D18" s="145"/>
      <c r="E18" s="119"/>
      <c r="F18" s="103"/>
      <c r="G18" s="103"/>
      <c r="H18" s="13"/>
      <c r="I18" s="68"/>
      <c r="J18" s="109">
        <f t="shared" ref="J18:J23" si="2">H18+I18</f>
        <v>0</v>
      </c>
      <c r="K18" s="140">
        <f>J18*AUTOHOGAR!$M$471%</f>
        <v>0</v>
      </c>
      <c r="L18" s="141">
        <f t="shared" ref="L18:L23" si="3">J18-K18</f>
        <v>0</v>
      </c>
      <c r="M18" s="158"/>
      <c r="N18" s="104"/>
    </row>
    <row r="19" spans="1:14" ht="17.100000000000001" customHeight="1" x14ac:dyDescent="0.2">
      <c r="A19" s="157"/>
      <c r="B19" s="145"/>
      <c r="C19" s="145"/>
      <c r="D19" s="145"/>
      <c r="E19" s="119"/>
      <c r="F19" s="103"/>
      <c r="G19" s="103"/>
      <c r="H19" s="13"/>
      <c r="I19" s="68"/>
      <c r="J19" s="109">
        <f t="shared" si="2"/>
        <v>0</v>
      </c>
      <c r="K19" s="140">
        <f>J19*AUTOHOGAR!$M$471%</f>
        <v>0</v>
      </c>
      <c r="L19" s="141">
        <f t="shared" si="3"/>
        <v>0</v>
      </c>
      <c r="M19" s="158"/>
      <c r="N19" s="104"/>
    </row>
    <row r="20" spans="1:14" ht="17.100000000000001" customHeight="1" x14ac:dyDescent="0.2">
      <c r="A20" s="157"/>
      <c r="B20" s="145"/>
      <c r="C20" s="145"/>
      <c r="D20" s="145"/>
      <c r="E20" s="119"/>
      <c r="F20" s="103"/>
      <c r="G20" s="103"/>
      <c r="H20" s="13"/>
      <c r="I20" s="68"/>
      <c r="J20" s="109">
        <f t="shared" si="2"/>
        <v>0</v>
      </c>
      <c r="K20" s="140">
        <f>J20*AUTOHOGAR!$M$471%</f>
        <v>0</v>
      </c>
      <c r="L20" s="141">
        <f t="shared" si="3"/>
        <v>0</v>
      </c>
      <c r="M20" s="158"/>
      <c r="N20" s="104"/>
    </row>
    <row r="21" spans="1:14" ht="17.100000000000001" customHeight="1" x14ac:dyDescent="0.2">
      <c r="A21" s="157"/>
      <c r="B21" s="145"/>
      <c r="C21" s="145"/>
      <c r="D21" s="145"/>
      <c r="E21" s="119"/>
      <c r="F21" s="103"/>
      <c r="G21" s="103"/>
      <c r="H21" s="13"/>
      <c r="I21" s="68"/>
      <c r="J21" s="109">
        <f t="shared" si="2"/>
        <v>0</v>
      </c>
      <c r="K21" s="140">
        <f>J21*AUTOHOGAR!$M$471%</f>
        <v>0</v>
      </c>
      <c r="L21" s="141">
        <f t="shared" si="3"/>
        <v>0</v>
      </c>
      <c r="M21" s="158"/>
      <c r="N21" s="104"/>
    </row>
    <row r="22" spans="1:14" ht="17.100000000000001" customHeight="1" x14ac:dyDescent="0.2">
      <c r="A22" s="157"/>
      <c r="B22" s="145"/>
      <c r="C22" s="145"/>
      <c r="D22" s="145"/>
      <c r="E22" s="119"/>
      <c r="F22" s="103"/>
      <c r="G22" s="103"/>
      <c r="H22" s="13"/>
      <c r="I22" s="68"/>
      <c r="J22" s="109">
        <f t="shared" si="2"/>
        <v>0</v>
      </c>
      <c r="K22" s="140">
        <f>J22*AUTOHOGAR!$M$471%</f>
        <v>0</v>
      </c>
      <c r="L22" s="141">
        <f t="shared" si="3"/>
        <v>0</v>
      </c>
      <c r="M22" s="158"/>
      <c r="N22" s="104"/>
    </row>
    <row r="23" spans="1:14" ht="17.100000000000001" customHeight="1" x14ac:dyDescent="0.2">
      <c r="A23" s="157"/>
      <c r="B23" s="145"/>
      <c r="C23" s="145"/>
      <c r="D23" s="145"/>
      <c r="E23" s="119"/>
      <c r="F23" s="103"/>
      <c r="G23" s="103"/>
      <c r="H23" s="13"/>
      <c r="I23" s="68"/>
      <c r="J23" s="109">
        <f t="shared" si="2"/>
        <v>0</v>
      </c>
      <c r="K23" s="140">
        <f>J23*AUTOHOGAR!$M$471%</f>
        <v>0</v>
      </c>
      <c r="L23" s="141">
        <f t="shared" si="3"/>
        <v>0</v>
      </c>
      <c r="M23" s="158"/>
      <c r="N23" s="104"/>
    </row>
    <row r="24" spans="1:14" ht="17.100000000000001" customHeight="1" x14ac:dyDescent="0.2">
      <c r="A24" s="103"/>
      <c r="B24" s="145"/>
      <c r="C24" s="145"/>
      <c r="D24" s="145"/>
      <c r="E24" s="119"/>
      <c r="F24" s="103"/>
      <c r="G24" s="103"/>
      <c r="H24" s="13"/>
      <c r="I24" s="68"/>
      <c r="J24" s="109">
        <f>H24+I24</f>
        <v>0</v>
      </c>
      <c r="K24" s="140">
        <f>J24*AUTOHOGAR!$M$471%</f>
        <v>0</v>
      </c>
      <c r="L24" s="141">
        <f>J24-K24</f>
        <v>0</v>
      </c>
      <c r="M24" s="158"/>
      <c r="N24" s="104"/>
    </row>
    <row r="25" spans="1:14" ht="17.100000000000001" customHeight="1" x14ac:dyDescent="0.2">
      <c r="E25" s="16"/>
      <c r="H25" s="118"/>
      <c r="I25" s="67"/>
      <c r="J25" s="67"/>
      <c r="K25" s="67"/>
      <c r="L25" s="67"/>
      <c r="M25" s="9"/>
      <c r="N25" s="9"/>
    </row>
    <row r="26" spans="1:14" ht="17.100000000000001" customHeight="1" x14ac:dyDescent="0.2">
      <c r="A26" s="17">
        <f>COUNTA(A5:A24)</f>
        <v>0</v>
      </c>
      <c r="C26"/>
      <c r="E26" s="18"/>
      <c r="F26" s="19"/>
      <c r="G26" s="19"/>
      <c r="H26" s="97">
        <f>SUM(H5:H25)</f>
        <v>0</v>
      </c>
      <c r="I26" s="96">
        <f>SUM(I5:I25)</f>
        <v>0</v>
      </c>
      <c r="J26" s="96">
        <f>SUM(J5:J25)</f>
        <v>0</v>
      </c>
      <c r="K26" s="141">
        <f>SUM(K5:K25)</f>
        <v>0</v>
      </c>
      <c r="L26" s="141">
        <f>SUM(L5:L25)</f>
        <v>0</v>
      </c>
      <c r="M26" s="158"/>
      <c r="N26" s="104"/>
    </row>
  </sheetData>
  <sheetProtection password="CCE9" sheet="1" objects="1" scenarios="1"/>
  <mergeCells count="3">
    <mergeCell ref="A1:N1"/>
    <mergeCell ref="H2:L2"/>
    <mergeCell ref="H3:L3"/>
  </mergeCells>
  <phoneticPr fontId="9" type="noConversion"/>
  <conditionalFormatting sqref="A4 A25:A65536">
    <cfRule type="expression" dxfId="1" priority="25" stopIfTrue="1">
      <formula>COUNTIF($A$5:$A$24,A4)&gt;1</formula>
    </cfRule>
  </conditionalFormatting>
  <conditionalFormatting sqref="B26:D26">
    <cfRule type="expression" dxfId="0" priority="24" stopIfTrue="1">
      <formula>COUNTIF(#REF!,B26)&gt;1</formula>
    </cfRule>
  </conditionalFormatting>
  <pageMargins left="0.3" right="0.15" top="0.39" bottom="0.51" header="0" footer="0"/>
  <pageSetup paperSize="9" scale="52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D20" sqref="D20"/>
    </sheetView>
  </sheetViews>
  <sheetFormatPr baseColWidth="10" defaultRowHeight="12.75" x14ac:dyDescent="0.2"/>
  <cols>
    <col min="1" max="1" width="17.85546875" customWidth="1"/>
    <col min="2" max="2" width="20" bestFit="1" customWidth="1"/>
  </cols>
  <sheetData>
    <row r="1" spans="1:2" x14ac:dyDescent="0.2">
      <c r="A1" s="177" t="s">
        <v>1</v>
      </c>
      <c r="B1" t="s">
        <v>119</v>
      </c>
    </row>
    <row r="3" spans="1:2" x14ac:dyDescent="0.2">
      <c r="A3" s="177" t="s">
        <v>116</v>
      </c>
      <c r="B3" t="s">
        <v>129</v>
      </c>
    </row>
    <row r="4" spans="1:2" x14ac:dyDescent="0.2">
      <c r="A4" s="176" t="s">
        <v>117</v>
      </c>
      <c r="B4">
        <v>476000</v>
      </c>
    </row>
    <row r="5" spans="1:2" x14ac:dyDescent="0.2">
      <c r="A5" s="176" t="s">
        <v>118</v>
      </c>
      <c r="B5">
        <v>476000</v>
      </c>
    </row>
  </sheetData>
  <phoneticPr fontId="25" type="noConversion"/>
  <pageMargins left="0.7" right="0.7" top="0.75" bottom="0.75" header="0.3" footer="0.3"/>
  <pageSetup paperSize="9" orientation="portrait" horizontalDpi="300" verticalDpi="0" copies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169"/>
  <sheetViews>
    <sheetView zoomScale="70" zoomScaleNormal="70" workbookViewId="0">
      <selection activeCell="F56" sqref="F56"/>
    </sheetView>
  </sheetViews>
  <sheetFormatPr baseColWidth="10" defaultColWidth="21.7109375" defaultRowHeight="12.75" x14ac:dyDescent="0.2"/>
  <cols>
    <col min="1" max="1" width="38" bestFit="1" customWidth="1"/>
    <col min="2" max="2" width="23" customWidth="1"/>
    <col min="3" max="3" width="13.140625" bestFit="1" customWidth="1"/>
    <col min="4" max="16" width="10.140625" customWidth="1"/>
    <col min="17" max="17" width="11.140625" customWidth="1"/>
    <col min="18" max="19" width="10.140625" customWidth="1"/>
    <col min="20" max="20" width="13.140625" customWidth="1"/>
    <col min="21" max="21" width="19.140625" customWidth="1"/>
    <col min="22" max="22" width="25.5703125" customWidth="1"/>
    <col min="23" max="23" width="24.5703125" customWidth="1"/>
    <col min="24" max="24" width="24" customWidth="1"/>
    <col min="25" max="25" width="26.7109375" customWidth="1"/>
    <col min="26" max="26" width="23.42578125" customWidth="1"/>
    <col min="27" max="27" width="29.140625" customWidth="1"/>
    <col min="28" max="28" width="31.5703125" customWidth="1"/>
    <col min="29" max="29" width="24.5703125" customWidth="1"/>
    <col min="30" max="30" width="20.7109375" customWidth="1"/>
    <col min="31" max="31" width="22.140625" customWidth="1"/>
    <col min="32" max="32" width="25.42578125" customWidth="1"/>
    <col min="33" max="33" width="26" customWidth="1"/>
    <col min="34" max="34" width="27.42578125" customWidth="1"/>
    <col min="35" max="35" width="26.85546875" customWidth="1"/>
    <col min="36" max="36" width="26.5703125" customWidth="1"/>
    <col min="37" max="37" width="25.42578125" customWidth="1"/>
    <col min="38" max="38" width="24.85546875" customWidth="1"/>
    <col min="39" max="39" width="39.5703125" bestFit="1" customWidth="1"/>
    <col min="40" max="40" width="14.28515625" customWidth="1"/>
    <col min="41" max="41" width="28.7109375" customWidth="1"/>
    <col min="42" max="42" width="29.28515625" customWidth="1"/>
    <col min="43" max="43" width="31.28515625" customWidth="1"/>
    <col min="44" max="44" width="28.5703125" customWidth="1"/>
    <col min="45" max="45" width="30.140625" customWidth="1"/>
    <col min="46" max="46" width="32.28515625" customWidth="1"/>
    <col min="47" max="47" width="28.28515625" customWidth="1"/>
    <col min="48" max="48" width="32.85546875" customWidth="1"/>
    <col min="49" max="49" width="28" customWidth="1"/>
    <col min="50" max="50" width="23.7109375" customWidth="1"/>
    <col min="51" max="51" width="25.85546875" customWidth="1"/>
    <col min="52" max="52" width="29.7109375" customWidth="1"/>
    <col min="53" max="53" width="24.28515625" customWidth="1"/>
    <col min="54" max="54" width="24.140625" customWidth="1"/>
    <col min="55" max="55" width="24.5703125" customWidth="1"/>
    <col min="56" max="56" width="28.28515625" customWidth="1"/>
    <col min="57" max="57" width="27.140625" customWidth="1"/>
    <col min="58" max="58" width="30.7109375" customWidth="1"/>
    <col min="59" max="59" width="20.5703125" customWidth="1"/>
    <col min="60" max="60" width="20.85546875" customWidth="1"/>
    <col min="61" max="61" width="23.85546875" customWidth="1"/>
    <col min="62" max="62" width="35" customWidth="1"/>
    <col min="63" max="63" width="26.5703125" customWidth="1"/>
    <col min="64" max="64" width="31.85546875" customWidth="1"/>
    <col min="65" max="65" width="27.5703125" customWidth="1"/>
    <col min="66" max="66" width="28.42578125" customWidth="1"/>
    <col min="67" max="67" width="27.140625" customWidth="1"/>
    <col min="68" max="68" width="24.28515625" customWidth="1"/>
    <col min="69" max="69" width="25.140625" customWidth="1"/>
    <col min="70" max="70" width="18.5703125" customWidth="1"/>
    <col min="71" max="71" width="24" customWidth="1"/>
    <col min="72" max="72" width="26.140625" customWidth="1"/>
    <col min="73" max="73" width="23.85546875" customWidth="1"/>
    <col min="74" max="74" width="24.7109375" customWidth="1"/>
    <col min="75" max="75" width="17.140625" customWidth="1"/>
    <col min="76" max="76" width="20" customWidth="1"/>
    <col min="77" max="77" width="23" customWidth="1"/>
    <col min="78" max="78" width="26.42578125" customWidth="1"/>
    <col min="79" max="79" width="22" customWidth="1"/>
    <col min="80" max="80" width="16.85546875" customWidth="1"/>
    <col min="81" max="81" width="23.7109375" customWidth="1"/>
    <col min="82" max="82" width="28.140625" customWidth="1"/>
    <col min="83" max="83" width="30.7109375" customWidth="1"/>
    <col min="84" max="84" width="25" customWidth="1"/>
    <col min="85" max="85" width="22.140625" customWidth="1"/>
    <col min="86" max="86" width="19.85546875" customWidth="1"/>
    <col min="87" max="87" width="19.5703125" customWidth="1"/>
    <col min="88" max="88" width="19.85546875" customWidth="1"/>
    <col min="89" max="89" width="20.85546875" customWidth="1"/>
    <col min="90" max="90" width="28.85546875" customWidth="1"/>
    <col min="91" max="91" width="25.42578125" customWidth="1"/>
    <col min="92" max="92" width="22.7109375" customWidth="1"/>
    <col min="93" max="93" width="25.5703125" customWidth="1"/>
    <col min="94" max="94" width="26.5703125" customWidth="1"/>
    <col min="95" max="95" width="31.7109375" customWidth="1"/>
    <col min="96" max="96" width="26.5703125" customWidth="1"/>
    <col min="97" max="97" width="21.7109375" customWidth="1"/>
    <col min="98" max="98" width="26.85546875" customWidth="1"/>
    <col min="99" max="99" width="29.42578125" customWidth="1"/>
    <col min="100" max="100" width="21.85546875" customWidth="1"/>
    <col min="101" max="101" width="23.5703125" customWidth="1"/>
    <col min="102" max="102" width="24.5703125" customWidth="1"/>
    <col min="103" max="103" width="24.140625" customWidth="1"/>
    <col min="104" max="104" width="28" customWidth="1"/>
    <col min="105" max="105" width="29.85546875" customWidth="1"/>
    <col min="106" max="106" width="33" customWidth="1"/>
    <col min="107" max="107" width="24.7109375" customWidth="1"/>
    <col min="108" max="108" width="37.42578125" customWidth="1"/>
    <col min="109" max="109" width="37.5703125" customWidth="1"/>
    <col min="110" max="110" width="28.5703125" customWidth="1"/>
    <col min="111" max="111" width="25.85546875" customWidth="1"/>
    <col min="112" max="112" width="23.28515625" customWidth="1"/>
    <col min="113" max="113" width="32.7109375" customWidth="1"/>
    <col min="114" max="114" width="34.7109375" customWidth="1"/>
    <col min="115" max="115" width="22.28515625" customWidth="1"/>
    <col min="116" max="116" width="24.140625" customWidth="1"/>
    <col min="117" max="117" width="33.5703125" customWidth="1"/>
    <col min="118" max="118" width="25.7109375" customWidth="1"/>
    <col min="119" max="119" width="22.85546875" customWidth="1"/>
    <col min="120" max="120" width="30" customWidth="1"/>
    <col min="121" max="121" width="20" customWidth="1"/>
    <col min="122" max="122" width="32.28515625" customWidth="1"/>
    <col min="123" max="123" width="28.5703125" customWidth="1"/>
    <col min="124" max="124" width="22.7109375" customWidth="1"/>
    <col min="125" max="125" width="33.140625" customWidth="1"/>
    <col min="126" max="126" width="35.28515625" customWidth="1"/>
    <col min="127" max="127" width="18" customWidth="1"/>
    <col min="128" max="128" width="25.85546875" customWidth="1"/>
    <col min="129" max="129" width="30.42578125" customWidth="1"/>
    <col min="130" max="130" width="28.7109375" customWidth="1"/>
    <col min="131" max="131" width="24.42578125" customWidth="1"/>
    <col min="132" max="132" width="26.7109375" customWidth="1"/>
    <col min="133" max="133" width="23.5703125" customWidth="1"/>
    <col min="134" max="134" width="14" customWidth="1"/>
    <col min="135" max="135" width="20.140625" customWidth="1"/>
    <col min="136" max="136" width="23.5703125" customWidth="1"/>
    <col min="137" max="137" width="23.28515625" customWidth="1"/>
    <col min="138" max="138" width="24" customWidth="1"/>
    <col min="139" max="139" width="27.7109375" customWidth="1"/>
    <col min="140" max="140" width="29.140625" customWidth="1"/>
    <col min="141" max="141" width="27.140625" customWidth="1"/>
    <col min="142" max="142" width="29.28515625" customWidth="1"/>
    <col min="143" max="143" width="24" customWidth="1"/>
    <col min="144" max="144" width="25.85546875" customWidth="1"/>
    <col min="145" max="145" width="23.28515625" customWidth="1"/>
    <col min="146" max="146" width="32.7109375" customWidth="1"/>
    <col min="147" max="147" width="28.28515625" customWidth="1"/>
    <col min="148" max="148" width="27.7109375" customWidth="1"/>
    <col min="149" max="149" width="33.42578125" customWidth="1"/>
    <col min="150" max="150" width="25.140625" customWidth="1"/>
    <col min="151" max="151" width="26.7109375" customWidth="1"/>
    <col min="152" max="152" width="33.140625" customWidth="1"/>
    <col min="153" max="153" width="35.140625" customWidth="1"/>
    <col min="154" max="154" width="28.7109375" customWidth="1"/>
    <col min="155" max="155" width="23.42578125" customWidth="1"/>
    <col min="156" max="156" width="23.7109375" customWidth="1"/>
    <col min="157" max="157" width="24.42578125" customWidth="1"/>
    <col min="158" max="158" width="23.42578125" customWidth="1"/>
    <col min="159" max="159" width="29.7109375" customWidth="1"/>
    <col min="160" max="160" width="23" customWidth="1"/>
    <col min="161" max="161" width="23.85546875" customWidth="1"/>
    <col min="162" max="162" width="36.7109375" customWidth="1"/>
    <col min="163" max="164" width="24.42578125" customWidth="1"/>
    <col min="165" max="165" width="23.140625" customWidth="1"/>
    <col min="166" max="166" width="18" customWidth="1"/>
    <col min="167" max="167" width="11.85546875" customWidth="1"/>
    <col min="168" max="168" width="32.42578125" customWidth="1"/>
    <col min="169" max="169" width="28.85546875" customWidth="1"/>
    <col min="170" max="170" width="27.5703125" customWidth="1"/>
    <col min="171" max="171" width="22.85546875" customWidth="1"/>
    <col min="172" max="172" width="23.5703125" customWidth="1"/>
    <col min="173" max="173" width="25.5703125" customWidth="1"/>
    <col min="174" max="174" width="21.42578125" customWidth="1"/>
    <col min="175" max="175" width="28" customWidth="1"/>
    <col min="176" max="176" width="30.42578125" customWidth="1"/>
    <col min="177" max="177" width="39" customWidth="1"/>
    <col min="178" max="178" width="29.7109375" customWidth="1"/>
    <col min="179" max="179" width="28.28515625" customWidth="1"/>
    <col min="180" max="180" width="21.85546875" customWidth="1"/>
    <col min="181" max="181" width="26.7109375" customWidth="1"/>
    <col min="182" max="182" width="23" customWidth="1"/>
    <col min="183" max="183" width="26.7109375" customWidth="1"/>
    <col min="184" max="184" width="24" customWidth="1"/>
    <col min="185" max="185" width="23.5703125" customWidth="1"/>
    <col min="186" max="186" width="28" customWidth="1"/>
    <col min="187" max="187" width="29.85546875" customWidth="1"/>
    <col min="188" max="188" width="23.85546875" customWidth="1"/>
    <col min="189" max="189" width="17.28515625" customWidth="1"/>
    <col min="190" max="190" width="33.5703125" customWidth="1"/>
    <col min="191" max="191" width="25.85546875" customWidth="1"/>
    <col min="192" max="192" width="27.85546875" customWidth="1"/>
    <col min="193" max="193" width="30.5703125" customWidth="1"/>
    <col min="194" max="194" width="28.85546875" customWidth="1"/>
    <col min="195" max="195" width="28.42578125" customWidth="1"/>
    <col min="196" max="196" width="27.140625" customWidth="1"/>
    <col min="197" max="197" width="25.5703125" customWidth="1"/>
    <col min="198" max="198" width="29.7109375" customWidth="1"/>
    <col min="199" max="199" width="24.140625" customWidth="1"/>
    <col min="200" max="200" width="24.7109375" customWidth="1"/>
    <col min="201" max="202" width="24.140625" customWidth="1"/>
    <col min="203" max="203" width="23.5703125" customWidth="1"/>
    <col min="204" max="204" width="34.28515625" customWidth="1"/>
    <col min="205" max="205" width="27.140625" customWidth="1"/>
    <col min="206" max="206" width="22.85546875" customWidth="1"/>
    <col min="207" max="207" width="26.7109375" customWidth="1"/>
    <col min="208" max="208" width="23.7109375" customWidth="1"/>
    <col min="209" max="209" width="24.85546875" customWidth="1"/>
    <col min="210" max="210" width="31.140625" customWidth="1"/>
    <col min="211" max="211" width="32" customWidth="1"/>
    <col min="212" max="212" width="26.5703125" customWidth="1"/>
    <col min="213" max="213" width="25.85546875" customWidth="1"/>
    <col min="214" max="214" width="26" customWidth="1"/>
    <col min="215" max="215" width="23.42578125" customWidth="1"/>
    <col min="216" max="216" width="24.7109375" customWidth="1"/>
    <col min="217" max="217" width="34.85546875" customWidth="1"/>
    <col min="218" max="218" width="20.85546875" customWidth="1"/>
    <col min="219" max="219" width="12.5703125" customWidth="1"/>
    <col min="220" max="220" width="26" customWidth="1"/>
    <col min="221" max="221" width="27.7109375" customWidth="1"/>
    <col min="222" max="222" width="25.28515625" customWidth="1"/>
    <col min="223" max="223" width="26.42578125" customWidth="1"/>
    <col min="224" max="224" width="32.42578125" customWidth="1"/>
    <col min="225" max="225" width="23.42578125" customWidth="1"/>
    <col min="226" max="226" width="25.42578125" customWidth="1"/>
    <col min="227" max="227" width="27.28515625" customWidth="1"/>
    <col min="228" max="228" width="31.28515625" customWidth="1"/>
    <col min="229" max="229" width="21.5703125" customWidth="1"/>
    <col min="230" max="230" width="34" customWidth="1"/>
    <col min="231" max="231" width="22" customWidth="1"/>
    <col min="232" max="232" width="26.140625" customWidth="1"/>
    <col min="233" max="233" width="24.42578125" customWidth="1"/>
    <col min="234" max="234" width="29.42578125" customWidth="1"/>
    <col min="235" max="235" width="25.7109375" customWidth="1"/>
    <col min="236" max="236" width="27.28515625" customWidth="1"/>
    <col min="237" max="237" width="37.42578125" customWidth="1"/>
    <col min="238" max="238" width="17.42578125" customWidth="1"/>
    <col min="239" max="239" width="28.42578125" customWidth="1"/>
    <col min="240" max="240" width="20.85546875" customWidth="1"/>
    <col min="241" max="241" width="22.42578125" customWidth="1"/>
    <col min="242" max="242" width="36.140625" customWidth="1"/>
    <col min="243" max="243" width="27" customWidth="1"/>
    <col min="244" max="244" width="37.5703125" customWidth="1"/>
    <col min="245" max="245" width="24" customWidth="1"/>
    <col min="246" max="246" width="23.140625" customWidth="1"/>
    <col min="247" max="247" width="24.7109375" customWidth="1"/>
    <col min="248" max="248" width="32.28515625" customWidth="1"/>
    <col min="249" max="249" width="26.42578125" customWidth="1"/>
    <col min="250" max="250" width="29.140625" customWidth="1"/>
    <col min="251" max="251" width="27.140625" customWidth="1"/>
    <col min="252" max="252" width="31" customWidth="1"/>
    <col min="253" max="253" width="23.85546875" customWidth="1"/>
    <col min="254" max="254" width="27.140625" customWidth="1"/>
    <col min="255" max="255" width="25.28515625" customWidth="1"/>
  </cols>
  <sheetData>
    <row r="3" spans="1:22" x14ac:dyDescent="0.2">
      <c r="A3" s="177" t="s">
        <v>129</v>
      </c>
      <c r="B3" s="177" t="s">
        <v>115</v>
      </c>
    </row>
    <row r="4" spans="1:22" x14ac:dyDescent="0.2">
      <c r="A4" s="177" t="s">
        <v>116</v>
      </c>
      <c r="B4" t="s">
        <v>117</v>
      </c>
      <c r="C4" t="s">
        <v>118</v>
      </c>
    </row>
    <row r="5" spans="1:22" x14ac:dyDescent="0.2">
      <c r="A5" s="176" t="s">
        <v>154</v>
      </c>
      <c r="B5">
        <v>11000</v>
      </c>
      <c r="C5">
        <v>11000</v>
      </c>
      <c r="R5" s="217">
        <v>45540</v>
      </c>
    </row>
    <row r="6" spans="1:22" x14ac:dyDescent="0.2">
      <c r="A6" s="176" t="s">
        <v>155</v>
      </c>
      <c r="B6">
        <v>15000</v>
      </c>
      <c r="C6">
        <v>15000</v>
      </c>
    </row>
    <row r="7" spans="1:22" x14ac:dyDescent="0.2">
      <c r="A7" s="176" t="s">
        <v>156</v>
      </c>
      <c r="B7">
        <v>10000</v>
      </c>
      <c r="C7">
        <v>10000</v>
      </c>
    </row>
    <row r="8" spans="1:22" x14ac:dyDescent="0.2">
      <c r="A8" s="176" t="s">
        <v>158</v>
      </c>
      <c r="B8">
        <v>20000</v>
      </c>
      <c r="C8">
        <v>20000</v>
      </c>
    </row>
    <row r="9" spans="1:22" x14ac:dyDescent="0.2">
      <c r="A9" s="176" t="s">
        <v>159</v>
      </c>
      <c r="B9">
        <v>4000</v>
      </c>
      <c r="C9">
        <v>4000</v>
      </c>
      <c r="M9">
        <v>30000</v>
      </c>
      <c r="Q9" s="217">
        <v>45547</v>
      </c>
      <c r="V9" t="s">
        <v>330</v>
      </c>
    </row>
    <row r="10" spans="1:22" x14ac:dyDescent="0.2">
      <c r="A10" s="176" t="s">
        <v>161</v>
      </c>
      <c r="B10">
        <v>9000</v>
      </c>
      <c r="C10">
        <v>9000</v>
      </c>
      <c r="R10" s="217">
        <v>45551</v>
      </c>
    </row>
    <row r="11" spans="1:22" x14ac:dyDescent="0.2">
      <c r="A11" s="176" t="s">
        <v>162</v>
      </c>
      <c r="B11">
        <v>12000</v>
      </c>
      <c r="C11">
        <v>12000</v>
      </c>
    </row>
    <row r="12" spans="1:22" x14ac:dyDescent="0.2">
      <c r="A12" s="176" t="s">
        <v>163</v>
      </c>
      <c r="B12">
        <v>7000</v>
      </c>
      <c r="C12">
        <v>7000</v>
      </c>
    </row>
    <row r="13" spans="1:22" x14ac:dyDescent="0.2">
      <c r="A13" s="176" t="s">
        <v>164</v>
      </c>
      <c r="B13">
        <v>10000</v>
      </c>
      <c r="C13">
        <v>10000</v>
      </c>
    </row>
    <row r="14" spans="1:22" x14ac:dyDescent="0.2">
      <c r="A14" s="176" t="s">
        <v>165</v>
      </c>
      <c r="B14">
        <v>6000</v>
      </c>
      <c r="C14">
        <v>6000</v>
      </c>
      <c r="R14" s="217">
        <v>45625</v>
      </c>
    </row>
    <row r="15" spans="1:22" x14ac:dyDescent="0.2">
      <c r="A15" s="176" t="s">
        <v>166</v>
      </c>
      <c r="B15">
        <v>7000</v>
      </c>
      <c r="C15">
        <v>7000</v>
      </c>
      <c r="R15" s="217">
        <v>45618</v>
      </c>
    </row>
    <row r="16" spans="1:22" x14ac:dyDescent="0.2">
      <c r="A16" s="176" t="s">
        <v>167</v>
      </c>
      <c r="B16">
        <v>10000</v>
      </c>
      <c r="C16">
        <v>10000</v>
      </c>
      <c r="V16" t="s">
        <v>455</v>
      </c>
    </row>
    <row r="17" spans="1:22" x14ac:dyDescent="0.2">
      <c r="A17" s="176" t="s">
        <v>168</v>
      </c>
      <c r="B17">
        <v>6000</v>
      </c>
      <c r="C17">
        <v>6000</v>
      </c>
      <c r="I17">
        <v>30000</v>
      </c>
      <c r="Q17" s="217">
        <v>45542</v>
      </c>
    </row>
    <row r="18" spans="1:22" x14ac:dyDescent="0.2">
      <c r="A18" s="176" t="s">
        <v>169</v>
      </c>
      <c r="B18">
        <v>5000</v>
      </c>
      <c r="C18">
        <v>5000</v>
      </c>
    </row>
    <row r="19" spans="1:22" x14ac:dyDescent="0.2">
      <c r="A19" s="176" t="s">
        <v>170</v>
      </c>
      <c r="B19">
        <v>10000</v>
      </c>
      <c r="C19">
        <v>10000</v>
      </c>
    </row>
    <row r="20" spans="1:22" x14ac:dyDescent="0.2">
      <c r="A20" s="176" t="s">
        <v>171</v>
      </c>
      <c r="B20">
        <v>5000</v>
      </c>
      <c r="C20">
        <v>5000</v>
      </c>
      <c r="I20">
        <v>30000</v>
      </c>
      <c r="Q20" s="217">
        <v>45545</v>
      </c>
    </row>
    <row r="21" spans="1:22" x14ac:dyDescent="0.2">
      <c r="A21" s="176" t="s">
        <v>172</v>
      </c>
      <c r="B21">
        <v>6800</v>
      </c>
      <c r="C21">
        <v>6800</v>
      </c>
      <c r="I21">
        <v>30000</v>
      </c>
      <c r="Q21" s="217">
        <v>45547</v>
      </c>
      <c r="V21" t="s">
        <v>329</v>
      </c>
    </row>
    <row r="22" spans="1:22" x14ac:dyDescent="0.2">
      <c r="A22" s="176" t="s">
        <v>174</v>
      </c>
      <c r="B22">
        <v>10000</v>
      </c>
      <c r="C22">
        <v>10000</v>
      </c>
      <c r="M22">
        <v>30000</v>
      </c>
      <c r="Q22" s="217">
        <v>45547</v>
      </c>
      <c r="R22" s="217">
        <v>45547</v>
      </c>
    </row>
    <row r="23" spans="1:22" x14ac:dyDescent="0.2">
      <c r="A23" s="176" t="s">
        <v>175</v>
      </c>
      <c r="B23">
        <v>8000</v>
      </c>
      <c r="C23">
        <v>8000</v>
      </c>
    </row>
    <row r="24" spans="1:22" x14ac:dyDescent="0.2">
      <c r="A24" s="176" t="s">
        <v>176</v>
      </c>
      <c r="B24">
        <v>4500</v>
      </c>
      <c r="C24">
        <v>4500</v>
      </c>
    </row>
    <row r="25" spans="1:22" x14ac:dyDescent="0.2">
      <c r="A25" s="176" t="s">
        <v>183</v>
      </c>
      <c r="B25">
        <v>9000</v>
      </c>
      <c r="C25">
        <v>9000</v>
      </c>
    </row>
    <row r="26" spans="1:22" x14ac:dyDescent="0.2">
      <c r="A26" s="176" t="s">
        <v>177</v>
      </c>
      <c r="B26">
        <v>3000</v>
      </c>
      <c r="C26">
        <v>3000</v>
      </c>
    </row>
    <row r="27" spans="1:22" x14ac:dyDescent="0.2">
      <c r="A27" s="176" t="s">
        <v>178</v>
      </c>
      <c r="B27">
        <v>10000</v>
      </c>
      <c r="C27">
        <v>10000</v>
      </c>
    </row>
    <row r="28" spans="1:22" x14ac:dyDescent="0.2">
      <c r="A28" s="176" t="s">
        <v>179</v>
      </c>
      <c r="B28">
        <v>8000</v>
      </c>
      <c r="C28">
        <v>8000</v>
      </c>
      <c r="R28" s="217">
        <v>45551</v>
      </c>
      <c r="V28" t="s">
        <v>451</v>
      </c>
    </row>
    <row r="29" spans="1:22" x14ac:dyDescent="0.2">
      <c r="A29" s="176" t="s">
        <v>180</v>
      </c>
      <c r="B29">
        <v>7000</v>
      </c>
      <c r="C29">
        <v>7000</v>
      </c>
    </row>
    <row r="30" spans="1:22" x14ac:dyDescent="0.2">
      <c r="A30" s="176" t="s">
        <v>181</v>
      </c>
      <c r="B30">
        <v>7000</v>
      </c>
      <c r="C30">
        <v>7000</v>
      </c>
    </row>
    <row r="31" spans="1:22" x14ac:dyDescent="0.2">
      <c r="A31" s="176" t="s">
        <v>182</v>
      </c>
      <c r="B31">
        <v>10000</v>
      </c>
      <c r="C31">
        <v>10000</v>
      </c>
    </row>
    <row r="32" spans="1:22" x14ac:dyDescent="0.2">
      <c r="A32" s="176" t="s">
        <v>184</v>
      </c>
      <c r="B32">
        <v>6000</v>
      </c>
      <c r="C32">
        <v>6000</v>
      </c>
      <c r="I32">
        <v>30000</v>
      </c>
      <c r="Q32" s="217">
        <v>45615</v>
      </c>
      <c r="R32" s="217">
        <v>45615</v>
      </c>
      <c r="V32" t="s">
        <v>451</v>
      </c>
    </row>
    <row r="33" spans="1:22" x14ac:dyDescent="0.2">
      <c r="A33" s="176" t="s">
        <v>185</v>
      </c>
      <c r="B33">
        <v>4000</v>
      </c>
      <c r="C33">
        <v>4000</v>
      </c>
    </row>
    <row r="34" spans="1:22" x14ac:dyDescent="0.2">
      <c r="A34" s="176" t="s">
        <v>186</v>
      </c>
      <c r="B34">
        <v>8500</v>
      </c>
      <c r="C34">
        <v>8500</v>
      </c>
    </row>
    <row r="35" spans="1:22" x14ac:dyDescent="0.2">
      <c r="A35" s="176" t="s">
        <v>187</v>
      </c>
      <c r="B35">
        <v>8000</v>
      </c>
      <c r="C35">
        <v>8000</v>
      </c>
    </row>
    <row r="36" spans="1:22" x14ac:dyDescent="0.2">
      <c r="A36" s="176" t="s">
        <v>188</v>
      </c>
      <c r="B36">
        <v>10000</v>
      </c>
      <c r="C36">
        <v>10000</v>
      </c>
      <c r="R36" s="217">
        <v>45551</v>
      </c>
    </row>
    <row r="37" spans="1:22" x14ac:dyDescent="0.2">
      <c r="A37" s="176" t="s">
        <v>191</v>
      </c>
      <c r="B37">
        <v>12000</v>
      </c>
      <c r="C37">
        <v>12000</v>
      </c>
      <c r="I37">
        <v>35000</v>
      </c>
      <c r="Q37" s="217">
        <v>45615</v>
      </c>
      <c r="R37" s="217">
        <v>45615</v>
      </c>
      <c r="V37" t="s">
        <v>328</v>
      </c>
    </row>
    <row r="38" spans="1:22" x14ac:dyDescent="0.2">
      <c r="A38" s="176" t="s">
        <v>192</v>
      </c>
      <c r="B38">
        <v>5000</v>
      </c>
      <c r="C38">
        <v>5000</v>
      </c>
    </row>
    <row r="39" spans="1:22" x14ac:dyDescent="0.2">
      <c r="A39" s="176" t="s">
        <v>193</v>
      </c>
      <c r="B39">
        <v>15000</v>
      </c>
      <c r="C39">
        <v>15000</v>
      </c>
      <c r="V39" t="s">
        <v>451</v>
      </c>
    </row>
    <row r="40" spans="1:22" x14ac:dyDescent="0.2">
      <c r="A40" s="176" t="s">
        <v>194</v>
      </c>
      <c r="B40">
        <v>10000</v>
      </c>
      <c r="C40">
        <v>10000</v>
      </c>
      <c r="R40" s="217">
        <v>45623</v>
      </c>
    </row>
    <row r="41" spans="1:22" x14ac:dyDescent="0.2">
      <c r="A41" s="176" t="s">
        <v>195</v>
      </c>
      <c r="B41">
        <v>9700</v>
      </c>
      <c r="C41">
        <v>9700</v>
      </c>
      <c r="R41" s="217">
        <v>45617</v>
      </c>
    </row>
    <row r="42" spans="1:22" x14ac:dyDescent="0.2">
      <c r="A42" s="176" t="s">
        <v>196</v>
      </c>
      <c r="B42">
        <v>5000</v>
      </c>
      <c r="C42">
        <v>5000</v>
      </c>
    </row>
    <row r="43" spans="1:22" x14ac:dyDescent="0.2">
      <c r="A43" s="176" t="s">
        <v>197</v>
      </c>
      <c r="B43">
        <v>10000</v>
      </c>
      <c r="C43">
        <v>10000</v>
      </c>
      <c r="V43" t="s">
        <v>451</v>
      </c>
    </row>
    <row r="44" spans="1:22" x14ac:dyDescent="0.2">
      <c r="A44" s="176" t="s">
        <v>198</v>
      </c>
      <c r="B44">
        <v>7000</v>
      </c>
      <c r="C44">
        <v>7000</v>
      </c>
      <c r="M44">
        <v>30000</v>
      </c>
      <c r="Q44" s="217">
        <v>45615</v>
      </c>
      <c r="V44" t="s">
        <v>451</v>
      </c>
    </row>
    <row r="45" spans="1:22" x14ac:dyDescent="0.2">
      <c r="A45" s="176" t="s">
        <v>199</v>
      </c>
      <c r="B45">
        <v>8000</v>
      </c>
      <c r="C45">
        <v>8000</v>
      </c>
      <c r="R45" s="217">
        <v>45551</v>
      </c>
      <c r="V45" t="s">
        <v>453</v>
      </c>
    </row>
    <row r="46" spans="1:22" x14ac:dyDescent="0.2">
      <c r="A46" s="176" t="s">
        <v>200</v>
      </c>
      <c r="B46">
        <v>12000</v>
      </c>
      <c r="C46">
        <v>12000</v>
      </c>
    </row>
    <row r="47" spans="1:22" x14ac:dyDescent="0.2">
      <c r="A47" s="176" t="s">
        <v>201</v>
      </c>
      <c r="B47">
        <v>5000</v>
      </c>
      <c r="C47">
        <v>5000</v>
      </c>
      <c r="I47">
        <v>30000</v>
      </c>
      <c r="Q47" s="217">
        <v>45614</v>
      </c>
      <c r="R47" s="217">
        <v>45614</v>
      </c>
      <c r="V47" t="s">
        <v>451</v>
      </c>
    </row>
    <row r="48" spans="1:22" x14ac:dyDescent="0.2">
      <c r="A48" s="176" t="s">
        <v>202</v>
      </c>
      <c r="B48">
        <v>5000</v>
      </c>
      <c r="C48">
        <v>5000</v>
      </c>
      <c r="I48">
        <v>30000</v>
      </c>
      <c r="Q48" s="217">
        <v>45548</v>
      </c>
      <c r="R48" s="217">
        <v>45548</v>
      </c>
      <c r="V48" t="s">
        <v>456</v>
      </c>
    </row>
    <row r="49" spans="1:22" x14ac:dyDescent="0.2">
      <c r="A49" s="176" t="s">
        <v>203</v>
      </c>
      <c r="B49">
        <v>10000</v>
      </c>
      <c r="C49">
        <v>10000</v>
      </c>
      <c r="R49" s="217">
        <v>45616</v>
      </c>
    </row>
    <row r="50" spans="1:22" x14ac:dyDescent="0.2">
      <c r="A50" s="176" t="s">
        <v>204</v>
      </c>
      <c r="B50">
        <v>12000</v>
      </c>
      <c r="C50">
        <v>12000</v>
      </c>
      <c r="V50" t="s">
        <v>451</v>
      </c>
    </row>
    <row r="51" spans="1:22" x14ac:dyDescent="0.2">
      <c r="A51" s="176" t="s">
        <v>205</v>
      </c>
      <c r="B51">
        <v>6000</v>
      </c>
      <c r="C51">
        <v>6000</v>
      </c>
      <c r="V51" t="s">
        <v>451</v>
      </c>
    </row>
    <row r="52" spans="1:22" x14ac:dyDescent="0.2">
      <c r="A52" s="176" t="s">
        <v>206</v>
      </c>
      <c r="B52">
        <v>15000</v>
      </c>
      <c r="C52">
        <v>15000</v>
      </c>
    </row>
    <row r="53" spans="1:22" x14ac:dyDescent="0.2">
      <c r="A53" s="176" t="s">
        <v>207</v>
      </c>
      <c r="B53">
        <v>8500</v>
      </c>
      <c r="C53">
        <v>8500</v>
      </c>
      <c r="R53" s="217">
        <v>45617</v>
      </c>
      <c r="V53" t="s">
        <v>471</v>
      </c>
    </row>
    <row r="54" spans="1:22" x14ac:dyDescent="0.2">
      <c r="A54" s="176" t="s">
        <v>208</v>
      </c>
      <c r="B54">
        <v>10000</v>
      </c>
      <c r="C54">
        <v>10000</v>
      </c>
      <c r="V54" t="s">
        <v>451</v>
      </c>
    </row>
    <row r="55" spans="1:22" x14ac:dyDescent="0.2">
      <c r="A55" s="176" t="s">
        <v>209</v>
      </c>
      <c r="B55">
        <v>12000</v>
      </c>
      <c r="C55">
        <v>12000</v>
      </c>
      <c r="R55" s="217">
        <v>45617</v>
      </c>
    </row>
    <row r="56" spans="1:22" x14ac:dyDescent="0.2">
      <c r="A56" s="176" t="s">
        <v>210</v>
      </c>
      <c r="B56">
        <v>5000</v>
      </c>
      <c r="C56">
        <v>5000</v>
      </c>
    </row>
    <row r="57" spans="1:22" x14ac:dyDescent="0.2">
      <c r="A57" s="176" t="s">
        <v>211</v>
      </c>
      <c r="B57">
        <v>7000</v>
      </c>
      <c r="C57">
        <v>7000</v>
      </c>
      <c r="R57" s="217">
        <v>45618</v>
      </c>
    </row>
    <row r="58" spans="1:22" x14ac:dyDescent="0.2">
      <c r="A58" s="176" t="s">
        <v>212</v>
      </c>
      <c r="B58">
        <v>10000</v>
      </c>
      <c r="C58">
        <v>10000</v>
      </c>
      <c r="I58">
        <v>30000</v>
      </c>
      <c r="Q58" s="217">
        <v>45548</v>
      </c>
      <c r="R58" s="217">
        <v>45548</v>
      </c>
    </row>
    <row r="59" spans="1:22" x14ac:dyDescent="0.2">
      <c r="A59" s="176" t="s">
        <v>213</v>
      </c>
      <c r="B59">
        <v>10000</v>
      </c>
      <c r="C59">
        <v>10000</v>
      </c>
      <c r="R59" s="217">
        <v>45624</v>
      </c>
    </row>
    <row r="60" spans="1:22" x14ac:dyDescent="0.2">
      <c r="A60" s="176" t="s">
        <v>118</v>
      </c>
      <c r="B60">
        <v>476000</v>
      </c>
      <c r="C60">
        <v>476000</v>
      </c>
      <c r="V60" t="s">
        <v>451</v>
      </c>
    </row>
    <row r="61" spans="1:22" x14ac:dyDescent="0.2">
      <c r="I61">
        <v>25000</v>
      </c>
      <c r="Q61" s="217">
        <v>45615</v>
      </c>
      <c r="R61" s="217">
        <v>45551</v>
      </c>
      <c r="V61" t="s">
        <v>451</v>
      </c>
    </row>
    <row r="62" spans="1:22" x14ac:dyDescent="0.2">
      <c r="R62" s="217">
        <v>45551</v>
      </c>
    </row>
    <row r="63" spans="1:22" x14ac:dyDescent="0.2">
      <c r="M63">
        <v>55000</v>
      </c>
      <c r="Q63" s="217">
        <v>45548</v>
      </c>
      <c r="R63" s="217">
        <v>45548</v>
      </c>
      <c r="V63" t="s">
        <v>326</v>
      </c>
    </row>
    <row r="66" spans="9:22" x14ac:dyDescent="0.2">
      <c r="R66" s="217">
        <v>45551</v>
      </c>
      <c r="V66" t="s">
        <v>457</v>
      </c>
    </row>
    <row r="68" spans="9:22" x14ac:dyDescent="0.2">
      <c r="R68" s="217">
        <v>45624</v>
      </c>
    </row>
    <row r="70" spans="9:22" x14ac:dyDescent="0.2">
      <c r="V70" t="s">
        <v>458</v>
      </c>
    </row>
    <row r="72" spans="9:22" x14ac:dyDescent="0.2">
      <c r="V72" t="s">
        <v>459</v>
      </c>
    </row>
    <row r="73" spans="9:22" x14ac:dyDescent="0.2">
      <c r="I73">
        <v>30000</v>
      </c>
      <c r="Q73" s="217">
        <v>45545</v>
      </c>
      <c r="V73" t="s">
        <v>328</v>
      </c>
    </row>
    <row r="74" spans="9:22" x14ac:dyDescent="0.2">
      <c r="V74" t="s">
        <v>451</v>
      </c>
    </row>
    <row r="75" spans="9:22" x14ac:dyDescent="0.2">
      <c r="M75">
        <v>30000</v>
      </c>
      <c r="Q75" s="217">
        <v>45547</v>
      </c>
      <c r="R75" s="217">
        <v>45547</v>
      </c>
      <c r="V75" t="s">
        <v>329</v>
      </c>
    </row>
    <row r="78" spans="9:22" x14ac:dyDescent="0.2">
      <c r="V78" t="s">
        <v>460</v>
      </c>
    </row>
    <row r="80" spans="9:22" x14ac:dyDescent="0.2">
      <c r="R80" s="217">
        <v>45551</v>
      </c>
    </row>
    <row r="85" spans="9:22" x14ac:dyDescent="0.2">
      <c r="M85">
        <v>30000</v>
      </c>
      <c r="Q85" s="217">
        <v>45548</v>
      </c>
      <c r="R85" s="217">
        <v>45548</v>
      </c>
      <c r="V85" t="s">
        <v>326</v>
      </c>
    </row>
    <row r="86" spans="9:22" x14ac:dyDescent="0.2">
      <c r="V86" t="s">
        <v>451</v>
      </c>
    </row>
    <row r="88" spans="9:22" x14ac:dyDescent="0.2">
      <c r="I88">
        <v>30000</v>
      </c>
      <c r="Q88" s="217">
        <v>45544</v>
      </c>
    </row>
    <row r="89" spans="9:22" x14ac:dyDescent="0.2">
      <c r="R89" s="217">
        <v>45551</v>
      </c>
    </row>
    <row r="90" spans="9:22" x14ac:dyDescent="0.2">
      <c r="M90">
        <v>30000</v>
      </c>
      <c r="Q90" s="217">
        <v>45615</v>
      </c>
      <c r="V90" t="s">
        <v>451</v>
      </c>
    </row>
    <row r="91" spans="9:22" x14ac:dyDescent="0.2">
      <c r="R91" s="217">
        <v>45551</v>
      </c>
      <c r="V91" t="s">
        <v>461</v>
      </c>
    </row>
    <row r="92" spans="9:22" x14ac:dyDescent="0.2">
      <c r="R92" s="217">
        <v>45551</v>
      </c>
    </row>
    <row r="93" spans="9:22" x14ac:dyDescent="0.2">
      <c r="V93" t="s">
        <v>462</v>
      </c>
    </row>
    <row r="94" spans="9:22" x14ac:dyDescent="0.2">
      <c r="V94" t="s">
        <v>463</v>
      </c>
    </row>
    <row r="95" spans="9:22" x14ac:dyDescent="0.2">
      <c r="I95">
        <v>30000</v>
      </c>
      <c r="Q95" s="217">
        <v>45615</v>
      </c>
      <c r="V95" t="s">
        <v>452</v>
      </c>
    </row>
    <row r="96" spans="9:22" x14ac:dyDescent="0.2">
      <c r="R96" s="217">
        <v>45624</v>
      </c>
    </row>
    <row r="97" spans="9:22" x14ac:dyDescent="0.2">
      <c r="I97">
        <v>40000</v>
      </c>
      <c r="Q97" s="217">
        <v>45545</v>
      </c>
      <c r="V97" t="s">
        <v>328</v>
      </c>
    </row>
    <row r="99" spans="9:22" x14ac:dyDescent="0.2">
      <c r="V99" t="s">
        <v>451</v>
      </c>
    </row>
    <row r="100" spans="9:22" x14ac:dyDescent="0.2">
      <c r="I100">
        <v>40000</v>
      </c>
      <c r="Q100" s="217">
        <v>45548</v>
      </c>
      <c r="R100" s="217">
        <v>45548</v>
      </c>
      <c r="V100" t="s">
        <v>464</v>
      </c>
    </row>
    <row r="101" spans="9:22" x14ac:dyDescent="0.2">
      <c r="R101" s="217">
        <v>45618</v>
      </c>
    </row>
    <row r="102" spans="9:22" x14ac:dyDescent="0.2">
      <c r="I102">
        <v>30000</v>
      </c>
      <c r="Q102" s="217">
        <v>45548</v>
      </c>
      <c r="R102" s="217">
        <v>45621</v>
      </c>
    </row>
    <row r="103" spans="9:22" x14ac:dyDescent="0.2">
      <c r="R103" s="217">
        <v>45551</v>
      </c>
      <c r="V103" t="s">
        <v>329</v>
      </c>
    </row>
    <row r="105" spans="9:22" x14ac:dyDescent="0.2">
      <c r="V105" t="s">
        <v>329</v>
      </c>
    </row>
    <row r="106" spans="9:22" x14ac:dyDescent="0.2">
      <c r="I106">
        <v>30000</v>
      </c>
      <c r="Q106" s="217">
        <v>45615</v>
      </c>
      <c r="T106">
        <v>1</v>
      </c>
      <c r="U106">
        <v>1</v>
      </c>
      <c r="V106" t="s">
        <v>454</v>
      </c>
    </row>
    <row r="107" spans="9:22" x14ac:dyDescent="0.2">
      <c r="I107">
        <v>30000</v>
      </c>
      <c r="Q107" s="217">
        <v>45548</v>
      </c>
      <c r="R107" s="217">
        <v>45548</v>
      </c>
      <c r="V107" t="s">
        <v>328</v>
      </c>
    </row>
    <row r="108" spans="9:22" x14ac:dyDescent="0.2">
      <c r="R108" s="217">
        <v>45618</v>
      </c>
    </row>
    <row r="109" spans="9:22" x14ac:dyDescent="0.2">
      <c r="R109" s="217">
        <v>45617</v>
      </c>
    </row>
    <row r="110" spans="9:22" x14ac:dyDescent="0.2">
      <c r="R110" s="217">
        <v>45551</v>
      </c>
      <c r="V110" t="s">
        <v>465</v>
      </c>
    </row>
    <row r="112" spans="9:22" x14ac:dyDescent="0.2">
      <c r="R112" s="217">
        <v>45551</v>
      </c>
      <c r="V112" t="s">
        <v>451</v>
      </c>
    </row>
    <row r="113" spans="9:22" x14ac:dyDescent="0.2">
      <c r="M113">
        <v>10000</v>
      </c>
      <c r="Q113" s="217">
        <v>45615</v>
      </c>
      <c r="R113" s="217">
        <v>45551</v>
      </c>
      <c r="V113" t="s">
        <v>451</v>
      </c>
    </row>
    <row r="115" spans="9:22" x14ac:dyDescent="0.2">
      <c r="I115">
        <v>30000</v>
      </c>
      <c r="Q115" s="217">
        <v>45547</v>
      </c>
    </row>
    <row r="116" spans="9:22" x14ac:dyDescent="0.2">
      <c r="R116" s="217">
        <v>45619</v>
      </c>
    </row>
    <row r="117" spans="9:22" x14ac:dyDescent="0.2">
      <c r="V117" t="s">
        <v>466</v>
      </c>
    </row>
    <row r="118" spans="9:22" x14ac:dyDescent="0.2">
      <c r="V118" t="s">
        <v>461</v>
      </c>
    </row>
    <row r="124" spans="9:22" x14ac:dyDescent="0.2">
      <c r="R124" s="217">
        <v>45551</v>
      </c>
      <c r="V124" t="s">
        <v>467</v>
      </c>
    </row>
    <row r="125" spans="9:22" x14ac:dyDescent="0.2">
      <c r="M125">
        <v>30000</v>
      </c>
      <c r="Q125" s="217">
        <v>45546</v>
      </c>
      <c r="V125" t="s">
        <v>468</v>
      </c>
    </row>
    <row r="127" spans="9:22" x14ac:dyDescent="0.2">
      <c r="R127" s="217">
        <v>45619</v>
      </c>
    </row>
    <row r="130" spans="9:22" x14ac:dyDescent="0.2">
      <c r="I130">
        <v>12000</v>
      </c>
      <c r="Q130" s="217">
        <v>45547</v>
      </c>
    </row>
    <row r="131" spans="9:22" x14ac:dyDescent="0.2">
      <c r="I131">
        <v>40000</v>
      </c>
      <c r="Q131" s="217">
        <v>45615</v>
      </c>
      <c r="R131" s="217">
        <v>45615</v>
      </c>
      <c r="V131" t="s">
        <v>451</v>
      </c>
    </row>
    <row r="134" spans="9:22" x14ac:dyDescent="0.2">
      <c r="V134" t="s">
        <v>469</v>
      </c>
    </row>
    <row r="135" spans="9:22" x14ac:dyDescent="0.2">
      <c r="I135">
        <v>40000</v>
      </c>
      <c r="Q135" s="217">
        <v>45615</v>
      </c>
      <c r="V135" t="s">
        <v>450</v>
      </c>
    </row>
    <row r="139" spans="9:22" x14ac:dyDescent="0.2">
      <c r="I139">
        <v>35000</v>
      </c>
      <c r="Q139" s="217">
        <v>45545</v>
      </c>
      <c r="V139" t="s">
        <v>328</v>
      </c>
    </row>
    <row r="140" spans="9:22" x14ac:dyDescent="0.2">
      <c r="V140" t="s">
        <v>470</v>
      </c>
    </row>
    <row r="141" spans="9:22" x14ac:dyDescent="0.2">
      <c r="R141" s="217">
        <v>45551</v>
      </c>
    </row>
    <row r="143" spans="9:22" x14ac:dyDescent="0.2">
      <c r="I143">
        <v>30000</v>
      </c>
      <c r="Q143" s="217">
        <v>45547</v>
      </c>
      <c r="V143" t="s">
        <v>328</v>
      </c>
    </row>
    <row r="145" spans="9:22" x14ac:dyDescent="0.2">
      <c r="R145" s="217">
        <v>45551</v>
      </c>
    </row>
    <row r="148" spans="9:22" x14ac:dyDescent="0.2">
      <c r="R148" s="217">
        <v>45551</v>
      </c>
    </row>
    <row r="150" spans="9:22" x14ac:dyDescent="0.2">
      <c r="I150">
        <v>30000</v>
      </c>
      <c r="Q150" s="217">
        <v>45544</v>
      </c>
    </row>
    <row r="156" spans="9:22" x14ac:dyDescent="0.2">
      <c r="R156" s="217">
        <v>45551</v>
      </c>
    </row>
    <row r="158" spans="9:22" x14ac:dyDescent="0.2">
      <c r="R158" s="217">
        <v>45551</v>
      </c>
    </row>
    <row r="159" spans="9:22" x14ac:dyDescent="0.2">
      <c r="L159">
        <v>30000</v>
      </c>
      <c r="Q159" s="217">
        <v>45547</v>
      </c>
      <c r="V159" t="s">
        <v>327</v>
      </c>
    </row>
    <row r="162" spans="9:22" x14ac:dyDescent="0.2">
      <c r="R162" s="217">
        <v>45551</v>
      </c>
    </row>
    <row r="165" spans="9:22" x14ac:dyDescent="0.2">
      <c r="L165">
        <v>30000</v>
      </c>
      <c r="Q165" s="217">
        <v>45547</v>
      </c>
      <c r="V165" t="s">
        <v>331</v>
      </c>
    </row>
    <row r="166" spans="9:22" x14ac:dyDescent="0.2">
      <c r="R166" s="217">
        <v>45551</v>
      </c>
    </row>
    <row r="169" spans="9:22" x14ac:dyDescent="0.2">
      <c r="I169">
        <v>50000</v>
      </c>
      <c r="Q169" s="217">
        <v>45544</v>
      </c>
      <c r="V169" t="s">
        <v>332</v>
      </c>
    </row>
  </sheetData>
  <phoneticPr fontId="25" type="noConversion"/>
  <pageMargins left="0.7" right="0.7" top="0.75" bottom="0.75" header="0.3" footer="0.3"/>
  <pageSetup paperSize="9" orientation="portrait" horizontalDpi="300" verticalDpi="0" copies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/>
  <dimension ref="A1:C19"/>
  <sheetViews>
    <sheetView workbookViewId="0">
      <selection activeCell="C14" sqref="C14"/>
    </sheetView>
  </sheetViews>
  <sheetFormatPr baseColWidth="10" defaultRowHeight="12.75" x14ac:dyDescent="0.2"/>
  <cols>
    <col min="2" max="2" width="28.7109375" customWidth="1"/>
    <col min="3" max="3" width="22" bestFit="1" customWidth="1"/>
  </cols>
  <sheetData>
    <row r="1" spans="1:3" x14ac:dyDescent="0.2">
      <c r="A1" s="124">
        <v>1</v>
      </c>
      <c r="B1" s="211" t="s">
        <v>90</v>
      </c>
      <c r="C1" s="211">
        <v>1</v>
      </c>
    </row>
    <row r="2" spans="1:3" x14ac:dyDescent="0.2">
      <c r="A2" s="124">
        <v>2</v>
      </c>
      <c r="B2" s="147" t="s">
        <v>89</v>
      </c>
      <c r="C2" s="147">
        <v>3</v>
      </c>
    </row>
    <row r="3" spans="1:3" x14ac:dyDescent="0.2">
      <c r="A3" s="124">
        <v>3</v>
      </c>
      <c r="B3" s="211" t="s">
        <v>232</v>
      </c>
      <c r="C3" s="211">
        <v>1</v>
      </c>
    </row>
    <row r="4" spans="1:3" x14ac:dyDescent="0.2">
      <c r="A4" s="124">
        <v>4</v>
      </c>
      <c r="B4" s="146" t="s">
        <v>219</v>
      </c>
      <c r="C4" s="146">
        <v>2</v>
      </c>
    </row>
    <row r="5" spans="1:3" x14ac:dyDescent="0.2">
      <c r="A5" s="124">
        <v>5</v>
      </c>
      <c r="B5" s="211" t="s">
        <v>109</v>
      </c>
      <c r="C5" s="211">
        <v>1</v>
      </c>
    </row>
    <row r="6" spans="1:3" x14ac:dyDescent="0.2">
      <c r="A6" s="124">
        <v>6</v>
      </c>
      <c r="B6" s="211" t="s">
        <v>136</v>
      </c>
      <c r="C6" s="211">
        <v>1</v>
      </c>
    </row>
    <row r="7" spans="1:3" x14ac:dyDescent="0.2">
      <c r="A7" s="124">
        <v>7</v>
      </c>
      <c r="B7" s="211" t="s">
        <v>333</v>
      </c>
      <c r="C7" s="211">
        <v>1</v>
      </c>
    </row>
    <row r="8" spans="1:3" x14ac:dyDescent="0.2">
      <c r="A8" s="124">
        <v>8</v>
      </c>
      <c r="B8" s="146" t="s">
        <v>228</v>
      </c>
      <c r="C8" s="146">
        <v>2</v>
      </c>
    </row>
    <row r="9" spans="1:3" x14ac:dyDescent="0.2">
      <c r="A9" s="124">
        <v>9</v>
      </c>
      <c r="B9" s="146" t="s">
        <v>137</v>
      </c>
      <c r="C9" s="146">
        <v>2</v>
      </c>
    </row>
    <row r="14" spans="1:3" x14ac:dyDescent="0.2">
      <c r="B14" s="191" t="s">
        <v>153</v>
      </c>
      <c r="C14" s="8">
        <f>COUNTIF(C1:C9,1)</f>
        <v>5</v>
      </c>
    </row>
    <row r="15" spans="1:3" x14ac:dyDescent="0.2">
      <c r="B15" s="191" t="s">
        <v>77</v>
      </c>
      <c r="C15" s="8">
        <f>COUNTIF(C1:C9,2)</f>
        <v>3</v>
      </c>
    </row>
    <row r="16" spans="1:3" x14ac:dyDescent="0.2">
      <c r="B16" s="191" t="s">
        <v>78</v>
      </c>
      <c r="C16" s="8">
        <f>COUNTIF(C1:C9,3)</f>
        <v>1</v>
      </c>
    </row>
    <row r="17" spans="2:3" x14ac:dyDescent="0.2">
      <c r="B17" s="191" t="s">
        <v>88</v>
      </c>
      <c r="C17" s="8">
        <f>COUNTIF(C1:C9,4)</f>
        <v>0</v>
      </c>
    </row>
    <row r="19" spans="2:3" x14ac:dyDescent="0.2">
      <c r="C19" s="8">
        <f>SUM(C14:C18)</f>
        <v>9</v>
      </c>
    </row>
  </sheetData>
  <sheetProtection sheet="1" objects="1" scenarios="1"/>
  <phoneticPr fontId="25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5"/>
  <sheetViews>
    <sheetView topLeftCell="A199" workbookViewId="0">
      <selection activeCell="A213" sqref="A213"/>
    </sheetView>
  </sheetViews>
  <sheetFormatPr baseColWidth="10" defaultRowHeight="12.75" x14ac:dyDescent="0.2"/>
  <cols>
    <col min="2" max="2" width="11.42578125" style="217"/>
  </cols>
  <sheetData>
    <row r="1" spans="1:2" x14ac:dyDescent="0.2">
      <c r="A1" t="s">
        <v>0</v>
      </c>
      <c r="B1" s="217" t="s">
        <v>7</v>
      </c>
    </row>
    <row r="2" spans="1:2" x14ac:dyDescent="0.2">
      <c r="A2">
        <v>397</v>
      </c>
    </row>
    <row r="3" spans="1:2" x14ac:dyDescent="0.2">
      <c r="A3">
        <v>504</v>
      </c>
      <c r="B3" s="217">
        <v>45401</v>
      </c>
    </row>
    <row r="4" spans="1:2" x14ac:dyDescent="0.2">
      <c r="A4">
        <v>557</v>
      </c>
      <c r="B4" s="217">
        <v>45391</v>
      </c>
    </row>
    <row r="5" spans="1:2" x14ac:dyDescent="0.2">
      <c r="A5">
        <v>653</v>
      </c>
      <c r="B5" s="217">
        <v>45397</v>
      </c>
    </row>
    <row r="6" spans="1:2" x14ac:dyDescent="0.2">
      <c r="A6">
        <v>756</v>
      </c>
      <c r="B6" s="217">
        <v>45387</v>
      </c>
    </row>
    <row r="7" spans="1:2" x14ac:dyDescent="0.2">
      <c r="A7">
        <v>816</v>
      </c>
      <c r="B7" s="217">
        <v>45384</v>
      </c>
    </row>
    <row r="8" spans="1:2" x14ac:dyDescent="0.2">
      <c r="A8">
        <v>823</v>
      </c>
      <c r="B8" s="217">
        <v>45393</v>
      </c>
    </row>
    <row r="9" spans="1:2" x14ac:dyDescent="0.2">
      <c r="A9">
        <v>834</v>
      </c>
      <c r="B9" s="217">
        <v>45394</v>
      </c>
    </row>
    <row r="10" spans="1:2" x14ac:dyDescent="0.2">
      <c r="A10">
        <v>837</v>
      </c>
    </row>
    <row r="11" spans="1:2" x14ac:dyDescent="0.2">
      <c r="A11">
        <v>849</v>
      </c>
      <c r="B11" s="217">
        <v>45391</v>
      </c>
    </row>
    <row r="12" spans="1:2" x14ac:dyDescent="0.2">
      <c r="A12">
        <v>926</v>
      </c>
    </row>
    <row r="13" spans="1:2" x14ac:dyDescent="0.2">
      <c r="A13">
        <v>1021</v>
      </c>
      <c r="B13" s="217">
        <v>45397</v>
      </c>
    </row>
    <row r="14" spans="1:2" x14ac:dyDescent="0.2">
      <c r="A14">
        <v>1108</v>
      </c>
      <c r="B14" s="217">
        <v>45392</v>
      </c>
    </row>
    <row r="15" spans="1:2" x14ac:dyDescent="0.2">
      <c r="A15">
        <v>1159</v>
      </c>
      <c r="B15" s="217">
        <v>45411</v>
      </c>
    </row>
    <row r="16" spans="1:2" x14ac:dyDescent="0.2">
      <c r="A16">
        <v>1186</v>
      </c>
      <c r="B16" s="217">
        <v>45412</v>
      </c>
    </row>
    <row r="17" spans="1:2" x14ac:dyDescent="0.2">
      <c r="A17">
        <v>1413</v>
      </c>
      <c r="B17" s="217">
        <v>45391</v>
      </c>
    </row>
    <row r="18" spans="1:2" x14ac:dyDescent="0.2">
      <c r="A18">
        <v>1417</v>
      </c>
      <c r="B18" s="217">
        <v>45412</v>
      </c>
    </row>
    <row r="19" spans="1:2" x14ac:dyDescent="0.2">
      <c r="A19">
        <v>1449</v>
      </c>
      <c r="B19" s="217">
        <v>45412</v>
      </c>
    </row>
    <row r="20" spans="1:2" x14ac:dyDescent="0.2">
      <c r="A20">
        <v>1457</v>
      </c>
      <c r="B20" s="217">
        <v>45393</v>
      </c>
    </row>
    <row r="21" spans="1:2" x14ac:dyDescent="0.2">
      <c r="A21">
        <v>1462</v>
      </c>
      <c r="B21" s="217">
        <v>45406</v>
      </c>
    </row>
    <row r="22" spans="1:2" x14ac:dyDescent="0.2">
      <c r="A22">
        <v>1463</v>
      </c>
      <c r="B22" s="217">
        <v>45406</v>
      </c>
    </row>
    <row r="23" spans="1:2" x14ac:dyDescent="0.2">
      <c r="A23">
        <v>1469</v>
      </c>
      <c r="B23" s="217">
        <v>45404</v>
      </c>
    </row>
    <row r="24" spans="1:2" x14ac:dyDescent="0.2">
      <c r="A24">
        <v>1509</v>
      </c>
      <c r="B24" s="217">
        <v>45397</v>
      </c>
    </row>
    <row r="25" spans="1:2" x14ac:dyDescent="0.2">
      <c r="A25">
        <v>1526</v>
      </c>
      <c r="B25" s="217">
        <v>45397</v>
      </c>
    </row>
    <row r="26" spans="1:2" x14ac:dyDescent="0.2">
      <c r="A26">
        <v>1589</v>
      </c>
    </row>
    <row r="27" spans="1:2" x14ac:dyDescent="0.2">
      <c r="A27">
        <v>1597</v>
      </c>
      <c r="B27" s="217">
        <v>45409</v>
      </c>
    </row>
    <row r="28" spans="1:2" x14ac:dyDescent="0.2">
      <c r="A28">
        <v>1601</v>
      </c>
      <c r="B28" s="217">
        <v>45388</v>
      </c>
    </row>
    <row r="29" spans="1:2" x14ac:dyDescent="0.2">
      <c r="A29">
        <v>1639</v>
      </c>
      <c r="B29" s="217">
        <v>45397</v>
      </c>
    </row>
    <row r="30" spans="1:2" x14ac:dyDescent="0.2">
      <c r="A30">
        <v>1640</v>
      </c>
      <c r="B30" s="217">
        <v>45411</v>
      </c>
    </row>
    <row r="31" spans="1:2" x14ac:dyDescent="0.2">
      <c r="A31">
        <v>1647</v>
      </c>
      <c r="B31" s="217">
        <v>45411</v>
      </c>
    </row>
    <row r="32" spans="1:2" x14ac:dyDescent="0.2">
      <c r="A32">
        <v>1671</v>
      </c>
      <c r="B32" s="217">
        <v>45411</v>
      </c>
    </row>
    <row r="33" spans="1:2" x14ac:dyDescent="0.2">
      <c r="A33">
        <v>1673</v>
      </c>
      <c r="B33" s="217">
        <v>45395</v>
      </c>
    </row>
    <row r="34" spans="1:2" x14ac:dyDescent="0.2">
      <c r="A34">
        <v>1686</v>
      </c>
      <c r="B34" s="217">
        <v>45397</v>
      </c>
    </row>
    <row r="35" spans="1:2" x14ac:dyDescent="0.2">
      <c r="A35">
        <v>1699</v>
      </c>
      <c r="B35" s="217">
        <v>45394</v>
      </c>
    </row>
    <row r="36" spans="1:2" x14ac:dyDescent="0.2">
      <c r="A36">
        <v>1726</v>
      </c>
      <c r="B36" s="217">
        <v>45409</v>
      </c>
    </row>
    <row r="37" spans="1:2" x14ac:dyDescent="0.2">
      <c r="A37">
        <v>1762</v>
      </c>
      <c r="B37" s="217">
        <v>45392</v>
      </c>
    </row>
    <row r="38" spans="1:2" x14ac:dyDescent="0.2">
      <c r="A38">
        <v>1791</v>
      </c>
      <c r="B38" s="217">
        <v>45399</v>
      </c>
    </row>
    <row r="39" spans="1:2" x14ac:dyDescent="0.2">
      <c r="A39">
        <v>1829</v>
      </c>
      <c r="B39" s="217">
        <v>45393</v>
      </c>
    </row>
    <row r="40" spans="1:2" x14ac:dyDescent="0.2">
      <c r="A40">
        <v>1870</v>
      </c>
      <c r="B40" s="217">
        <v>45391</v>
      </c>
    </row>
    <row r="41" spans="1:2" x14ac:dyDescent="0.2">
      <c r="A41">
        <v>1871</v>
      </c>
      <c r="B41" s="217">
        <v>45408</v>
      </c>
    </row>
    <row r="42" spans="1:2" x14ac:dyDescent="0.2">
      <c r="A42">
        <v>1884</v>
      </c>
      <c r="B42" s="217">
        <v>45391</v>
      </c>
    </row>
    <row r="43" spans="1:2" x14ac:dyDescent="0.2">
      <c r="A43">
        <v>1889</v>
      </c>
      <c r="B43" s="217">
        <v>45411</v>
      </c>
    </row>
    <row r="44" spans="1:2" x14ac:dyDescent="0.2">
      <c r="A44">
        <v>1900</v>
      </c>
      <c r="B44" s="217">
        <v>45412</v>
      </c>
    </row>
    <row r="45" spans="1:2" x14ac:dyDescent="0.2">
      <c r="A45">
        <v>1916</v>
      </c>
      <c r="B45" s="217">
        <v>45397</v>
      </c>
    </row>
    <row r="46" spans="1:2" x14ac:dyDescent="0.2">
      <c r="A46">
        <v>1952</v>
      </c>
      <c r="B46" s="217">
        <v>45392</v>
      </c>
    </row>
    <row r="47" spans="1:2" x14ac:dyDescent="0.2">
      <c r="A47">
        <v>1954</v>
      </c>
      <c r="B47" s="217">
        <v>45383</v>
      </c>
    </row>
    <row r="48" spans="1:2" x14ac:dyDescent="0.2">
      <c r="A48">
        <v>1956</v>
      </c>
      <c r="B48" s="217">
        <v>45392</v>
      </c>
    </row>
    <row r="49" spans="1:2" x14ac:dyDescent="0.2">
      <c r="A49">
        <v>1967</v>
      </c>
      <c r="B49" s="217">
        <v>45412</v>
      </c>
    </row>
    <row r="50" spans="1:2" x14ac:dyDescent="0.2">
      <c r="A50">
        <v>1970</v>
      </c>
      <c r="B50" s="217">
        <v>45412</v>
      </c>
    </row>
    <row r="51" spans="1:2" x14ac:dyDescent="0.2">
      <c r="A51">
        <v>1999</v>
      </c>
      <c r="B51" s="217">
        <v>45386</v>
      </c>
    </row>
    <row r="52" spans="1:2" x14ac:dyDescent="0.2">
      <c r="A52">
        <v>2001</v>
      </c>
      <c r="B52" s="217">
        <v>45393</v>
      </c>
    </row>
    <row r="53" spans="1:2" x14ac:dyDescent="0.2">
      <c r="A53">
        <v>2007</v>
      </c>
      <c r="B53" s="217">
        <v>45397</v>
      </c>
    </row>
    <row r="54" spans="1:2" x14ac:dyDescent="0.2">
      <c r="A54">
        <v>2010</v>
      </c>
      <c r="B54" s="217">
        <v>45411</v>
      </c>
    </row>
    <row r="55" spans="1:2" x14ac:dyDescent="0.2">
      <c r="A55">
        <v>2015</v>
      </c>
      <c r="B55" s="217">
        <v>45397</v>
      </c>
    </row>
    <row r="56" spans="1:2" x14ac:dyDescent="0.2">
      <c r="A56">
        <v>2024</v>
      </c>
      <c r="B56" s="217">
        <v>45386</v>
      </c>
    </row>
    <row r="57" spans="1:2" x14ac:dyDescent="0.2">
      <c r="A57">
        <v>2039</v>
      </c>
    </row>
    <row r="58" spans="1:2" x14ac:dyDescent="0.2">
      <c r="A58">
        <v>2042</v>
      </c>
      <c r="B58" s="217">
        <v>45411</v>
      </c>
    </row>
    <row r="59" spans="1:2" x14ac:dyDescent="0.2">
      <c r="A59">
        <v>2068</v>
      </c>
      <c r="B59" s="217">
        <v>45411</v>
      </c>
    </row>
    <row r="60" spans="1:2" x14ac:dyDescent="0.2">
      <c r="A60">
        <v>2107</v>
      </c>
    </row>
    <row r="61" spans="1:2" x14ac:dyDescent="0.2">
      <c r="A61">
        <v>2116</v>
      </c>
      <c r="B61" s="217">
        <v>45395</v>
      </c>
    </row>
    <row r="62" spans="1:2" x14ac:dyDescent="0.2">
      <c r="A62">
        <v>2119</v>
      </c>
      <c r="B62" s="217">
        <v>45387</v>
      </c>
    </row>
    <row r="63" spans="1:2" x14ac:dyDescent="0.2">
      <c r="A63">
        <v>2123</v>
      </c>
      <c r="B63" s="217">
        <v>45411</v>
      </c>
    </row>
    <row r="64" spans="1:2" x14ac:dyDescent="0.2">
      <c r="A64">
        <v>2153</v>
      </c>
    </row>
    <row r="65" spans="1:2" x14ac:dyDescent="0.2">
      <c r="A65">
        <v>2182</v>
      </c>
      <c r="B65" s="217">
        <v>45411</v>
      </c>
    </row>
    <row r="66" spans="1:2" x14ac:dyDescent="0.2">
      <c r="A66">
        <v>2206</v>
      </c>
      <c r="B66" s="217">
        <v>45386</v>
      </c>
    </row>
    <row r="67" spans="1:2" x14ac:dyDescent="0.2">
      <c r="A67">
        <v>2219</v>
      </c>
      <c r="B67" s="217">
        <v>45397</v>
      </c>
    </row>
    <row r="68" spans="1:2" x14ac:dyDescent="0.2">
      <c r="A68">
        <v>2232</v>
      </c>
      <c r="B68" s="217">
        <v>45398</v>
      </c>
    </row>
    <row r="69" spans="1:2" x14ac:dyDescent="0.2">
      <c r="A69">
        <v>2233</v>
      </c>
      <c r="B69" s="217">
        <v>45402</v>
      </c>
    </row>
    <row r="70" spans="1:2" x14ac:dyDescent="0.2">
      <c r="A70">
        <v>2240</v>
      </c>
      <c r="B70" s="217">
        <v>45412</v>
      </c>
    </row>
    <row r="71" spans="1:2" x14ac:dyDescent="0.2">
      <c r="A71">
        <v>2293</v>
      </c>
    </row>
    <row r="72" spans="1:2" x14ac:dyDescent="0.2">
      <c r="A72">
        <v>2308</v>
      </c>
      <c r="B72" s="217">
        <v>45402</v>
      </c>
    </row>
    <row r="73" spans="1:2" x14ac:dyDescent="0.2">
      <c r="A73">
        <v>2327</v>
      </c>
      <c r="B73" s="217">
        <v>45404</v>
      </c>
    </row>
    <row r="74" spans="1:2" x14ac:dyDescent="0.2">
      <c r="A74">
        <v>2337</v>
      </c>
      <c r="B74" s="217">
        <v>45409</v>
      </c>
    </row>
    <row r="75" spans="1:2" x14ac:dyDescent="0.2">
      <c r="A75">
        <v>2342</v>
      </c>
      <c r="B75" s="217">
        <v>45386</v>
      </c>
    </row>
    <row r="76" spans="1:2" x14ac:dyDescent="0.2">
      <c r="A76">
        <v>2354</v>
      </c>
      <c r="B76" s="217">
        <v>45399</v>
      </c>
    </row>
    <row r="77" spans="1:2" x14ac:dyDescent="0.2">
      <c r="A77">
        <v>2360</v>
      </c>
      <c r="B77" s="217">
        <v>45385</v>
      </c>
    </row>
    <row r="78" spans="1:2" x14ac:dyDescent="0.2">
      <c r="A78">
        <v>2374</v>
      </c>
      <c r="B78" s="217">
        <v>45387</v>
      </c>
    </row>
    <row r="79" spans="1:2" x14ac:dyDescent="0.2">
      <c r="A79">
        <v>2386</v>
      </c>
      <c r="B79" s="217">
        <v>45402</v>
      </c>
    </row>
    <row r="80" spans="1:2" x14ac:dyDescent="0.2">
      <c r="A80">
        <v>2399</v>
      </c>
      <c r="B80" s="217">
        <v>45397</v>
      </c>
    </row>
    <row r="81" spans="1:2" x14ac:dyDescent="0.2">
      <c r="A81">
        <v>2432</v>
      </c>
    </row>
    <row r="82" spans="1:2" x14ac:dyDescent="0.2">
      <c r="A82">
        <v>2455</v>
      </c>
      <c r="B82" s="217">
        <v>45411</v>
      </c>
    </row>
    <row r="83" spans="1:2" x14ac:dyDescent="0.2">
      <c r="A83">
        <v>2459</v>
      </c>
      <c r="B83" s="217">
        <v>45397</v>
      </c>
    </row>
    <row r="84" spans="1:2" x14ac:dyDescent="0.2">
      <c r="A84">
        <v>2460</v>
      </c>
      <c r="B84" s="217">
        <v>45395</v>
      </c>
    </row>
    <row r="85" spans="1:2" x14ac:dyDescent="0.2">
      <c r="A85">
        <v>2461</v>
      </c>
      <c r="B85" s="217">
        <v>45397</v>
      </c>
    </row>
    <row r="86" spans="1:2" x14ac:dyDescent="0.2">
      <c r="A86">
        <v>2470</v>
      </c>
      <c r="B86" s="217">
        <v>45402</v>
      </c>
    </row>
    <row r="87" spans="1:2" x14ac:dyDescent="0.2">
      <c r="A87">
        <v>2489</v>
      </c>
      <c r="B87" s="217">
        <v>45391</v>
      </c>
    </row>
    <row r="88" spans="1:2" x14ac:dyDescent="0.2">
      <c r="A88">
        <v>2494</v>
      </c>
    </row>
    <row r="89" spans="1:2" x14ac:dyDescent="0.2">
      <c r="A89">
        <v>2504</v>
      </c>
      <c r="B89" s="217">
        <v>45407</v>
      </c>
    </row>
    <row r="90" spans="1:2" x14ac:dyDescent="0.2">
      <c r="A90">
        <v>2510</v>
      </c>
      <c r="B90" s="217">
        <v>45385</v>
      </c>
    </row>
    <row r="91" spans="1:2" x14ac:dyDescent="0.2">
      <c r="A91">
        <v>2515</v>
      </c>
      <c r="B91" s="217">
        <v>45404</v>
      </c>
    </row>
    <row r="92" spans="1:2" x14ac:dyDescent="0.2">
      <c r="A92">
        <v>2525</v>
      </c>
    </row>
    <row r="93" spans="1:2" x14ac:dyDescent="0.2">
      <c r="A93">
        <v>2543</v>
      </c>
      <c r="B93" s="217">
        <v>45399</v>
      </c>
    </row>
    <row r="94" spans="1:2" x14ac:dyDescent="0.2">
      <c r="A94">
        <v>2545</v>
      </c>
      <c r="B94" s="217">
        <v>45393</v>
      </c>
    </row>
    <row r="95" spans="1:2" x14ac:dyDescent="0.2">
      <c r="A95">
        <v>2548</v>
      </c>
      <c r="B95" s="217">
        <v>45399</v>
      </c>
    </row>
    <row r="96" spans="1:2" x14ac:dyDescent="0.2">
      <c r="A96">
        <v>2549</v>
      </c>
      <c r="B96" s="217">
        <v>45395</v>
      </c>
    </row>
    <row r="97" spans="1:2" x14ac:dyDescent="0.2">
      <c r="A97">
        <v>2552</v>
      </c>
      <c r="B97" s="217">
        <v>45393</v>
      </c>
    </row>
    <row r="98" spans="1:2" x14ac:dyDescent="0.2">
      <c r="A98">
        <v>2555</v>
      </c>
      <c r="B98" s="217">
        <v>45387</v>
      </c>
    </row>
    <row r="99" spans="1:2" x14ac:dyDescent="0.2">
      <c r="A99">
        <v>2556</v>
      </c>
      <c r="B99" s="217">
        <v>45405</v>
      </c>
    </row>
    <row r="100" spans="1:2" x14ac:dyDescent="0.2">
      <c r="A100">
        <v>2561</v>
      </c>
      <c r="B100" s="217">
        <v>45392</v>
      </c>
    </row>
    <row r="101" spans="1:2" x14ac:dyDescent="0.2">
      <c r="A101">
        <v>2572</v>
      </c>
      <c r="B101" s="217">
        <v>45392</v>
      </c>
    </row>
    <row r="102" spans="1:2" x14ac:dyDescent="0.2">
      <c r="A102">
        <v>2583</v>
      </c>
      <c r="B102" s="217">
        <v>45386</v>
      </c>
    </row>
    <row r="103" spans="1:2" x14ac:dyDescent="0.2">
      <c r="A103">
        <v>2585</v>
      </c>
      <c r="B103" s="217">
        <v>45411</v>
      </c>
    </row>
    <row r="104" spans="1:2" x14ac:dyDescent="0.2">
      <c r="A104">
        <v>2599</v>
      </c>
    </row>
    <row r="105" spans="1:2" x14ac:dyDescent="0.2">
      <c r="A105">
        <v>2600</v>
      </c>
      <c r="B105" s="217">
        <v>45411</v>
      </c>
    </row>
    <row r="106" spans="1:2" x14ac:dyDescent="0.2">
      <c r="A106">
        <v>2603</v>
      </c>
      <c r="B106" s="217">
        <v>45390</v>
      </c>
    </row>
    <row r="107" spans="1:2" x14ac:dyDescent="0.2">
      <c r="A107">
        <v>2610</v>
      </c>
      <c r="B107" s="217">
        <v>45409</v>
      </c>
    </row>
    <row r="108" spans="1:2" x14ac:dyDescent="0.2">
      <c r="A108">
        <v>2612</v>
      </c>
      <c r="B108" s="217">
        <v>45393</v>
      </c>
    </row>
    <row r="109" spans="1:2" x14ac:dyDescent="0.2">
      <c r="A109">
        <v>2622</v>
      </c>
      <c r="B109" s="217">
        <v>45400</v>
      </c>
    </row>
    <row r="110" spans="1:2" x14ac:dyDescent="0.2">
      <c r="A110">
        <v>2628</v>
      </c>
    </row>
    <row r="111" spans="1:2" x14ac:dyDescent="0.2">
      <c r="A111">
        <v>2631</v>
      </c>
      <c r="B111" s="217">
        <v>45401</v>
      </c>
    </row>
    <row r="112" spans="1:2" x14ac:dyDescent="0.2">
      <c r="A112">
        <v>2632</v>
      </c>
      <c r="B112" s="217">
        <v>45386</v>
      </c>
    </row>
    <row r="113" spans="1:2" x14ac:dyDescent="0.2">
      <c r="A113">
        <v>2646</v>
      </c>
      <c r="B113" s="217">
        <v>45391</v>
      </c>
    </row>
    <row r="114" spans="1:2" x14ac:dyDescent="0.2">
      <c r="A114">
        <v>2668</v>
      </c>
      <c r="B114" s="217">
        <v>45391</v>
      </c>
    </row>
    <row r="115" spans="1:2" x14ac:dyDescent="0.2">
      <c r="A115">
        <v>2677</v>
      </c>
      <c r="B115" s="217">
        <v>45392</v>
      </c>
    </row>
    <row r="116" spans="1:2" x14ac:dyDescent="0.2">
      <c r="A116">
        <v>2678</v>
      </c>
      <c r="B116" s="217">
        <v>45395</v>
      </c>
    </row>
    <row r="117" spans="1:2" x14ac:dyDescent="0.2">
      <c r="A117">
        <v>2707</v>
      </c>
    </row>
    <row r="118" spans="1:2" x14ac:dyDescent="0.2">
      <c r="A118">
        <v>2717</v>
      </c>
      <c r="B118" s="217">
        <v>45387</v>
      </c>
    </row>
    <row r="119" spans="1:2" x14ac:dyDescent="0.2">
      <c r="A119">
        <v>2720</v>
      </c>
      <c r="B119" s="217">
        <v>45400</v>
      </c>
    </row>
    <row r="120" spans="1:2" x14ac:dyDescent="0.2">
      <c r="A120">
        <v>2739</v>
      </c>
      <c r="B120" s="217">
        <v>45391</v>
      </c>
    </row>
    <row r="121" spans="1:2" x14ac:dyDescent="0.2">
      <c r="A121">
        <v>2745</v>
      </c>
      <c r="B121" s="217">
        <v>45387</v>
      </c>
    </row>
    <row r="122" spans="1:2" x14ac:dyDescent="0.2">
      <c r="A122">
        <v>2753</v>
      </c>
      <c r="B122" s="217">
        <v>45412</v>
      </c>
    </row>
    <row r="123" spans="1:2" x14ac:dyDescent="0.2">
      <c r="A123">
        <v>2777</v>
      </c>
    </row>
    <row r="124" spans="1:2" x14ac:dyDescent="0.2">
      <c r="A124">
        <v>2785</v>
      </c>
      <c r="B124" s="217">
        <v>45401</v>
      </c>
    </row>
    <row r="125" spans="1:2" x14ac:dyDescent="0.2">
      <c r="A125">
        <v>2803</v>
      </c>
      <c r="B125" s="217">
        <v>45401</v>
      </c>
    </row>
    <row r="126" spans="1:2" x14ac:dyDescent="0.2">
      <c r="A126">
        <v>2815</v>
      </c>
      <c r="B126" s="217">
        <v>45411</v>
      </c>
    </row>
    <row r="127" spans="1:2" x14ac:dyDescent="0.2">
      <c r="A127">
        <v>2819</v>
      </c>
      <c r="B127" s="217">
        <v>45411</v>
      </c>
    </row>
    <row r="128" spans="1:2" x14ac:dyDescent="0.2">
      <c r="A128">
        <v>2830</v>
      </c>
      <c r="B128" s="217">
        <v>45405</v>
      </c>
    </row>
    <row r="129" spans="1:2" x14ac:dyDescent="0.2">
      <c r="A129">
        <v>2835</v>
      </c>
      <c r="B129" s="217">
        <v>45405</v>
      </c>
    </row>
    <row r="130" spans="1:2" x14ac:dyDescent="0.2">
      <c r="A130">
        <v>2836</v>
      </c>
      <c r="B130" s="217">
        <v>45408</v>
      </c>
    </row>
    <row r="131" spans="1:2" x14ac:dyDescent="0.2">
      <c r="A131">
        <v>2842</v>
      </c>
      <c r="B131" s="217">
        <v>45391</v>
      </c>
    </row>
    <row r="132" spans="1:2" x14ac:dyDescent="0.2">
      <c r="A132">
        <v>2869</v>
      </c>
      <c r="B132" s="217">
        <v>45411</v>
      </c>
    </row>
    <row r="133" spans="1:2" x14ac:dyDescent="0.2">
      <c r="A133">
        <v>2877</v>
      </c>
      <c r="B133" s="217">
        <v>45393</v>
      </c>
    </row>
    <row r="134" spans="1:2" x14ac:dyDescent="0.2">
      <c r="A134">
        <v>2878</v>
      </c>
      <c r="B134" s="217">
        <v>45412</v>
      </c>
    </row>
    <row r="135" spans="1:2" x14ac:dyDescent="0.2">
      <c r="A135">
        <v>2879</v>
      </c>
      <c r="B135" s="217">
        <v>45392</v>
      </c>
    </row>
    <row r="136" spans="1:2" x14ac:dyDescent="0.2">
      <c r="A136">
        <v>2887</v>
      </c>
      <c r="B136" s="217">
        <v>45397</v>
      </c>
    </row>
    <row r="137" spans="1:2" x14ac:dyDescent="0.2">
      <c r="A137">
        <v>2890</v>
      </c>
    </row>
    <row r="138" spans="1:2" x14ac:dyDescent="0.2">
      <c r="A138">
        <v>2892</v>
      </c>
      <c r="B138" s="217">
        <v>45397</v>
      </c>
    </row>
    <row r="139" spans="1:2" x14ac:dyDescent="0.2">
      <c r="A139">
        <v>2894</v>
      </c>
    </row>
    <row r="140" spans="1:2" x14ac:dyDescent="0.2">
      <c r="A140">
        <v>2918</v>
      </c>
      <c r="B140" s="217">
        <v>45392</v>
      </c>
    </row>
    <row r="141" spans="1:2" x14ac:dyDescent="0.2">
      <c r="A141">
        <v>2922</v>
      </c>
      <c r="B141" s="217">
        <v>45397</v>
      </c>
    </row>
    <row r="142" spans="1:2" x14ac:dyDescent="0.2">
      <c r="A142">
        <v>2977</v>
      </c>
      <c r="B142" s="217">
        <v>45390</v>
      </c>
    </row>
    <row r="143" spans="1:2" x14ac:dyDescent="0.2">
      <c r="A143">
        <v>2992</v>
      </c>
      <c r="B143" s="217">
        <v>45404</v>
      </c>
    </row>
    <row r="144" spans="1:2" x14ac:dyDescent="0.2">
      <c r="A144">
        <v>3030</v>
      </c>
      <c r="B144" s="217">
        <v>45387</v>
      </c>
    </row>
    <row r="145" spans="1:2" x14ac:dyDescent="0.2">
      <c r="A145">
        <v>3051</v>
      </c>
      <c r="B145" s="217">
        <v>45399</v>
      </c>
    </row>
    <row r="146" spans="1:2" x14ac:dyDescent="0.2">
      <c r="A146">
        <v>3083</v>
      </c>
      <c r="B146" s="217">
        <v>45411</v>
      </c>
    </row>
    <row r="147" spans="1:2" x14ac:dyDescent="0.2">
      <c r="A147">
        <v>3086</v>
      </c>
      <c r="B147" s="217">
        <v>45391</v>
      </c>
    </row>
    <row r="148" spans="1:2" x14ac:dyDescent="0.2">
      <c r="A148">
        <v>3088</v>
      </c>
      <c r="B148" s="217">
        <v>45411</v>
      </c>
    </row>
    <row r="149" spans="1:2" x14ac:dyDescent="0.2">
      <c r="A149">
        <v>3090</v>
      </c>
      <c r="B149" s="217">
        <v>45405</v>
      </c>
    </row>
    <row r="150" spans="1:2" x14ac:dyDescent="0.2">
      <c r="A150">
        <v>3091</v>
      </c>
      <c r="B150" s="217">
        <v>45399</v>
      </c>
    </row>
    <row r="151" spans="1:2" x14ac:dyDescent="0.2">
      <c r="A151">
        <v>3092</v>
      </c>
      <c r="B151" s="217">
        <v>45385</v>
      </c>
    </row>
    <row r="152" spans="1:2" x14ac:dyDescent="0.2">
      <c r="A152">
        <v>3093</v>
      </c>
      <c r="B152" s="217">
        <v>45392</v>
      </c>
    </row>
    <row r="153" spans="1:2" x14ac:dyDescent="0.2">
      <c r="A153">
        <v>3096</v>
      </c>
      <c r="B153" s="217">
        <v>45412</v>
      </c>
    </row>
    <row r="154" spans="1:2" x14ac:dyDescent="0.2">
      <c r="A154">
        <v>3098</v>
      </c>
      <c r="B154" s="217">
        <v>45397</v>
      </c>
    </row>
    <row r="155" spans="1:2" x14ac:dyDescent="0.2">
      <c r="A155">
        <v>3100</v>
      </c>
      <c r="B155" s="217">
        <v>45401</v>
      </c>
    </row>
    <row r="156" spans="1:2" x14ac:dyDescent="0.2">
      <c r="A156">
        <v>3101</v>
      </c>
      <c r="B156" s="217">
        <v>45411</v>
      </c>
    </row>
    <row r="157" spans="1:2" x14ac:dyDescent="0.2">
      <c r="A157">
        <v>3102</v>
      </c>
      <c r="B157" s="217">
        <v>45401</v>
      </c>
    </row>
    <row r="158" spans="1:2" x14ac:dyDescent="0.2">
      <c r="A158">
        <v>3103</v>
      </c>
      <c r="B158" s="217">
        <v>45399</v>
      </c>
    </row>
    <row r="159" spans="1:2" x14ac:dyDescent="0.2">
      <c r="A159">
        <v>3105</v>
      </c>
      <c r="B159" s="217">
        <v>45408</v>
      </c>
    </row>
    <row r="160" spans="1:2" x14ac:dyDescent="0.2">
      <c r="A160">
        <v>3106</v>
      </c>
      <c r="B160" s="217">
        <v>45401</v>
      </c>
    </row>
    <row r="161" spans="1:2" x14ac:dyDescent="0.2">
      <c r="A161">
        <v>3107</v>
      </c>
      <c r="B161" s="217">
        <v>45388</v>
      </c>
    </row>
    <row r="162" spans="1:2" x14ac:dyDescent="0.2">
      <c r="A162">
        <v>3109</v>
      </c>
      <c r="B162" s="217">
        <v>45412</v>
      </c>
    </row>
    <row r="163" spans="1:2" x14ac:dyDescent="0.2">
      <c r="A163">
        <v>3114</v>
      </c>
      <c r="B163" s="217">
        <v>45406</v>
      </c>
    </row>
    <row r="164" spans="1:2" x14ac:dyDescent="0.2">
      <c r="A164">
        <v>3115</v>
      </c>
      <c r="B164" s="217">
        <v>45391</v>
      </c>
    </row>
    <row r="165" spans="1:2" x14ac:dyDescent="0.2">
      <c r="A165">
        <v>3117</v>
      </c>
      <c r="B165" s="217">
        <v>45392</v>
      </c>
    </row>
    <row r="166" spans="1:2" x14ac:dyDescent="0.2">
      <c r="A166">
        <v>3118</v>
      </c>
      <c r="B166" s="217">
        <v>45385</v>
      </c>
    </row>
    <row r="167" spans="1:2" x14ac:dyDescent="0.2">
      <c r="A167">
        <v>3119</v>
      </c>
      <c r="B167" s="217">
        <v>45390</v>
      </c>
    </row>
    <row r="168" spans="1:2" x14ac:dyDescent="0.2">
      <c r="A168">
        <v>3120</v>
      </c>
      <c r="B168" s="217">
        <v>45405</v>
      </c>
    </row>
    <row r="169" spans="1:2" x14ac:dyDescent="0.2">
      <c r="A169">
        <v>3122</v>
      </c>
      <c r="B169" s="217">
        <v>45392</v>
      </c>
    </row>
    <row r="170" spans="1:2" x14ac:dyDescent="0.2">
      <c r="A170">
        <v>3123</v>
      </c>
      <c r="B170" s="217">
        <v>45386</v>
      </c>
    </row>
    <row r="171" spans="1:2" x14ac:dyDescent="0.2">
      <c r="A171">
        <v>3125</v>
      </c>
      <c r="B171" s="217">
        <v>45385</v>
      </c>
    </row>
    <row r="172" spans="1:2" x14ac:dyDescent="0.2">
      <c r="A172">
        <v>3126</v>
      </c>
      <c r="B172" s="217">
        <v>45412</v>
      </c>
    </row>
    <row r="173" spans="1:2" x14ac:dyDescent="0.2">
      <c r="A173">
        <v>3129</v>
      </c>
      <c r="B173" s="217">
        <v>45385</v>
      </c>
    </row>
    <row r="174" spans="1:2" x14ac:dyDescent="0.2">
      <c r="A174">
        <v>3131</v>
      </c>
      <c r="B174" s="217">
        <v>45385</v>
      </c>
    </row>
    <row r="175" spans="1:2" x14ac:dyDescent="0.2">
      <c r="A175">
        <v>3132</v>
      </c>
      <c r="B175" s="217">
        <v>45385</v>
      </c>
    </row>
    <row r="176" spans="1:2" x14ac:dyDescent="0.2">
      <c r="A176">
        <v>3134</v>
      </c>
      <c r="B176" s="217">
        <v>45388</v>
      </c>
    </row>
    <row r="177" spans="1:2" x14ac:dyDescent="0.2">
      <c r="A177">
        <v>3135</v>
      </c>
      <c r="B177" s="217">
        <v>45385</v>
      </c>
    </row>
    <row r="178" spans="1:2" x14ac:dyDescent="0.2">
      <c r="A178">
        <v>3136</v>
      </c>
      <c r="B178" s="217">
        <v>45402</v>
      </c>
    </row>
    <row r="179" spans="1:2" x14ac:dyDescent="0.2">
      <c r="A179">
        <v>3137</v>
      </c>
      <c r="B179" s="217">
        <v>45388</v>
      </c>
    </row>
    <row r="180" spans="1:2" x14ac:dyDescent="0.2">
      <c r="A180">
        <v>3138</v>
      </c>
      <c r="B180" s="217">
        <v>45411</v>
      </c>
    </row>
    <row r="181" spans="1:2" x14ac:dyDescent="0.2">
      <c r="A181">
        <v>3140</v>
      </c>
      <c r="B181" s="217">
        <v>45390</v>
      </c>
    </row>
    <row r="182" spans="1:2" x14ac:dyDescent="0.2">
      <c r="A182">
        <v>3142</v>
      </c>
      <c r="B182" s="217">
        <v>45411</v>
      </c>
    </row>
    <row r="183" spans="1:2" x14ac:dyDescent="0.2">
      <c r="A183">
        <v>3143</v>
      </c>
      <c r="B183" s="217">
        <v>45397</v>
      </c>
    </row>
    <row r="184" spans="1:2" x14ac:dyDescent="0.2">
      <c r="A184">
        <v>3144</v>
      </c>
      <c r="B184" s="217">
        <v>45395</v>
      </c>
    </row>
    <row r="185" spans="1:2" x14ac:dyDescent="0.2">
      <c r="A185">
        <v>3145</v>
      </c>
      <c r="B185" s="217">
        <v>45395</v>
      </c>
    </row>
    <row r="186" spans="1:2" x14ac:dyDescent="0.2">
      <c r="A186">
        <v>3146</v>
      </c>
      <c r="B186" s="217">
        <v>45391</v>
      </c>
    </row>
    <row r="187" spans="1:2" x14ac:dyDescent="0.2">
      <c r="A187">
        <v>3147</v>
      </c>
      <c r="B187" s="217">
        <v>45391</v>
      </c>
    </row>
    <row r="188" spans="1:2" x14ac:dyDescent="0.2">
      <c r="A188">
        <v>3174</v>
      </c>
      <c r="B188" s="217">
        <v>45392</v>
      </c>
    </row>
    <row r="189" spans="1:2" x14ac:dyDescent="0.2">
      <c r="A189">
        <v>3176</v>
      </c>
      <c r="B189" s="217">
        <v>45392</v>
      </c>
    </row>
    <row r="190" spans="1:2" x14ac:dyDescent="0.2">
      <c r="A190">
        <v>3179</v>
      </c>
      <c r="B190" s="217">
        <v>45391</v>
      </c>
    </row>
    <row r="191" spans="1:2" x14ac:dyDescent="0.2">
      <c r="A191">
        <v>3182</v>
      </c>
      <c r="B191" s="217">
        <v>45391</v>
      </c>
    </row>
    <row r="192" spans="1:2" x14ac:dyDescent="0.2">
      <c r="A192">
        <v>3183</v>
      </c>
      <c r="B192" s="217">
        <v>45386</v>
      </c>
    </row>
    <row r="193" spans="1:2" x14ac:dyDescent="0.2">
      <c r="A193">
        <v>3184</v>
      </c>
      <c r="B193" s="217">
        <v>45387</v>
      </c>
    </row>
    <row r="194" spans="1:2" x14ac:dyDescent="0.2">
      <c r="A194">
        <v>3187</v>
      </c>
      <c r="B194" s="217">
        <v>45412</v>
      </c>
    </row>
    <row r="195" spans="1:2" x14ac:dyDescent="0.2">
      <c r="A195">
        <v>3188</v>
      </c>
      <c r="B195" s="217">
        <v>45407</v>
      </c>
    </row>
    <row r="196" spans="1:2" x14ac:dyDescent="0.2">
      <c r="A196">
        <v>3189</v>
      </c>
      <c r="B196" s="217">
        <v>45399</v>
      </c>
    </row>
    <row r="197" spans="1:2" x14ac:dyDescent="0.2">
      <c r="A197">
        <v>3193</v>
      </c>
      <c r="B197" s="217">
        <v>45391</v>
      </c>
    </row>
    <row r="198" spans="1:2" x14ac:dyDescent="0.2">
      <c r="A198">
        <v>3196</v>
      </c>
      <c r="B198" s="217">
        <v>45398</v>
      </c>
    </row>
    <row r="199" spans="1:2" x14ac:dyDescent="0.2">
      <c r="A199">
        <v>3197</v>
      </c>
      <c r="B199" s="217">
        <v>45392</v>
      </c>
    </row>
    <row r="200" spans="1:2" x14ac:dyDescent="0.2">
      <c r="A200">
        <v>3198</v>
      </c>
      <c r="B200" s="217">
        <v>45401</v>
      </c>
    </row>
    <row r="201" spans="1:2" x14ac:dyDescent="0.2">
      <c r="A201">
        <v>3199</v>
      </c>
      <c r="B201" s="217">
        <v>45392</v>
      </c>
    </row>
    <row r="202" spans="1:2" x14ac:dyDescent="0.2">
      <c r="A202">
        <v>3200</v>
      </c>
      <c r="B202" s="217">
        <v>45386</v>
      </c>
    </row>
    <row r="203" spans="1:2" x14ac:dyDescent="0.2">
      <c r="A203">
        <v>3202</v>
      </c>
      <c r="B203" s="217">
        <v>45412</v>
      </c>
    </row>
    <row r="204" spans="1:2" x14ac:dyDescent="0.2">
      <c r="A204">
        <v>3203</v>
      </c>
      <c r="B204" s="217">
        <v>45397</v>
      </c>
    </row>
    <row r="205" spans="1:2" x14ac:dyDescent="0.2">
      <c r="A205">
        <v>3206</v>
      </c>
    </row>
    <row r="206" spans="1:2" x14ac:dyDescent="0.2">
      <c r="A206">
        <v>3210</v>
      </c>
      <c r="B206" s="217">
        <v>45390</v>
      </c>
    </row>
    <row r="207" spans="1:2" x14ac:dyDescent="0.2">
      <c r="A207">
        <v>3217</v>
      </c>
      <c r="B207" s="217">
        <v>45391</v>
      </c>
    </row>
    <row r="208" spans="1:2" x14ac:dyDescent="0.2">
      <c r="A208">
        <v>3223</v>
      </c>
      <c r="B208" s="217">
        <v>45388</v>
      </c>
    </row>
    <row r="209" spans="1:2" x14ac:dyDescent="0.2">
      <c r="A209">
        <v>3231</v>
      </c>
      <c r="B209" s="217">
        <v>45397</v>
      </c>
    </row>
    <row r="210" spans="1:2" x14ac:dyDescent="0.2">
      <c r="A210">
        <v>3244</v>
      </c>
      <c r="B210" s="217">
        <v>45391</v>
      </c>
    </row>
    <row r="211" spans="1:2" x14ac:dyDescent="0.2">
      <c r="A211">
        <v>3253</v>
      </c>
      <c r="B211" s="217">
        <v>45391</v>
      </c>
    </row>
    <row r="212" spans="1:2" x14ac:dyDescent="0.2">
      <c r="A212">
        <v>3258</v>
      </c>
      <c r="B212" s="217">
        <v>45397</v>
      </c>
    </row>
    <row r="214" spans="1:2" x14ac:dyDescent="0.2">
      <c r="B214" s="217" t="s">
        <v>72</v>
      </c>
    </row>
    <row r="224" spans="1:2" x14ac:dyDescent="0.2">
      <c r="A224">
        <v>211</v>
      </c>
      <c r="B224" s="217">
        <v>6916400</v>
      </c>
    </row>
    <row r="225" spans="1:2" x14ac:dyDescent="0.2">
      <c r="A225">
        <v>211</v>
      </c>
    </row>
    <row r="234" spans="1:2" x14ac:dyDescent="0.2">
      <c r="A234" t="s">
        <v>14</v>
      </c>
    </row>
    <row r="235" spans="1:2" x14ac:dyDescent="0.2">
      <c r="A235">
        <v>211</v>
      </c>
    </row>
    <row r="236" spans="1:2" x14ac:dyDescent="0.2">
      <c r="A236">
        <v>11</v>
      </c>
      <c r="B236" s="217">
        <v>5990000</v>
      </c>
    </row>
    <row r="237" spans="1:2" x14ac:dyDescent="0.2">
      <c r="A237">
        <v>1</v>
      </c>
      <c r="B237" s="217">
        <v>5359500</v>
      </c>
    </row>
    <row r="238" spans="1:2" x14ac:dyDescent="0.2">
      <c r="A238">
        <v>10</v>
      </c>
      <c r="B238" s="217">
        <v>630500</v>
      </c>
    </row>
    <row r="239" spans="1:2" x14ac:dyDescent="0.2">
      <c r="A239">
        <v>195</v>
      </c>
      <c r="B239" s="217">
        <v>0.89474123539232053</v>
      </c>
    </row>
    <row r="241" spans="1:2" x14ac:dyDescent="0.2">
      <c r="B241" s="217">
        <v>333000</v>
      </c>
    </row>
    <row r="242" spans="1:2" x14ac:dyDescent="0.2">
      <c r="B242" s="217">
        <v>-22500</v>
      </c>
    </row>
    <row r="243" spans="1:2" x14ac:dyDescent="0.2">
      <c r="A243">
        <v>9</v>
      </c>
      <c r="B243" s="217">
        <v>310500</v>
      </c>
    </row>
    <row r="244" spans="1:2" x14ac:dyDescent="0.2">
      <c r="A244">
        <v>0</v>
      </c>
      <c r="B244" s="217">
        <v>345000</v>
      </c>
    </row>
    <row r="245" spans="1:2" x14ac:dyDescent="0.2">
      <c r="A245">
        <v>9</v>
      </c>
      <c r="B245" s="217">
        <v>655500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AUTOHOGAR</vt:lpstr>
      <vt:lpstr>COBRANZA SIN CUPONES</vt:lpstr>
      <vt:lpstr>PAGARA</vt:lpstr>
      <vt:lpstr>PAGARA DETALLADO</vt:lpstr>
      <vt:lpstr>COB</vt:lpstr>
      <vt:lpstr>PAGO</vt:lpstr>
      <vt:lpstr>AUTOHOGAR!Área_de_impresión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AGRO</dc:creator>
  <cp:lastModifiedBy>COMPAQ</cp:lastModifiedBy>
  <cp:lastPrinted>2024-02-02T09:48:04Z</cp:lastPrinted>
  <dcterms:created xsi:type="dcterms:W3CDTF">2012-03-04T17:17:47Z</dcterms:created>
  <dcterms:modified xsi:type="dcterms:W3CDTF">2026-08-08T21:51:23Z</dcterms:modified>
</cp:coreProperties>
</file>